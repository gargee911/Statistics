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rge\OneDrive\Desktop\G\Quant Finance\"/>
    </mc:Choice>
  </mc:AlternateContent>
  <xr:revisionPtr revIDLastSave="0" documentId="13_ncr:1_{F001C08B-0E12-43C2-B990-4CF0B2043FA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NIFTY MEMBS" sheetId="2" r:id="rId1"/>
    <sheet name="NIFTY_100" sheetId="1" r:id="rId2"/>
    <sheet name="EQ_25" sheetId="3" r:id="rId3"/>
    <sheet name="NIFTY_100 vs EQ_25 STATS" sheetId="4" r:id="rId4"/>
    <sheet name="Stock of Choice_ BAJAJFIN" sheetId="6" r:id="rId5"/>
    <sheet name="EQ_25vsBAJAJFIN" sheetId="9" r:id="rId6"/>
    <sheet name="EQ_25 (2)" sheetId="10" r:id="rId7"/>
  </sheets>
  <definedNames>
    <definedName name="SpreadsheetBuilder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+/FpXSOq4FjsNbdPwyd8PI5IoLd5bDyap4HxQFyWbI4="/>
    </ext>
  </extLst>
</workbook>
</file>

<file path=xl/calcChain.xml><?xml version="1.0" encoding="utf-8"?>
<calcChain xmlns="http://schemas.openxmlformats.org/spreadsheetml/2006/main">
  <c r="M2" i="1" l="1"/>
  <c r="H2" i="6"/>
  <c r="AX347" i="10"/>
  <c r="AW347" i="10"/>
  <c r="AV347" i="10"/>
  <c r="AU347" i="10"/>
  <c r="AT347" i="10"/>
  <c r="AS347" i="10"/>
  <c r="AR347" i="10"/>
  <c r="AQ347" i="10"/>
  <c r="AP347" i="10"/>
  <c r="AO347" i="10"/>
  <c r="AN347" i="10"/>
  <c r="AM347" i="10"/>
  <c r="AL347" i="10"/>
  <c r="AK347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AX346" i="10"/>
  <c r="AW346" i="10"/>
  <c r="AV346" i="10"/>
  <c r="AU346" i="10"/>
  <c r="AT346" i="10"/>
  <c r="AS346" i="10"/>
  <c r="AR346" i="10"/>
  <c r="AQ346" i="10"/>
  <c r="AP346" i="10"/>
  <c r="AO346" i="10"/>
  <c r="AN346" i="10"/>
  <c r="AM346" i="10"/>
  <c r="AL346" i="10"/>
  <c r="AK346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AX345" i="10"/>
  <c r="AW345" i="10"/>
  <c r="AV345" i="10"/>
  <c r="AU345" i="10"/>
  <c r="AT345" i="10"/>
  <c r="AS345" i="10"/>
  <c r="AR345" i="10"/>
  <c r="AQ345" i="10"/>
  <c r="AP345" i="10"/>
  <c r="AO345" i="10"/>
  <c r="AN345" i="10"/>
  <c r="AM345" i="10"/>
  <c r="AL345" i="10"/>
  <c r="AK345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AX344" i="10"/>
  <c r="AW344" i="10"/>
  <c r="AV344" i="10"/>
  <c r="AU344" i="10"/>
  <c r="AT344" i="10"/>
  <c r="AS344" i="10"/>
  <c r="AR344" i="10"/>
  <c r="AQ344" i="10"/>
  <c r="AP344" i="10"/>
  <c r="AO344" i="10"/>
  <c r="AN344" i="10"/>
  <c r="AM344" i="10"/>
  <c r="AL344" i="10"/>
  <c r="AK344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AX343" i="10"/>
  <c r="AW343" i="10"/>
  <c r="AV343" i="10"/>
  <c r="AU343" i="10"/>
  <c r="AT343" i="10"/>
  <c r="AS343" i="10"/>
  <c r="AR343" i="10"/>
  <c r="AQ343" i="10"/>
  <c r="AP343" i="10"/>
  <c r="AO343" i="10"/>
  <c r="AN343" i="10"/>
  <c r="AM343" i="10"/>
  <c r="AL343" i="10"/>
  <c r="AK343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AX342" i="10"/>
  <c r="AW342" i="10"/>
  <c r="AV342" i="10"/>
  <c r="AU342" i="10"/>
  <c r="AT342" i="10"/>
  <c r="AS342" i="10"/>
  <c r="AR342" i="10"/>
  <c r="AQ342" i="10"/>
  <c r="AP342" i="10"/>
  <c r="AO342" i="10"/>
  <c r="AN342" i="10"/>
  <c r="AM342" i="10"/>
  <c r="AL342" i="10"/>
  <c r="AK342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AX341" i="10"/>
  <c r="AW341" i="10"/>
  <c r="AV341" i="10"/>
  <c r="AU341" i="10"/>
  <c r="AT341" i="10"/>
  <c r="AS341" i="10"/>
  <c r="AR341" i="10"/>
  <c r="AQ341" i="10"/>
  <c r="AP341" i="10"/>
  <c r="AO341" i="10"/>
  <c r="AN341" i="10"/>
  <c r="AM341" i="10"/>
  <c r="AL341" i="10"/>
  <c r="AK341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AX340" i="10"/>
  <c r="AW340" i="10"/>
  <c r="AV340" i="10"/>
  <c r="AU340" i="10"/>
  <c r="AT340" i="10"/>
  <c r="AS340" i="10"/>
  <c r="AR340" i="10"/>
  <c r="AQ340" i="10"/>
  <c r="AP340" i="10"/>
  <c r="AO340" i="10"/>
  <c r="AN340" i="10"/>
  <c r="AM340" i="10"/>
  <c r="AL340" i="10"/>
  <c r="AK340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AX339" i="10"/>
  <c r="AW339" i="10"/>
  <c r="AV339" i="10"/>
  <c r="AU339" i="10"/>
  <c r="AT339" i="10"/>
  <c r="AS339" i="10"/>
  <c r="AR339" i="10"/>
  <c r="AQ339" i="10"/>
  <c r="AP339" i="10"/>
  <c r="AO339" i="10"/>
  <c r="AN339" i="10"/>
  <c r="AM339" i="10"/>
  <c r="AL339" i="10"/>
  <c r="AK339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AX338" i="10"/>
  <c r="AW338" i="10"/>
  <c r="AV338" i="10"/>
  <c r="AU338" i="10"/>
  <c r="AT338" i="10"/>
  <c r="AS338" i="10"/>
  <c r="AR338" i="10"/>
  <c r="AQ338" i="10"/>
  <c r="AP338" i="10"/>
  <c r="AO338" i="10"/>
  <c r="AN338" i="10"/>
  <c r="AM338" i="10"/>
  <c r="AL338" i="10"/>
  <c r="AK338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AX337" i="10"/>
  <c r="AW337" i="10"/>
  <c r="AV337" i="10"/>
  <c r="AU337" i="10"/>
  <c r="AT337" i="10"/>
  <c r="AS337" i="10"/>
  <c r="AR337" i="10"/>
  <c r="AQ337" i="10"/>
  <c r="AP337" i="10"/>
  <c r="AO337" i="10"/>
  <c r="AN337" i="10"/>
  <c r="AM337" i="10"/>
  <c r="AL337" i="10"/>
  <c r="AK337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AX336" i="10"/>
  <c r="AW336" i="10"/>
  <c r="AV336" i="10"/>
  <c r="AU336" i="10"/>
  <c r="AT336" i="10"/>
  <c r="AS336" i="10"/>
  <c r="AR336" i="10"/>
  <c r="AQ336" i="10"/>
  <c r="AP336" i="10"/>
  <c r="AO336" i="10"/>
  <c r="AN336" i="10"/>
  <c r="AM336" i="10"/>
  <c r="AL336" i="10"/>
  <c r="AK336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AX335" i="10"/>
  <c r="AW335" i="10"/>
  <c r="AV335" i="10"/>
  <c r="AU335" i="10"/>
  <c r="AT335" i="10"/>
  <c r="AS335" i="10"/>
  <c r="AR335" i="10"/>
  <c r="AQ335" i="10"/>
  <c r="AP335" i="10"/>
  <c r="AO335" i="10"/>
  <c r="AN335" i="10"/>
  <c r="AM335" i="10"/>
  <c r="AL335" i="10"/>
  <c r="AK335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AX334" i="10"/>
  <c r="AW334" i="10"/>
  <c r="AV334" i="10"/>
  <c r="AU334" i="10"/>
  <c r="AT334" i="10"/>
  <c r="AS334" i="10"/>
  <c r="AR334" i="10"/>
  <c r="AQ334" i="10"/>
  <c r="AP334" i="10"/>
  <c r="AO334" i="10"/>
  <c r="AN334" i="10"/>
  <c r="AM334" i="10"/>
  <c r="AL334" i="10"/>
  <c r="AK334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AX333" i="10"/>
  <c r="AW333" i="10"/>
  <c r="AV333" i="10"/>
  <c r="AU333" i="10"/>
  <c r="AT333" i="10"/>
  <c r="AS333" i="10"/>
  <c r="AR333" i="10"/>
  <c r="AQ333" i="10"/>
  <c r="AP333" i="10"/>
  <c r="AO333" i="10"/>
  <c r="AN333" i="10"/>
  <c r="AM333" i="10"/>
  <c r="AL333" i="10"/>
  <c r="AK333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AX332" i="10"/>
  <c r="AW332" i="10"/>
  <c r="AV332" i="10"/>
  <c r="AU332" i="10"/>
  <c r="AT332" i="10"/>
  <c r="AS332" i="10"/>
  <c r="AR332" i="10"/>
  <c r="AQ332" i="10"/>
  <c r="AP332" i="10"/>
  <c r="AO332" i="10"/>
  <c r="AN332" i="10"/>
  <c r="AM332" i="10"/>
  <c r="AL332" i="10"/>
  <c r="AK332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AX331" i="10"/>
  <c r="AW331" i="10"/>
  <c r="AV331" i="10"/>
  <c r="AU331" i="10"/>
  <c r="AT331" i="10"/>
  <c r="AS331" i="10"/>
  <c r="AR331" i="10"/>
  <c r="AQ331" i="10"/>
  <c r="AP331" i="10"/>
  <c r="AO331" i="10"/>
  <c r="AN331" i="10"/>
  <c r="AM331" i="10"/>
  <c r="AL331" i="10"/>
  <c r="AK331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AX330" i="10"/>
  <c r="AW330" i="10"/>
  <c r="AV330" i="10"/>
  <c r="AU330" i="10"/>
  <c r="AT330" i="10"/>
  <c r="AS330" i="10"/>
  <c r="AR330" i="10"/>
  <c r="AQ330" i="10"/>
  <c r="AP330" i="10"/>
  <c r="AO330" i="10"/>
  <c r="AN330" i="10"/>
  <c r="AM330" i="10"/>
  <c r="AL330" i="10"/>
  <c r="AK330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AX329" i="10"/>
  <c r="AW329" i="10"/>
  <c r="AV329" i="10"/>
  <c r="AU329" i="10"/>
  <c r="AT329" i="10"/>
  <c r="AS329" i="10"/>
  <c r="AR329" i="10"/>
  <c r="AQ329" i="10"/>
  <c r="AP329" i="10"/>
  <c r="AO329" i="10"/>
  <c r="AN329" i="10"/>
  <c r="AM329" i="10"/>
  <c r="AL329" i="10"/>
  <c r="AK329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AX328" i="10"/>
  <c r="AW328" i="10"/>
  <c r="AV328" i="10"/>
  <c r="AU328" i="10"/>
  <c r="AT328" i="10"/>
  <c r="AS328" i="10"/>
  <c r="AR328" i="10"/>
  <c r="AQ328" i="10"/>
  <c r="AP328" i="10"/>
  <c r="AO328" i="10"/>
  <c r="AN328" i="10"/>
  <c r="AM328" i="10"/>
  <c r="AL328" i="10"/>
  <c r="AK328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AX327" i="10"/>
  <c r="AW327" i="10"/>
  <c r="AV327" i="10"/>
  <c r="AU327" i="10"/>
  <c r="AT327" i="10"/>
  <c r="AS327" i="10"/>
  <c r="AR327" i="10"/>
  <c r="AQ327" i="10"/>
  <c r="AP327" i="10"/>
  <c r="AO327" i="10"/>
  <c r="AN327" i="10"/>
  <c r="AM327" i="10"/>
  <c r="AL327" i="10"/>
  <c r="AK327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AX326" i="10"/>
  <c r="AW326" i="10"/>
  <c r="AV326" i="10"/>
  <c r="AU326" i="10"/>
  <c r="AT326" i="10"/>
  <c r="AS326" i="10"/>
  <c r="AR326" i="10"/>
  <c r="AQ326" i="10"/>
  <c r="AP326" i="10"/>
  <c r="AO326" i="10"/>
  <c r="AN326" i="10"/>
  <c r="AM326" i="10"/>
  <c r="AL326" i="10"/>
  <c r="AK326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AX325" i="10"/>
  <c r="AW325" i="10"/>
  <c r="AV325" i="10"/>
  <c r="AU325" i="10"/>
  <c r="AT325" i="10"/>
  <c r="AS325" i="10"/>
  <c r="AR325" i="10"/>
  <c r="AQ325" i="10"/>
  <c r="AP325" i="10"/>
  <c r="AO325" i="10"/>
  <c r="AN325" i="10"/>
  <c r="AM325" i="10"/>
  <c r="AL325" i="10"/>
  <c r="AK325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AX324" i="10"/>
  <c r="AW324" i="10"/>
  <c r="AV324" i="10"/>
  <c r="AU324" i="10"/>
  <c r="AT324" i="10"/>
  <c r="AS324" i="10"/>
  <c r="AR324" i="10"/>
  <c r="AQ324" i="10"/>
  <c r="AP324" i="10"/>
  <c r="AO324" i="10"/>
  <c r="AN324" i="10"/>
  <c r="AM324" i="10"/>
  <c r="AL324" i="10"/>
  <c r="AK324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AX323" i="10"/>
  <c r="AW323" i="10"/>
  <c r="AV323" i="10"/>
  <c r="AU323" i="10"/>
  <c r="AT323" i="10"/>
  <c r="AS323" i="10"/>
  <c r="AR323" i="10"/>
  <c r="AQ323" i="10"/>
  <c r="AP323" i="10"/>
  <c r="AO323" i="10"/>
  <c r="AN323" i="10"/>
  <c r="AM323" i="10"/>
  <c r="AL323" i="10"/>
  <c r="AK323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AX322" i="10"/>
  <c r="AW322" i="10"/>
  <c r="AV322" i="10"/>
  <c r="AU322" i="10"/>
  <c r="AT322" i="10"/>
  <c r="AS322" i="10"/>
  <c r="AR322" i="10"/>
  <c r="AQ322" i="10"/>
  <c r="AP322" i="10"/>
  <c r="AO322" i="10"/>
  <c r="AN322" i="10"/>
  <c r="AM322" i="10"/>
  <c r="AL322" i="10"/>
  <c r="AK322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AX321" i="10"/>
  <c r="AW321" i="10"/>
  <c r="AV321" i="10"/>
  <c r="AU321" i="10"/>
  <c r="AT321" i="10"/>
  <c r="AS321" i="10"/>
  <c r="AR321" i="10"/>
  <c r="AQ321" i="10"/>
  <c r="AP321" i="10"/>
  <c r="AO321" i="10"/>
  <c r="AN321" i="10"/>
  <c r="AM321" i="10"/>
  <c r="AL321" i="10"/>
  <c r="AK321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AX320" i="10"/>
  <c r="AW320" i="10"/>
  <c r="AV320" i="10"/>
  <c r="AU320" i="10"/>
  <c r="AT320" i="10"/>
  <c r="AS320" i="10"/>
  <c r="AR320" i="10"/>
  <c r="AQ320" i="10"/>
  <c r="AP320" i="10"/>
  <c r="AO320" i="10"/>
  <c r="AN320" i="10"/>
  <c r="AM320" i="10"/>
  <c r="AL320" i="10"/>
  <c r="AK320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AX319" i="10"/>
  <c r="AW319" i="10"/>
  <c r="AV319" i="10"/>
  <c r="AU319" i="10"/>
  <c r="AT319" i="10"/>
  <c r="AS319" i="10"/>
  <c r="AR319" i="10"/>
  <c r="AQ319" i="10"/>
  <c r="AP319" i="10"/>
  <c r="AO319" i="10"/>
  <c r="AN319" i="10"/>
  <c r="AM319" i="10"/>
  <c r="AL319" i="10"/>
  <c r="AK319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AX318" i="10"/>
  <c r="AW318" i="10"/>
  <c r="AV318" i="10"/>
  <c r="AU318" i="10"/>
  <c r="AT318" i="10"/>
  <c r="AS318" i="10"/>
  <c r="AR318" i="10"/>
  <c r="AQ318" i="10"/>
  <c r="AP318" i="10"/>
  <c r="AO318" i="10"/>
  <c r="AN318" i="10"/>
  <c r="AM318" i="10"/>
  <c r="AL318" i="10"/>
  <c r="AK318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AX317" i="10"/>
  <c r="AW317" i="10"/>
  <c r="AV317" i="10"/>
  <c r="AU317" i="10"/>
  <c r="AT317" i="10"/>
  <c r="AS317" i="10"/>
  <c r="AR317" i="10"/>
  <c r="AQ317" i="10"/>
  <c r="AP317" i="10"/>
  <c r="AO317" i="10"/>
  <c r="AN317" i="10"/>
  <c r="AM317" i="10"/>
  <c r="AL317" i="10"/>
  <c r="AK317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AX316" i="10"/>
  <c r="AW316" i="10"/>
  <c r="AV316" i="10"/>
  <c r="AU316" i="10"/>
  <c r="AT316" i="10"/>
  <c r="AS316" i="10"/>
  <c r="AR316" i="10"/>
  <c r="AQ316" i="10"/>
  <c r="AP316" i="10"/>
  <c r="AO316" i="10"/>
  <c r="AN316" i="10"/>
  <c r="AM316" i="10"/>
  <c r="AL316" i="10"/>
  <c r="AK316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AX315" i="10"/>
  <c r="AW315" i="10"/>
  <c r="AV315" i="10"/>
  <c r="AU315" i="10"/>
  <c r="AT315" i="10"/>
  <c r="AS315" i="10"/>
  <c r="AR315" i="10"/>
  <c r="AQ315" i="10"/>
  <c r="AP315" i="10"/>
  <c r="AO315" i="10"/>
  <c r="AN315" i="10"/>
  <c r="AM315" i="10"/>
  <c r="AL315" i="10"/>
  <c r="AK315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AX314" i="10"/>
  <c r="AW314" i="10"/>
  <c r="AV314" i="10"/>
  <c r="AU314" i="10"/>
  <c r="AT314" i="10"/>
  <c r="AS314" i="10"/>
  <c r="AR314" i="10"/>
  <c r="AQ314" i="10"/>
  <c r="AP314" i="10"/>
  <c r="AO314" i="10"/>
  <c r="AN314" i="10"/>
  <c r="AM314" i="10"/>
  <c r="AL314" i="10"/>
  <c r="AK314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AX313" i="10"/>
  <c r="AW313" i="10"/>
  <c r="AV313" i="10"/>
  <c r="AU313" i="10"/>
  <c r="AT313" i="10"/>
  <c r="AS313" i="10"/>
  <c r="AR313" i="10"/>
  <c r="AQ313" i="10"/>
  <c r="AP313" i="10"/>
  <c r="AO313" i="10"/>
  <c r="AN313" i="10"/>
  <c r="AM313" i="10"/>
  <c r="AL313" i="10"/>
  <c r="AK313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AX312" i="10"/>
  <c r="AW312" i="10"/>
  <c r="AV312" i="10"/>
  <c r="AU312" i="10"/>
  <c r="AT312" i="10"/>
  <c r="AS312" i="10"/>
  <c r="AR312" i="10"/>
  <c r="AQ312" i="10"/>
  <c r="AP312" i="10"/>
  <c r="AO312" i="10"/>
  <c r="AN312" i="10"/>
  <c r="AM312" i="10"/>
  <c r="AL312" i="10"/>
  <c r="AK312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AX311" i="10"/>
  <c r="AW311" i="10"/>
  <c r="AV311" i="10"/>
  <c r="AU311" i="10"/>
  <c r="AT311" i="10"/>
  <c r="AS311" i="10"/>
  <c r="AR311" i="10"/>
  <c r="AQ311" i="10"/>
  <c r="AP311" i="10"/>
  <c r="AO311" i="10"/>
  <c r="AN311" i="10"/>
  <c r="AM311" i="10"/>
  <c r="AL311" i="10"/>
  <c r="AK311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AX310" i="10"/>
  <c r="AW310" i="10"/>
  <c r="AV310" i="10"/>
  <c r="AU310" i="10"/>
  <c r="AT310" i="10"/>
  <c r="AS310" i="10"/>
  <c r="AR310" i="10"/>
  <c r="AQ310" i="10"/>
  <c r="AP310" i="10"/>
  <c r="AO310" i="10"/>
  <c r="AN310" i="10"/>
  <c r="AM310" i="10"/>
  <c r="AL310" i="10"/>
  <c r="AK310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AX309" i="10"/>
  <c r="AW309" i="10"/>
  <c r="AV309" i="10"/>
  <c r="AU309" i="10"/>
  <c r="AT309" i="10"/>
  <c r="AS309" i="10"/>
  <c r="AR309" i="10"/>
  <c r="AQ309" i="10"/>
  <c r="AP309" i="10"/>
  <c r="AO309" i="10"/>
  <c r="AN309" i="10"/>
  <c r="AM309" i="10"/>
  <c r="AL309" i="10"/>
  <c r="AK309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AX308" i="10"/>
  <c r="AW308" i="10"/>
  <c r="AV308" i="10"/>
  <c r="AU308" i="10"/>
  <c r="AT308" i="10"/>
  <c r="AS308" i="10"/>
  <c r="AR308" i="10"/>
  <c r="AQ308" i="10"/>
  <c r="AP308" i="10"/>
  <c r="AO308" i="10"/>
  <c r="AN308" i="10"/>
  <c r="AM308" i="10"/>
  <c r="AL308" i="10"/>
  <c r="AK308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AX307" i="10"/>
  <c r="AW307" i="10"/>
  <c r="AV307" i="10"/>
  <c r="AU307" i="10"/>
  <c r="AT307" i="10"/>
  <c r="AS307" i="10"/>
  <c r="AR307" i="10"/>
  <c r="AQ307" i="10"/>
  <c r="AP307" i="10"/>
  <c r="AO307" i="10"/>
  <c r="AN307" i="10"/>
  <c r="AM307" i="10"/>
  <c r="AL307" i="10"/>
  <c r="AK307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AX306" i="10"/>
  <c r="AW306" i="10"/>
  <c r="AV306" i="10"/>
  <c r="AU306" i="10"/>
  <c r="AT306" i="10"/>
  <c r="AS306" i="10"/>
  <c r="AR306" i="10"/>
  <c r="AQ306" i="10"/>
  <c r="AP306" i="10"/>
  <c r="AO306" i="10"/>
  <c r="AN306" i="10"/>
  <c r="AM306" i="10"/>
  <c r="AL306" i="10"/>
  <c r="AK306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AX305" i="10"/>
  <c r="AW305" i="10"/>
  <c r="AV305" i="10"/>
  <c r="AU305" i="10"/>
  <c r="AT305" i="10"/>
  <c r="AS305" i="10"/>
  <c r="AR305" i="10"/>
  <c r="AQ305" i="10"/>
  <c r="AP305" i="10"/>
  <c r="AO305" i="10"/>
  <c r="AN305" i="10"/>
  <c r="AM305" i="10"/>
  <c r="AL305" i="10"/>
  <c r="AK305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AX304" i="10"/>
  <c r="AW304" i="10"/>
  <c r="AV304" i="10"/>
  <c r="AU304" i="10"/>
  <c r="AT304" i="10"/>
  <c r="AS304" i="10"/>
  <c r="AR304" i="10"/>
  <c r="AQ304" i="10"/>
  <c r="AP304" i="10"/>
  <c r="AO304" i="10"/>
  <c r="AN304" i="10"/>
  <c r="AM304" i="10"/>
  <c r="AL304" i="10"/>
  <c r="AK304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AX303" i="10"/>
  <c r="AW303" i="10"/>
  <c r="AV303" i="10"/>
  <c r="AU303" i="10"/>
  <c r="AT303" i="10"/>
  <c r="AS303" i="10"/>
  <c r="AR303" i="10"/>
  <c r="AQ303" i="10"/>
  <c r="AP303" i="10"/>
  <c r="AO303" i="10"/>
  <c r="AN303" i="10"/>
  <c r="AM303" i="10"/>
  <c r="AL303" i="10"/>
  <c r="AK303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AX302" i="10"/>
  <c r="AW302" i="10"/>
  <c r="AV302" i="10"/>
  <c r="AU302" i="10"/>
  <c r="AT302" i="10"/>
  <c r="AS302" i="10"/>
  <c r="AR302" i="10"/>
  <c r="AQ302" i="10"/>
  <c r="AP302" i="10"/>
  <c r="AO302" i="10"/>
  <c r="AN302" i="10"/>
  <c r="AM302" i="10"/>
  <c r="AL302" i="10"/>
  <c r="AK302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AX301" i="10"/>
  <c r="AW301" i="10"/>
  <c r="AV301" i="10"/>
  <c r="AU301" i="10"/>
  <c r="AT301" i="10"/>
  <c r="AS301" i="10"/>
  <c r="AR301" i="10"/>
  <c r="AQ301" i="10"/>
  <c r="AP301" i="10"/>
  <c r="AO301" i="10"/>
  <c r="AN301" i="10"/>
  <c r="AM301" i="10"/>
  <c r="AL301" i="10"/>
  <c r="AK301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AX300" i="10"/>
  <c r="AW300" i="10"/>
  <c r="AV300" i="10"/>
  <c r="AU300" i="10"/>
  <c r="AT300" i="10"/>
  <c r="AS300" i="10"/>
  <c r="AR300" i="10"/>
  <c r="AQ300" i="10"/>
  <c r="AP300" i="10"/>
  <c r="AO300" i="10"/>
  <c r="AN300" i="10"/>
  <c r="AM300" i="10"/>
  <c r="AL300" i="10"/>
  <c r="AK300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AX299" i="10"/>
  <c r="AW299" i="10"/>
  <c r="AV299" i="10"/>
  <c r="AU299" i="10"/>
  <c r="AT299" i="10"/>
  <c r="AS299" i="10"/>
  <c r="AR299" i="10"/>
  <c r="AQ299" i="10"/>
  <c r="AP299" i="10"/>
  <c r="AO299" i="10"/>
  <c r="AN299" i="10"/>
  <c r="AM299" i="10"/>
  <c r="AL299" i="10"/>
  <c r="AK299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AX298" i="10"/>
  <c r="AW298" i="10"/>
  <c r="AV298" i="10"/>
  <c r="AU298" i="10"/>
  <c r="AT298" i="10"/>
  <c r="AS298" i="10"/>
  <c r="AR298" i="10"/>
  <c r="AQ298" i="10"/>
  <c r="AP298" i="10"/>
  <c r="AO298" i="10"/>
  <c r="AN298" i="10"/>
  <c r="AM298" i="10"/>
  <c r="AL298" i="10"/>
  <c r="AK298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AX297" i="10"/>
  <c r="AW297" i="10"/>
  <c r="AV297" i="10"/>
  <c r="AU297" i="10"/>
  <c r="AT297" i="10"/>
  <c r="AS297" i="10"/>
  <c r="AR297" i="10"/>
  <c r="AQ297" i="10"/>
  <c r="AP297" i="10"/>
  <c r="AO297" i="10"/>
  <c r="AN297" i="10"/>
  <c r="AM297" i="10"/>
  <c r="AL297" i="10"/>
  <c r="AK297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AX296" i="10"/>
  <c r="AW296" i="10"/>
  <c r="AV296" i="10"/>
  <c r="AU296" i="10"/>
  <c r="AT296" i="10"/>
  <c r="AS296" i="10"/>
  <c r="AR296" i="10"/>
  <c r="AQ296" i="10"/>
  <c r="AP296" i="10"/>
  <c r="AO296" i="10"/>
  <c r="AN296" i="10"/>
  <c r="AM296" i="10"/>
  <c r="AL296" i="10"/>
  <c r="AK296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AX295" i="10"/>
  <c r="AW295" i="10"/>
  <c r="AV295" i="10"/>
  <c r="AU295" i="10"/>
  <c r="AT295" i="10"/>
  <c r="AS295" i="10"/>
  <c r="AR295" i="10"/>
  <c r="AQ295" i="10"/>
  <c r="AP295" i="10"/>
  <c r="AO295" i="10"/>
  <c r="AN295" i="10"/>
  <c r="AM295" i="10"/>
  <c r="AL295" i="10"/>
  <c r="AK295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AX294" i="10"/>
  <c r="AW294" i="10"/>
  <c r="AV294" i="10"/>
  <c r="AU294" i="10"/>
  <c r="AT294" i="10"/>
  <c r="AS294" i="10"/>
  <c r="AR294" i="10"/>
  <c r="AQ294" i="10"/>
  <c r="AP294" i="10"/>
  <c r="AO294" i="10"/>
  <c r="AN294" i="10"/>
  <c r="AM294" i="10"/>
  <c r="AL294" i="10"/>
  <c r="AK294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AX293" i="10"/>
  <c r="AW293" i="10"/>
  <c r="AV293" i="10"/>
  <c r="AU293" i="10"/>
  <c r="AT293" i="10"/>
  <c r="AS293" i="10"/>
  <c r="AR293" i="10"/>
  <c r="AQ293" i="10"/>
  <c r="AP293" i="10"/>
  <c r="AO293" i="10"/>
  <c r="AN293" i="10"/>
  <c r="AM293" i="10"/>
  <c r="AL293" i="10"/>
  <c r="AK293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AX292" i="10"/>
  <c r="AW292" i="10"/>
  <c r="AV292" i="10"/>
  <c r="AU292" i="10"/>
  <c r="AT292" i="10"/>
  <c r="AS292" i="10"/>
  <c r="AR292" i="10"/>
  <c r="AQ292" i="10"/>
  <c r="AP292" i="10"/>
  <c r="AO292" i="10"/>
  <c r="AN292" i="10"/>
  <c r="AM292" i="10"/>
  <c r="AL292" i="10"/>
  <c r="AK292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AX291" i="10"/>
  <c r="AW291" i="10"/>
  <c r="AV291" i="10"/>
  <c r="AU291" i="10"/>
  <c r="AT291" i="10"/>
  <c r="AS291" i="10"/>
  <c r="AR291" i="10"/>
  <c r="AQ291" i="10"/>
  <c r="AP291" i="10"/>
  <c r="AO291" i="10"/>
  <c r="AN291" i="10"/>
  <c r="AM291" i="10"/>
  <c r="AL291" i="10"/>
  <c r="AK291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AX290" i="10"/>
  <c r="AW290" i="10"/>
  <c r="AV290" i="10"/>
  <c r="AU290" i="10"/>
  <c r="AT290" i="10"/>
  <c r="AS290" i="10"/>
  <c r="AR290" i="10"/>
  <c r="AQ290" i="10"/>
  <c r="AP290" i="10"/>
  <c r="AO290" i="10"/>
  <c r="AN290" i="10"/>
  <c r="AM290" i="10"/>
  <c r="AL290" i="10"/>
  <c r="AK290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AX289" i="10"/>
  <c r="AW289" i="10"/>
  <c r="AV289" i="10"/>
  <c r="AU289" i="10"/>
  <c r="AT289" i="10"/>
  <c r="AS289" i="10"/>
  <c r="AR289" i="10"/>
  <c r="AQ289" i="10"/>
  <c r="AP289" i="10"/>
  <c r="AO289" i="10"/>
  <c r="AN289" i="10"/>
  <c r="AM289" i="10"/>
  <c r="AL289" i="10"/>
  <c r="AK289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AX288" i="10"/>
  <c r="AW288" i="10"/>
  <c r="AV288" i="10"/>
  <c r="AU288" i="10"/>
  <c r="AT288" i="10"/>
  <c r="AS288" i="10"/>
  <c r="AR288" i="10"/>
  <c r="AQ288" i="10"/>
  <c r="AP288" i="10"/>
  <c r="AO288" i="10"/>
  <c r="AN288" i="10"/>
  <c r="AM288" i="10"/>
  <c r="AL288" i="10"/>
  <c r="AK288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AX287" i="10"/>
  <c r="AW287" i="10"/>
  <c r="AV287" i="10"/>
  <c r="AU287" i="10"/>
  <c r="AT287" i="10"/>
  <c r="AS287" i="10"/>
  <c r="AR287" i="10"/>
  <c r="AQ287" i="10"/>
  <c r="AP287" i="10"/>
  <c r="AO287" i="10"/>
  <c r="AN287" i="10"/>
  <c r="AM287" i="10"/>
  <c r="AL287" i="10"/>
  <c r="AK287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AX286" i="10"/>
  <c r="AW286" i="10"/>
  <c r="AV286" i="10"/>
  <c r="AU286" i="10"/>
  <c r="AT286" i="10"/>
  <c r="AS286" i="10"/>
  <c r="AR286" i="10"/>
  <c r="AQ286" i="10"/>
  <c r="AP286" i="10"/>
  <c r="AO286" i="10"/>
  <c r="AN286" i="10"/>
  <c r="AM286" i="10"/>
  <c r="AL286" i="10"/>
  <c r="AK286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AX285" i="10"/>
  <c r="AW285" i="10"/>
  <c r="AV285" i="10"/>
  <c r="AU285" i="10"/>
  <c r="AT285" i="10"/>
  <c r="AS285" i="10"/>
  <c r="AR285" i="10"/>
  <c r="AQ285" i="10"/>
  <c r="AP285" i="10"/>
  <c r="AO285" i="10"/>
  <c r="AN285" i="10"/>
  <c r="AM285" i="10"/>
  <c r="AL285" i="10"/>
  <c r="AK285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AX284" i="10"/>
  <c r="AW284" i="10"/>
  <c r="AV284" i="10"/>
  <c r="AU284" i="10"/>
  <c r="AT284" i="10"/>
  <c r="AS284" i="10"/>
  <c r="AR284" i="10"/>
  <c r="AQ284" i="10"/>
  <c r="AP284" i="10"/>
  <c r="AO284" i="10"/>
  <c r="AN284" i="10"/>
  <c r="AM284" i="10"/>
  <c r="AL284" i="10"/>
  <c r="AK284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AX283" i="10"/>
  <c r="AW283" i="10"/>
  <c r="AV283" i="10"/>
  <c r="AU283" i="10"/>
  <c r="AT283" i="10"/>
  <c r="AS283" i="10"/>
  <c r="AR283" i="10"/>
  <c r="AQ283" i="10"/>
  <c r="AP283" i="10"/>
  <c r="AO283" i="10"/>
  <c r="AN283" i="10"/>
  <c r="AM283" i="10"/>
  <c r="AL283" i="10"/>
  <c r="AK283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AX282" i="10"/>
  <c r="AW282" i="10"/>
  <c r="AV282" i="10"/>
  <c r="AU282" i="10"/>
  <c r="AT282" i="10"/>
  <c r="AS282" i="10"/>
  <c r="AR282" i="10"/>
  <c r="AQ282" i="10"/>
  <c r="AP282" i="10"/>
  <c r="AO282" i="10"/>
  <c r="AN282" i="10"/>
  <c r="AM282" i="10"/>
  <c r="AL282" i="10"/>
  <c r="AK282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AX281" i="10"/>
  <c r="AW281" i="10"/>
  <c r="AV281" i="10"/>
  <c r="AU281" i="10"/>
  <c r="AT281" i="10"/>
  <c r="AS281" i="10"/>
  <c r="AR281" i="10"/>
  <c r="AQ281" i="10"/>
  <c r="AP281" i="10"/>
  <c r="AO281" i="10"/>
  <c r="AN281" i="10"/>
  <c r="AM281" i="10"/>
  <c r="AL281" i="10"/>
  <c r="AK281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AX280" i="10"/>
  <c r="AW280" i="10"/>
  <c r="AV280" i="10"/>
  <c r="AU280" i="10"/>
  <c r="AT280" i="10"/>
  <c r="AS280" i="10"/>
  <c r="AR280" i="10"/>
  <c r="AQ280" i="10"/>
  <c r="AP280" i="10"/>
  <c r="AO280" i="10"/>
  <c r="AN280" i="10"/>
  <c r="AM280" i="10"/>
  <c r="AL280" i="10"/>
  <c r="AK280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AX279" i="10"/>
  <c r="AW279" i="10"/>
  <c r="AV279" i="10"/>
  <c r="AU279" i="10"/>
  <c r="AT279" i="10"/>
  <c r="AS279" i="10"/>
  <c r="AR279" i="10"/>
  <c r="AQ279" i="10"/>
  <c r="AP279" i="10"/>
  <c r="AO279" i="10"/>
  <c r="AN279" i="10"/>
  <c r="AM279" i="10"/>
  <c r="AL279" i="10"/>
  <c r="AK279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AX278" i="10"/>
  <c r="AW278" i="10"/>
  <c r="AV278" i="10"/>
  <c r="AU278" i="10"/>
  <c r="AT278" i="10"/>
  <c r="AS278" i="10"/>
  <c r="AR278" i="10"/>
  <c r="AQ278" i="10"/>
  <c r="AP278" i="10"/>
  <c r="AO278" i="10"/>
  <c r="AN278" i="10"/>
  <c r="AM278" i="10"/>
  <c r="AL278" i="10"/>
  <c r="AK278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AX277" i="10"/>
  <c r="AW277" i="10"/>
  <c r="AV277" i="10"/>
  <c r="AU277" i="10"/>
  <c r="AT277" i="10"/>
  <c r="AS277" i="10"/>
  <c r="AR277" i="10"/>
  <c r="AQ277" i="10"/>
  <c r="AP277" i="10"/>
  <c r="AO277" i="10"/>
  <c r="AN277" i="10"/>
  <c r="AM277" i="10"/>
  <c r="AL277" i="10"/>
  <c r="AK277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AX276" i="10"/>
  <c r="AW276" i="10"/>
  <c r="AV276" i="10"/>
  <c r="AU276" i="10"/>
  <c r="AT276" i="10"/>
  <c r="AS276" i="10"/>
  <c r="AR276" i="10"/>
  <c r="AQ276" i="10"/>
  <c r="AP276" i="10"/>
  <c r="AO276" i="10"/>
  <c r="AN276" i="10"/>
  <c r="AM276" i="10"/>
  <c r="AL276" i="10"/>
  <c r="AK276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AX275" i="10"/>
  <c r="AW275" i="10"/>
  <c r="AV275" i="10"/>
  <c r="AU275" i="10"/>
  <c r="AT275" i="10"/>
  <c r="AS275" i="10"/>
  <c r="AR275" i="10"/>
  <c r="AQ275" i="10"/>
  <c r="AP275" i="10"/>
  <c r="AO275" i="10"/>
  <c r="AN275" i="10"/>
  <c r="AM275" i="10"/>
  <c r="AL275" i="10"/>
  <c r="AK275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AX274" i="10"/>
  <c r="AW274" i="10"/>
  <c r="AV274" i="10"/>
  <c r="AU274" i="10"/>
  <c r="AT274" i="10"/>
  <c r="AS274" i="10"/>
  <c r="AR274" i="10"/>
  <c r="AQ274" i="10"/>
  <c r="AP274" i="10"/>
  <c r="AO274" i="10"/>
  <c r="AN274" i="10"/>
  <c r="AM274" i="10"/>
  <c r="AL274" i="10"/>
  <c r="AK274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AX273" i="10"/>
  <c r="AW273" i="10"/>
  <c r="AV273" i="10"/>
  <c r="AU273" i="10"/>
  <c r="AT273" i="10"/>
  <c r="AS273" i="10"/>
  <c r="AR273" i="10"/>
  <c r="AQ273" i="10"/>
  <c r="AP273" i="10"/>
  <c r="AO273" i="10"/>
  <c r="AN273" i="10"/>
  <c r="AM273" i="10"/>
  <c r="AL273" i="10"/>
  <c r="AK273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AX272" i="10"/>
  <c r="AW272" i="10"/>
  <c r="AV272" i="10"/>
  <c r="AU272" i="10"/>
  <c r="AT272" i="10"/>
  <c r="AS272" i="10"/>
  <c r="AR272" i="10"/>
  <c r="AQ272" i="10"/>
  <c r="AP272" i="10"/>
  <c r="AO272" i="10"/>
  <c r="AN272" i="10"/>
  <c r="AM272" i="10"/>
  <c r="AL272" i="10"/>
  <c r="AK272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AX271" i="10"/>
  <c r="AW271" i="10"/>
  <c r="AV271" i="10"/>
  <c r="AU271" i="10"/>
  <c r="AT271" i="10"/>
  <c r="AS271" i="10"/>
  <c r="AR271" i="10"/>
  <c r="AQ271" i="10"/>
  <c r="AP271" i="10"/>
  <c r="AO271" i="10"/>
  <c r="AN271" i="10"/>
  <c r="AM271" i="10"/>
  <c r="AL271" i="10"/>
  <c r="AK271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AX270" i="10"/>
  <c r="AW270" i="10"/>
  <c r="AV270" i="10"/>
  <c r="AU270" i="10"/>
  <c r="AT270" i="10"/>
  <c r="AS270" i="10"/>
  <c r="AR270" i="10"/>
  <c r="AQ270" i="10"/>
  <c r="AP270" i="10"/>
  <c r="AO270" i="10"/>
  <c r="AN270" i="10"/>
  <c r="AM270" i="10"/>
  <c r="AL270" i="10"/>
  <c r="AK270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AX269" i="10"/>
  <c r="AW269" i="10"/>
  <c r="AV269" i="10"/>
  <c r="AU269" i="10"/>
  <c r="AT269" i="10"/>
  <c r="AS269" i="10"/>
  <c r="AR269" i="10"/>
  <c r="AQ269" i="10"/>
  <c r="AP269" i="10"/>
  <c r="AO269" i="10"/>
  <c r="AN269" i="10"/>
  <c r="AM269" i="10"/>
  <c r="AL269" i="10"/>
  <c r="AK269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AX268" i="10"/>
  <c r="AW268" i="10"/>
  <c r="AV268" i="10"/>
  <c r="AU268" i="10"/>
  <c r="AT268" i="10"/>
  <c r="AS268" i="10"/>
  <c r="AR268" i="10"/>
  <c r="AQ268" i="10"/>
  <c r="AP268" i="10"/>
  <c r="AO268" i="10"/>
  <c r="AN268" i="10"/>
  <c r="AM268" i="10"/>
  <c r="AL268" i="10"/>
  <c r="AK268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AX267" i="10"/>
  <c r="AW267" i="10"/>
  <c r="AV267" i="10"/>
  <c r="AU267" i="10"/>
  <c r="AT267" i="10"/>
  <c r="AS267" i="10"/>
  <c r="AR267" i="10"/>
  <c r="AQ267" i="10"/>
  <c r="AP267" i="10"/>
  <c r="AO267" i="10"/>
  <c r="AN267" i="10"/>
  <c r="AM267" i="10"/>
  <c r="AL267" i="10"/>
  <c r="AK267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AX266" i="10"/>
  <c r="AW266" i="10"/>
  <c r="AV266" i="10"/>
  <c r="AU266" i="10"/>
  <c r="AT266" i="10"/>
  <c r="AS266" i="10"/>
  <c r="AR266" i="10"/>
  <c r="AQ266" i="10"/>
  <c r="AP266" i="10"/>
  <c r="AO266" i="10"/>
  <c r="AN266" i="10"/>
  <c r="AM266" i="10"/>
  <c r="AL266" i="10"/>
  <c r="AK266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AX265" i="10"/>
  <c r="AW265" i="10"/>
  <c r="AV265" i="10"/>
  <c r="AU265" i="10"/>
  <c r="AT265" i="10"/>
  <c r="AS265" i="10"/>
  <c r="AR265" i="10"/>
  <c r="AQ265" i="10"/>
  <c r="AP265" i="10"/>
  <c r="AO265" i="10"/>
  <c r="AN265" i="10"/>
  <c r="AM265" i="10"/>
  <c r="AL265" i="10"/>
  <c r="AK265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AX264" i="10"/>
  <c r="AW264" i="10"/>
  <c r="AV264" i="10"/>
  <c r="AU264" i="10"/>
  <c r="AT264" i="10"/>
  <c r="AS264" i="10"/>
  <c r="AR264" i="10"/>
  <c r="AQ264" i="10"/>
  <c r="AP264" i="10"/>
  <c r="AO264" i="10"/>
  <c r="AN264" i="10"/>
  <c r="AM264" i="10"/>
  <c r="AL264" i="10"/>
  <c r="AK264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AX263" i="10"/>
  <c r="AW263" i="10"/>
  <c r="AV263" i="10"/>
  <c r="AU263" i="10"/>
  <c r="AT263" i="10"/>
  <c r="AS263" i="10"/>
  <c r="AR263" i="10"/>
  <c r="AQ263" i="10"/>
  <c r="AP263" i="10"/>
  <c r="AO263" i="10"/>
  <c r="AN263" i="10"/>
  <c r="AM263" i="10"/>
  <c r="AL263" i="10"/>
  <c r="AK263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AX262" i="10"/>
  <c r="AW262" i="10"/>
  <c r="AV262" i="10"/>
  <c r="AU262" i="10"/>
  <c r="AT262" i="10"/>
  <c r="AS262" i="10"/>
  <c r="AR262" i="10"/>
  <c r="AQ262" i="10"/>
  <c r="AP262" i="10"/>
  <c r="AO262" i="10"/>
  <c r="AN262" i="10"/>
  <c r="AM262" i="10"/>
  <c r="AL262" i="10"/>
  <c r="AK262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AX261" i="10"/>
  <c r="AW261" i="10"/>
  <c r="AV261" i="10"/>
  <c r="AU261" i="10"/>
  <c r="AT261" i="10"/>
  <c r="AS261" i="10"/>
  <c r="AR261" i="10"/>
  <c r="AQ261" i="10"/>
  <c r="AP261" i="10"/>
  <c r="AO261" i="10"/>
  <c r="AN261" i="10"/>
  <c r="AM261" i="10"/>
  <c r="AL261" i="10"/>
  <c r="AK261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AX260" i="10"/>
  <c r="AW260" i="10"/>
  <c r="AV260" i="10"/>
  <c r="AU260" i="10"/>
  <c r="AT260" i="10"/>
  <c r="AS260" i="10"/>
  <c r="AR260" i="10"/>
  <c r="AQ260" i="10"/>
  <c r="AP260" i="10"/>
  <c r="AO260" i="10"/>
  <c r="AN260" i="10"/>
  <c r="AM260" i="10"/>
  <c r="AL260" i="10"/>
  <c r="AK260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AX259" i="10"/>
  <c r="AW259" i="10"/>
  <c r="AV259" i="10"/>
  <c r="AU259" i="10"/>
  <c r="AT259" i="10"/>
  <c r="AS259" i="10"/>
  <c r="AR259" i="10"/>
  <c r="AQ259" i="10"/>
  <c r="AP259" i="10"/>
  <c r="AO259" i="10"/>
  <c r="AN259" i="10"/>
  <c r="AM259" i="10"/>
  <c r="AL259" i="10"/>
  <c r="AK259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AX258" i="10"/>
  <c r="AW258" i="10"/>
  <c r="AV258" i="10"/>
  <c r="AU258" i="10"/>
  <c r="AT258" i="10"/>
  <c r="AS258" i="10"/>
  <c r="AR258" i="10"/>
  <c r="AQ258" i="10"/>
  <c r="AP258" i="10"/>
  <c r="AO258" i="10"/>
  <c r="AN258" i="10"/>
  <c r="AM258" i="10"/>
  <c r="AL258" i="10"/>
  <c r="AK258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AX257" i="10"/>
  <c r="AW257" i="10"/>
  <c r="AV257" i="10"/>
  <c r="AU257" i="10"/>
  <c r="AT257" i="10"/>
  <c r="AS257" i="10"/>
  <c r="AR257" i="10"/>
  <c r="AQ257" i="10"/>
  <c r="AP257" i="10"/>
  <c r="AO257" i="10"/>
  <c r="AN257" i="10"/>
  <c r="AM257" i="10"/>
  <c r="AL257" i="10"/>
  <c r="AK257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AX256" i="10"/>
  <c r="AW256" i="10"/>
  <c r="AV256" i="10"/>
  <c r="AU256" i="10"/>
  <c r="AT256" i="10"/>
  <c r="AS256" i="10"/>
  <c r="AR256" i="10"/>
  <c r="AQ256" i="10"/>
  <c r="AP256" i="10"/>
  <c r="AO256" i="10"/>
  <c r="AN256" i="10"/>
  <c r="AM256" i="10"/>
  <c r="AL256" i="10"/>
  <c r="AK256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AX255" i="10"/>
  <c r="AW255" i="10"/>
  <c r="AV255" i="10"/>
  <c r="AU255" i="10"/>
  <c r="AT255" i="10"/>
  <c r="AS255" i="10"/>
  <c r="AR255" i="10"/>
  <c r="AQ255" i="10"/>
  <c r="AP255" i="10"/>
  <c r="AO255" i="10"/>
  <c r="AN255" i="10"/>
  <c r="AM255" i="10"/>
  <c r="AL255" i="10"/>
  <c r="AK255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AX254" i="10"/>
  <c r="AW254" i="10"/>
  <c r="AV254" i="10"/>
  <c r="AU254" i="10"/>
  <c r="AT254" i="10"/>
  <c r="AS254" i="10"/>
  <c r="AR254" i="10"/>
  <c r="AQ254" i="10"/>
  <c r="AP254" i="10"/>
  <c r="AO254" i="10"/>
  <c r="AN254" i="10"/>
  <c r="AM254" i="10"/>
  <c r="AL254" i="10"/>
  <c r="AK254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AX253" i="10"/>
  <c r="AW253" i="10"/>
  <c r="AV253" i="10"/>
  <c r="AU253" i="10"/>
  <c r="AT253" i="10"/>
  <c r="AS253" i="10"/>
  <c r="AR253" i="10"/>
  <c r="AQ253" i="10"/>
  <c r="AP253" i="10"/>
  <c r="AO253" i="10"/>
  <c r="AN253" i="10"/>
  <c r="AM253" i="10"/>
  <c r="AL253" i="10"/>
  <c r="AK253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AX252" i="10"/>
  <c r="AW252" i="10"/>
  <c r="AV252" i="10"/>
  <c r="AU252" i="10"/>
  <c r="AT252" i="10"/>
  <c r="AS252" i="10"/>
  <c r="AR252" i="10"/>
  <c r="AQ252" i="10"/>
  <c r="AP252" i="10"/>
  <c r="AO252" i="10"/>
  <c r="AN252" i="10"/>
  <c r="AM252" i="10"/>
  <c r="AL252" i="10"/>
  <c r="AK252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AX251" i="10"/>
  <c r="AW251" i="10"/>
  <c r="AV251" i="10"/>
  <c r="AU251" i="10"/>
  <c r="AT251" i="10"/>
  <c r="AS251" i="10"/>
  <c r="AR251" i="10"/>
  <c r="AQ251" i="10"/>
  <c r="AP251" i="10"/>
  <c r="AO251" i="10"/>
  <c r="AN251" i="10"/>
  <c r="AM251" i="10"/>
  <c r="AL251" i="10"/>
  <c r="AK251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AX250" i="10"/>
  <c r="AW250" i="10"/>
  <c r="AV250" i="10"/>
  <c r="AU250" i="10"/>
  <c r="AT250" i="10"/>
  <c r="AS250" i="10"/>
  <c r="AR250" i="10"/>
  <c r="AQ250" i="10"/>
  <c r="AP250" i="10"/>
  <c r="AO250" i="10"/>
  <c r="AN250" i="10"/>
  <c r="AM250" i="10"/>
  <c r="AL250" i="10"/>
  <c r="AK250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AX249" i="10"/>
  <c r="AW249" i="10"/>
  <c r="AV249" i="10"/>
  <c r="AU249" i="10"/>
  <c r="AT249" i="10"/>
  <c r="AS249" i="10"/>
  <c r="AR249" i="10"/>
  <c r="AQ249" i="10"/>
  <c r="AP249" i="10"/>
  <c r="AO249" i="10"/>
  <c r="AN249" i="10"/>
  <c r="AM249" i="10"/>
  <c r="AL249" i="10"/>
  <c r="AK249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AX248" i="10"/>
  <c r="AW248" i="10"/>
  <c r="AV248" i="10"/>
  <c r="AU248" i="10"/>
  <c r="AT248" i="10"/>
  <c r="AS248" i="10"/>
  <c r="AR248" i="10"/>
  <c r="AQ248" i="10"/>
  <c r="AP248" i="10"/>
  <c r="AO248" i="10"/>
  <c r="AN248" i="10"/>
  <c r="AM248" i="10"/>
  <c r="AL248" i="10"/>
  <c r="AK248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AX247" i="10"/>
  <c r="AW247" i="10"/>
  <c r="AV247" i="10"/>
  <c r="AU247" i="10"/>
  <c r="AT247" i="10"/>
  <c r="AS247" i="10"/>
  <c r="AR247" i="10"/>
  <c r="AQ247" i="10"/>
  <c r="AP247" i="10"/>
  <c r="AO247" i="10"/>
  <c r="AN247" i="10"/>
  <c r="AM247" i="10"/>
  <c r="AL247" i="10"/>
  <c r="AK247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AX246" i="10"/>
  <c r="AW246" i="10"/>
  <c r="AV246" i="10"/>
  <c r="AU246" i="10"/>
  <c r="AT246" i="10"/>
  <c r="AS246" i="10"/>
  <c r="AR246" i="10"/>
  <c r="AQ246" i="10"/>
  <c r="AP246" i="10"/>
  <c r="AO246" i="10"/>
  <c r="AN246" i="10"/>
  <c r="AM246" i="10"/>
  <c r="AL246" i="10"/>
  <c r="AK246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AX245" i="10"/>
  <c r="AW245" i="10"/>
  <c r="AV245" i="10"/>
  <c r="AU245" i="10"/>
  <c r="AT245" i="10"/>
  <c r="AS245" i="10"/>
  <c r="AR245" i="10"/>
  <c r="AQ245" i="10"/>
  <c r="AP245" i="10"/>
  <c r="AO245" i="10"/>
  <c r="AN245" i="10"/>
  <c r="AM245" i="10"/>
  <c r="AL245" i="10"/>
  <c r="AK245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AX244" i="10"/>
  <c r="AW244" i="10"/>
  <c r="AV244" i="10"/>
  <c r="AU244" i="10"/>
  <c r="AT244" i="10"/>
  <c r="AS244" i="10"/>
  <c r="AR244" i="10"/>
  <c r="AQ244" i="10"/>
  <c r="AP244" i="10"/>
  <c r="AO244" i="10"/>
  <c r="AN244" i="10"/>
  <c r="AM244" i="10"/>
  <c r="AL244" i="10"/>
  <c r="AK244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AX243" i="10"/>
  <c r="AW243" i="10"/>
  <c r="AV243" i="10"/>
  <c r="AU243" i="10"/>
  <c r="AT243" i="10"/>
  <c r="AS243" i="10"/>
  <c r="AR243" i="10"/>
  <c r="AQ243" i="10"/>
  <c r="AP243" i="10"/>
  <c r="AO243" i="10"/>
  <c r="AN243" i="10"/>
  <c r="AM243" i="10"/>
  <c r="AL243" i="10"/>
  <c r="AK243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AX242" i="10"/>
  <c r="AW242" i="10"/>
  <c r="AV242" i="10"/>
  <c r="AU242" i="10"/>
  <c r="AT242" i="10"/>
  <c r="AS242" i="10"/>
  <c r="AR242" i="10"/>
  <c r="AQ242" i="10"/>
  <c r="AP242" i="10"/>
  <c r="AO242" i="10"/>
  <c r="AN242" i="10"/>
  <c r="AM242" i="10"/>
  <c r="AL242" i="10"/>
  <c r="AK242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AX241" i="10"/>
  <c r="AW241" i="10"/>
  <c r="AV241" i="10"/>
  <c r="AU241" i="10"/>
  <c r="AT241" i="10"/>
  <c r="AS241" i="10"/>
  <c r="AR241" i="10"/>
  <c r="AQ241" i="10"/>
  <c r="AP241" i="10"/>
  <c r="AO241" i="10"/>
  <c r="AN241" i="10"/>
  <c r="AM241" i="10"/>
  <c r="AL241" i="10"/>
  <c r="AK241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AX240" i="10"/>
  <c r="AW240" i="10"/>
  <c r="AV240" i="10"/>
  <c r="AU240" i="10"/>
  <c r="AT240" i="10"/>
  <c r="AS240" i="10"/>
  <c r="AR240" i="10"/>
  <c r="AQ240" i="10"/>
  <c r="AP240" i="10"/>
  <c r="AO240" i="10"/>
  <c r="AN240" i="10"/>
  <c r="AM240" i="10"/>
  <c r="AL240" i="10"/>
  <c r="AK240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AX239" i="10"/>
  <c r="AW239" i="10"/>
  <c r="AV239" i="10"/>
  <c r="AU239" i="10"/>
  <c r="AT239" i="10"/>
  <c r="AS239" i="10"/>
  <c r="AR239" i="10"/>
  <c r="AQ239" i="10"/>
  <c r="AP239" i="10"/>
  <c r="AO239" i="10"/>
  <c r="AN239" i="10"/>
  <c r="AM239" i="10"/>
  <c r="AL239" i="10"/>
  <c r="AK239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AX238" i="10"/>
  <c r="AW238" i="10"/>
  <c r="AV238" i="10"/>
  <c r="AU238" i="10"/>
  <c r="AT238" i="10"/>
  <c r="AS238" i="10"/>
  <c r="AR238" i="10"/>
  <c r="AQ238" i="10"/>
  <c r="AP238" i="10"/>
  <c r="AO238" i="10"/>
  <c r="AN238" i="10"/>
  <c r="AM238" i="10"/>
  <c r="AL238" i="10"/>
  <c r="AK238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AX237" i="10"/>
  <c r="AW237" i="10"/>
  <c r="AV237" i="10"/>
  <c r="AU237" i="10"/>
  <c r="AT237" i="10"/>
  <c r="AS237" i="10"/>
  <c r="AR237" i="10"/>
  <c r="AQ237" i="10"/>
  <c r="AP237" i="10"/>
  <c r="AO237" i="10"/>
  <c r="AN237" i="10"/>
  <c r="AM237" i="10"/>
  <c r="AL237" i="10"/>
  <c r="AK237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AX236" i="10"/>
  <c r="AW236" i="10"/>
  <c r="AV236" i="10"/>
  <c r="AU236" i="10"/>
  <c r="AT236" i="10"/>
  <c r="AS236" i="10"/>
  <c r="AR236" i="10"/>
  <c r="AQ236" i="10"/>
  <c r="AP236" i="10"/>
  <c r="AO236" i="10"/>
  <c r="AN236" i="10"/>
  <c r="AM236" i="10"/>
  <c r="AL236" i="10"/>
  <c r="AK236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AX235" i="10"/>
  <c r="AW235" i="10"/>
  <c r="AV235" i="10"/>
  <c r="AU235" i="10"/>
  <c r="AT235" i="10"/>
  <c r="AS235" i="10"/>
  <c r="AR235" i="10"/>
  <c r="AQ235" i="10"/>
  <c r="AP235" i="10"/>
  <c r="AO235" i="10"/>
  <c r="AN235" i="10"/>
  <c r="AM235" i="10"/>
  <c r="AL235" i="10"/>
  <c r="AK235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AX234" i="10"/>
  <c r="AW234" i="10"/>
  <c r="AV234" i="10"/>
  <c r="AU234" i="10"/>
  <c r="AT234" i="10"/>
  <c r="AS234" i="10"/>
  <c r="AR234" i="10"/>
  <c r="AQ234" i="10"/>
  <c r="AP234" i="10"/>
  <c r="AO234" i="10"/>
  <c r="AN234" i="10"/>
  <c r="AM234" i="10"/>
  <c r="AL234" i="10"/>
  <c r="AK234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AX233" i="10"/>
  <c r="AW233" i="10"/>
  <c r="AV233" i="10"/>
  <c r="AU233" i="10"/>
  <c r="AT233" i="10"/>
  <c r="AS233" i="10"/>
  <c r="AR233" i="10"/>
  <c r="AQ233" i="10"/>
  <c r="AP233" i="10"/>
  <c r="AO233" i="10"/>
  <c r="AN233" i="10"/>
  <c r="AM233" i="10"/>
  <c r="AL233" i="10"/>
  <c r="AK233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AX232" i="10"/>
  <c r="AW232" i="10"/>
  <c r="AV232" i="10"/>
  <c r="AU232" i="10"/>
  <c r="AT232" i="10"/>
  <c r="AS232" i="10"/>
  <c r="AR232" i="10"/>
  <c r="AQ232" i="10"/>
  <c r="AP232" i="10"/>
  <c r="AO232" i="10"/>
  <c r="AN232" i="10"/>
  <c r="AM232" i="10"/>
  <c r="AL232" i="10"/>
  <c r="AK232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AX231" i="10"/>
  <c r="AW231" i="10"/>
  <c r="AV231" i="10"/>
  <c r="AU231" i="10"/>
  <c r="AT231" i="10"/>
  <c r="AS231" i="10"/>
  <c r="AR231" i="10"/>
  <c r="AQ231" i="10"/>
  <c r="AP231" i="10"/>
  <c r="AO231" i="10"/>
  <c r="AN231" i="10"/>
  <c r="AM231" i="10"/>
  <c r="AL231" i="10"/>
  <c r="AK231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AX230" i="10"/>
  <c r="AW230" i="10"/>
  <c r="AV230" i="10"/>
  <c r="AU230" i="10"/>
  <c r="AT230" i="10"/>
  <c r="AS230" i="10"/>
  <c r="AR230" i="10"/>
  <c r="AQ230" i="10"/>
  <c r="AP230" i="10"/>
  <c r="AO230" i="10"/>
  <c r="AN230" i="10"/>
  <c r="AM230" i="10"/>
  <c r="AL230" i="10"/>
  <c r="AK230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AX229" i="10"/>
  <c r="AW229" i="10"/>
  <c r="AV229" i="10"/>
  <c r="AU229" i="10"/>
  <c r="AT229" i="10"/>
  <c r="AS229" i="10"/>
  <c r="AR229" i="10"/>
  <c r="AQ229" i="10"/>
  <c r="AP229" i="10"/>
  <c r="AO229" i="10"/>
  <c r="AN229" i="10"/>
  <c r="AM229" i="10"/>
  <c r="AL229" i="10"/>
  <c r="AK229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AX228" i="10"/>
  <c r="AW228" i="10"/>
  <c r="AV228" i="10"/>
  <c r="AU228" i="10"/>
  <c r="AT228" i="10"/>
  <c r="AS228" i="10"/>
  <c r="AR228" i="10"/>
  <c r="AQ228" i="10"/>
  <c r="AP228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AX227" i="10"/>
  <c r="AW227" i="10"/>
  <c r="AV227" i="10"/>
  <c r="AU227" i="10"/>
  <c r="AT227" i="10"/>
  <c r="AS227" i="10"/>
  <c r="AR227" i="10"/>
  <c r="AQ227" i="10"/>
  <c r="AP227" i="10"/>
  <c r="AO227" i="10"/>
  <c r="AN227" i="10"/>
  <c r="AM227" i="10"/>
  <c r="AL227" i="10"/>
  <c r="AK227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AX226" i="10"/>
  <c r="AW226" i="10"/>
  <c r="AV226" i="10"/>
  <c r="AU226" i="10"/>
  <c r="AT226" i="10"/>
  <c r="AS226" i="10"/>
  <c r="AR226" i="10"/>
  <c r="AQ226" i="10"/>
  <c r="AP226" i="10"/>
  <c r="AO226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AX225" i="10"/>
  <c r="AW225" i="10"/>
  <c r="AV225" i="10"/>
  <c r="AU225" i="10"/>
  <c r="AT225" i="10"/>
  <c r="AS225" i="10"/>
  <c r="AR225" i="10"/>
  <c r="AQ225" i="10"/>
  <c r="AP225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AX224" i="10"/>
  <c r="AW224" i="10"/>
  <c r="AV224" i="10"/>
  <c r="AU224" i="10"/>
  <c r="AT224" i="10"/>
  <c r="AS224" i="10"/>
  <c r="AR224" i="10"/>
  <c r="AQ224" i="10"/>
  <c r="AP224" i="10"/>
  <c r="AO224" i="10"/>
  <c r="AN224" i="10"/>
  <c r="AM224" i="10"/>
  <c r="AL224" i="10"/>
  <c r="AK224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AX223" i="10"/>
  <c r="AW223" i="10"/>
  <c r="AV223" i="10"/>
  <c r="AU223" i="10"/>
  <c r="AT223" i="10"/>
  <c r="AS223" i="10"/>
  <c r="AR223" i="10"/>
  <c r="AQ223" i="10"/>
  <c r="AP223" i="10"/>
  <c r="AO223" i="10"/>
  <c r="AN223" i="10"/>
  <c r="AM223" i="10"/>
  <c r="AL223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AX222" i="10"/>
  <c r="AW222" i="10"/>
  <c r="AV222" i="10"/>
  <c r="AU222" i="10"/>
  <c r="AT222" i="10"/>
  <c r="AS222" i="10"/>
  <c r="AR222" i="10"/>
  <c r="AQ222" i="10"/>
  <c r="AP222" i="10"/>
  <c r="AO222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AX221" i="10"/>
  <c r="AW221" i="10"/>
  <c r="AV221" i="10"/>
  <c r="AU221" i="10"/>
  <c r="AT221" i="10"/>
  <c r="AS221" i="10"/>
  <c r="AR221" i="10"/>
  <c r="AQ221" i="10"/>
  <c r="AP221" i="10"/>
  <c r="AO221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AX220" i="10"/>
  <c r="AW220" i="10"/>
  <c r="AV220" i="10"/>
  <c r="AU220" i="10"/>
  <c r="AT220" i="10"/>
  <c r="AS220" i="10"/>
  <c r="AR220" i="10"/>
  <c r="AQ220" i="10"/>
  <c r="AP220" i="10"/>
  <c r="AO220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AX219" i="10"/>
  <c r="AW219" i="10"/>
  <c r="AV219" i="10"/>
  <c r="AU219" i="10"/>
  <c r="AT219" i="10"/>
  <c r="AS219" i="10"/>
  <c r="AR219" i="10"/>
  <c r="AQ219" i="10"/>
  <c r="AP219" i="10"/>
  <c r="AO219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AX218" i="10"/>
  <c r="AW218" i="10"/>
  <c r="AV218" i="10"/>
  <c r="AU218" i="10"/>
  <c r="AT218" i="10"/>
  <c r="AS218" i="10"/>
  <c r="AR218" i="10"/>
  <c r="AQ218" i="10"/>
  <c r="AP218" i="10"/>
  <c r="AO218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AX217" i="10"/>
  <c r="AW217" i="10"/>
  <c r="AV217" i="10"/>
  <c r="AU217" i="10"/>
  <c r="AT217" i="10"/>
  <c r="AS217" i="10"/>
  <c r="AR217" i="10"/>
  <c r="AQ217" i="10"/>
  <c r="AP217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AX216" i="10"/>
  <c r="AW216" i="10"/>
  <c r="AV216" i="10"/>
  <c r="AU216" i="10"/>
  <c r="AT216" i="10"/>
  <c r="AS216" i="10"/>
  <c r="AR216" i="10"/>
  <c r="AQ216" i="10"/>
  <c r="AP216" i="10"/>
  <c r="AO216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AX215" i="10"/>
  <c r="AW215" i="10"/>
  <c r="AV215" i="10"/>
  <c r="AU215" i="10"/>
  <c r="AT215" i="10"/>
  <c r="AS215" i="10"/>
  <c r="AR215" i="10"/>
  <c r="AQ215" i="10"/>
  <c r="AP215" i="10"/>
  <c r="AO215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AX214" i="10"/>
  <c r="AW214" i="10"/>
  <c r="AV214" i="10"/>
  <c r="AU214" i="10"/>
  <c r="AT214" i="10"/>
  <c r="AS214" i="10"/>
  <c r="AR214" i="10"/>
  <c r="AQ214" i="10"/>
  <c r="AP214" i="10"/>
  <c r="AO214" i="10"/>
  <c r="AN214" i="10"/>
  <c r="AM214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AX213" i="10"/>
  <c r="AW213" i="10"/>
  <c r="AV213" i="10"/>
  <c r="AU213" i="10"/>
  <c r="AT213" i="10"/>
  <c r="AS213" i="10"/>
  <c r="AR213" i="10"/>
  <c r="AQ213" i="10"/>
  <c r="AP213" i="10"/>
  <c r="AO213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AX212" i="10"/>
  <c r="AW212" i="10"/>
  <c r="AV212" i="10"/>
  <c r="AU212" i="10"/>
  <c r="AT212" i="10"/>
  <c r="AS212" i="10"/>
  <c r="AR212" i="10"/>
  <c r="AQ212" i="10"/>
  <c r="AP212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AX211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AX210" i="10"/>
  <c r="AW210" i="10"/>
  <c r="AV210" i="10"/>
  <c r="AU210" i="10"/>
  <c r="AT210" i="10"/>
  <c r="AS210" i="10"/>
  <c r="AR210" i="10"/>
  <c r="AQ210" i="10"/>
  <c r="AP210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AX209" i="10"/>
  <c r="AW209" i="10"/>
  <c r="AV209" i="10"/>
  <c r="AU209" i="10"/>
  <c r="AT209" i="10"/>
  <c r="AS209" i="10"/>
  <c r="AR209" i="10"/>
  <c r="AQ209" i="10"/>
  <c r="AP209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AX208" i="10"/>
  <c r="AW208" i="10"/>
  <c r="AV208" i="10"/>
  <c r="AU208" i="10"/>
  <c r="AT208" i="10"/>
  <c r="AS208" i="10"/>
  <c r="AR208" i="10"/>
  <c r="AQ208" i="10"/>
  <c r="AP208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AX207" i="10"/>
  <c r="AW207" i="10"/>
  <c r="AV207" i="10"/>
  <c r="AU207" i="10"/>
  <c r="AT207" i="10"/>
  <c r="AS207" i="10"/>
  <c r="AR207" i="10"/>
  <c r="AQ207" i="10"/>
  <c r="AP207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AX206" i="10"/>
  <c r="AW206" i="10"/>
  <c r="AV206" i="10"/>
  <c r="AU206" i="10"/>
  <c r="AT206" i="10"/>
  <c r="AS206" i="10"/>
  <c r="AR206" i="10"/>
  <c r="AQ206" i="10"/>
  <c r="AP206" i="10"/>
  <c r="AO206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AX205" i="10"/>
  <c r="AW205" i="10"/>
  <c r="AV205" i="10"/>
  <c r="AU205" i="10"/>
  <c r="AT205" i="10"/>
  <c r="AS205" i="10"/>
  <c r="AR205" i="10"/>
  <c r="AQ205" i="10"/>
  <c r="AP205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AX204" i="10"/>
  <c r="AW204" i="10"/>
  <c r="AV204" i="10"/>
  <c r="AU204" i="10"/>
  <c r="AT204" i="10"/>
  <c r="AS204" i="10"/>
  <c r="AR204" i="10"/>
  <c r="AQ204" i="10"/>
  <c r="AP204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AX203" i="10"/>
  <c r="AW203" i="10"/>
  <c r="AV203" i="10"/>
  <c r="AU203" i="10"/>
  <c r="AT203" i="10"/>
  <c r="AS203" i="10"/>
  <c r="AR203" i="10"/>
  <c r="AQ203" i="10"/>
  <c r="AP203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AX202" i="10"/>
  <c r="AW202" i="10"/>
  <c r="AV202" i="10"/>
  <c r="AU202" i="10"/>
  <c r="AT202" i="10"/>
  <c r="AS202" i="10"/>
  <c r="AR202" i="10"/>
  <c r="AQ202" i="10"/>
  <c r="AP202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AX201" i="10"/>
  <c r="AW201" i="10"/>
  <c r="AV201" i="10"/>
  <c r="AU201" i="10"/>
  <c r="AT201" i="10"/>
  <c r="AS201" i="10"/>
  <c r="AR201" i="10"/>
  <c r="AQ201" i="10"/>
  <c r="AP201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AX200" i="10"/>
  <c r="AW200" i="10"/>
  <c r="AV200" i="10"/>
  <c r="AU200" i="10"/>
  <c r="AT200" i="10"/>
  <c r="AS200" i="10"/>
  <c r="AR200" i="10"/>
  <c r="AQ200" i="10"/>
  <c r="AP200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AX199" i="10"/>
  <c r="AW199" i="10"/>
  <c r="AV199" i="10"/>
  <c r="AU199" i="10"/>
  <c r="AT199" i="10"/>
  <c r="AS199" i="10"/>
  <c r="AR199" i="10"/>
  <c r="AQ199" i="10"/>
  <c r="AP199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AX198" i="10"/>
  <c r="AW198" i="10"/>
  <c r="AV198" i="10"/>
  <c r="AU198" i="10"/>
  <c r="AT198" i="10"/>
  <c r="AS198" i="10"/>
  <c r="AR198" i="10"/>
  <c r="AQ198" i="10"/>
  <c r="AP198" i="10"/>
  <c r="AO198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AX197" i="10"/>
  <c r="AW197" i="10"/>
  <c r="AV197" i="10"/>
  <c r="AU197" i="10"/>
  <c r="AT197" i="10"/>
  <c r="AS197" i="10"/>
  <c r="AR197" i="10"/>
  <c r="AQ197" i="10"/>
  <c r="AP197" i="10"/>
  <c r="AO197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AX196" i="10"/>
  <c r="AW196" i="10"/>
  <c r="AV196" i="10"/>
  <c r="AU196" i="10"/>
  <c r="AT196" i="10"/>
  <c r="AS196" i="10"/>
  <c r="AR196" i="10"/>
  <c r="AQ196" i="10"/>
  <c r="AP196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AX195" i="10"/>
  <c r="AW195" i="10"/>
  <c r="AV195" i="10"/>
  <c r="AU195" i="10"/>
  <c r="AT195" i="10"/>
  <c r="AS195" i="10"/>
  <c r="AR195" i="10"/>
  <c r="AQ195" i="10"/>
  <c r="AP195" i="10"/>
  <c r="AO195" i="10"/>
  <c r="AN195" i="10"/>
  <c r="AM195" i="10"/>
  <c r="AL195" i="10"/>
  <c r="AK195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AX194" i="10"/>
  <c r="AW194" i="10"/>
  <c r="AV194" i="10"/>
  <c r="AU194" i="10"/>
  <c r="AT194" i="10"/>
  <c r="AS194" i="10"/>
  <c r="AR194" i="10"/>
  <c r="AQ194" i="10"/>
  <c r="AP194" i="10"/>
  <c r="AO194" i="10"/>
  <c r="AN194" i="10"/>
  <c r="AM194" i="10"/>
  <c r="AL194" i="10"/>
  <c r="AK194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AX193" i="10"/>
  <c r="AW193" i="10"/>
  <c r="AV193" i="10"/>
  <c r="AU193" i="10"/>
  <c r="AT193" i="10"/>
  <c r="AS193" i="10"/>
  <c r="AR193" i="10"/>
  <c r="AQ193" i="10"/>
  <c r="AP193" i="10"/>
  <c r="AO193" i="10"/>
  <c r="AN193" i="10"/>
  <c r="AM193" i="10"/>
  <c r="AL193" i="10"/>
  <c r="AK193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AX192" i="10"/>
  <c r="AW192" i="10"/>
  <c r="AV192" i="10"/>
  <c r="AU192" i="10"/>
  <c r="AT192" i="10"/>
  <c r="AS192" i="10"/>
  <c r="AR192" i="10"/>
  <c r="AQ192" i="10"/>
  <c r="AP192" i="10"/>
  <c r="AO192" i="10"/>
  <c r="AN192" i="10"/>
  <c r="AM192" i="10"/>
  <c r="AL192" i="10"/>
  <c r="AK192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AX191" i="10"/>
  <c r="AW191" i="10"/>
  <c r="AV191" i="10"/>
  <c r="AU191" i="10"/>
  <c r="AT191" i="10"/>
  <c r="AS191" i="10"/>
  <c r="AR191" i="10"/>
  <c r="AQ191" i="10"/>
  <c r="AP191" i="10"/>
  <c r="AO191" i="10"/>
  <c r="AN191" i="10"/>
  <c r="AM191" i="10"/>
  <c r="AL191" i="10"/>
  <c r="AK191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AX190" i="10"/>
  <c r="AW190" i="10"/>
  <c r="AV190" i="10"/>
  <c r="AU190" i="10"/>
  <c r="AT190" i="10"/>
  <c r="AS190" i="10"/>
  <c r="AR190" i="10"/>
  <c r="AQ190" i="10"/>
  <c r="AP190" i="10"/>
  <c r="AO190" i="10"/>
  <c r="AN190" i="10"/>
  <c r="AM190" i="10"/>
  <c r="AL190" i="10"/>
  <c r="AK190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AX189" i="10"/>
  <c r="AW189" i="10"/>
  <c r="AV189" i="10"/>
  <c r="AU189" i="10"/>
  <c r="AT189" i="10"/>
  <c r="AS189" i="10"/>
  <c r="AR189" i="10"/>
  <c r="AQ189" i="10"/>
  <c r="AP189" i="10"/>
  <c r="AO189" i="10"/>
  <c r="AN189" i="10"/>
  <c r="AM189" i="10"/>
  <c r="AL189" i="10"/>
  <c r="AK189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AX188" i="10"/>
  <c r="AW188" i="10"/>
  <c r="AV188" i="10"/>
  <c r="AU188" i="10"/>
  <c r="AT188" i="10"/>
  <c r="AS188" i="10"/>
  <c r="AR188" i="10"/>
  <c r="AQ188" i="10"/>
  <c r="AP188" i="10"/>
  <c r="AO188" i="10"/>
  <c r="AN188" i="10"/>
  <c r="AM188" i="10"/>
  <c r="AL188" i="10"/>
  <c r="AK188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AX187" i="10"/>
  <c r="AW187" i="10"/>
  <c r="AV187" i="10"/>
  <c r="AU187" i="10"/>
  <c r="AT187" i="10"/>
  <c r="AS187" i="10"/>
  <c r="AR187" i="10"/>
  <c r="AQ187" i="10"/>
  <c r="AP187" i="10"/>
  <c r="AO187" i="10"/>
  <c r="AN187" i="10"/>
  <c r="AM187" i="10"/>
  <c r="AL187" i="10"/>
  <c r="AK187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AX186" i="10"/>
  <c r="AW186" i="10"/>
  <c r="AV186" i="10"/>
  <c r="AU186" i="10"/>
  <c r="AT186" i="10"/>
  <c r="AS186" i="10"/>
  <c r="AR186" i="10"/>
  <c r="AQ186" i="10"/>
  <c r="AP186" i="10"/>
  <c r="AO186" i="10"/>
  <c r="AN186" i="10"/>
  <c r="AM186" i="10"/>
  <c r="AL186" i="10"/>
  <c r="AK186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AX185" i="10"/>
  <c r="AW185" i="10"/>
  <c r="AV185" i="10"/>
  <c r="AU185" i="10"/>
  <c r="AT185" i="10"/>
  <c r="AS185" i="10"/>
  <c r="AR185" i="10"/>
  <c r="AQ185" i="10"/>
  <c r="AP185" i="10"/>
  <c r="AO185" i="10"/>
  <c r="AN185" i="10"/>
  <c r="AM185" i="10"/>
  <c r="AL185" i="10"/>
  <c r="AK185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AX184" i="10"/>
  <c r="AW184" i="10"/>
  <c r="AV184" i="10"/>
  <c r="AU184" i="10"/>
  <c r="AT184" i="10"/>
  <c r="AS184" i="10"/>
  <c r="AR184" i="10"/>
  <c r="AQ184" i="10"/>
  <c r="AP184" i="10"/>
  <c r="AO184" i="10"/>
  <c r="AN184" i="10"/>
  <c r="AM184" i="10"/>
  <c r="AL184" i="10"/>
  <c r="AK184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AX183" i="10"/>
  <c r="AW183" i="10"/>
  <c r="AV183" i="10"/>
  <c r="AU183" i="10"/>
  <c r="AT183" i="10"/>
  <c r="AS183" i="10"/>
  <c r="AR183" i="10"/>
  <c r="AQ183" i="10"/>
  <c r="AP183" i="10"/>
  <c r="AO183" i="10"/>
  <c r="AN183" i="10"/>
  <c r="AM183" i="10"/>
  <c r="AL183" i="10"/>
  <c r="AK183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AX182" i="10"/>
  <c r="AW182" i="10"/>
  <c r="AV182" i="10"/>
  <c r="AU182" i="10"/>
  <c r="AT182" i="10"/>
  <c r="AS182" i="10"/>
  <c r="AR182" i="10"/>
  <c r="AQ182" i="10"/>
  <c r="AP182" i="10"/>
  <c r="AO182" i="10"/>
  <c r="AN182" i="10"/>
  <c r="AM182" i="10"/>
  <c r="AL182" i="10"/>
  <c r="AK182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AY182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P37" i="10"/>
  <c r="H28" i="10"/>
  <c r="P22" i="10"/>
  <c r="AN19" i="10"/>
  <c r="AN16" i="10"/>
  <c r="AV4" i="10"/>
  <c r="AV22" i="10" s="1"/>
  <c r="AQ4" i="10"/>
  <c r="AQ47" i="10" s="1"/>
  <c r="AN4" i="10"/>
  <c r="AN28" i="10" s="1"/>
  <c r="AI4" i="10"/>
  <c r="AI19" i="10" s="1"/>
  <c r="AF4" i="10"/>
  <c r="AF24" i="10" s="1"/>
  <c r="AA4" i="10"/>
  <c r="AA31" i="10" s="1"/>
  <c r="X4" i="10"/>
  <c r="X53" i="10" s="1"/>
  <c r="S4" i="10"/>
  <c r="P4" i="10"/>
  <c r="P40" i="10" s="1"/>
  <c r="K4" i="10"/>
  <c r="K47" i="10" s="1"/>
  <c r="H4" i="10"/>
  <c r="H19" i="10" s="1"/>
  <c r="C4" i="10"/>
  <c r="C23" i="10" s="1"/>
  <c r="E1" i="10"/>
  <c r="AX4" i="10" s="1"/>
  <c r="C162" i="6"/>
  <c r="C160" i="6"/>
  <c r="C152" i="6"/>
  <c r="C146" i="6"/>
  <c r="C144" i="6"/>
  <c r="C138" i="6"/>
  <c r="C136" i="6"/>
  <c r="C130" i="6"/>
  <c r="C128" i="6"/>
  <c r="C122" i="6"/>
  <c r="C114" i="6"/>
  <c r="C106" i="6"/>
  <c r="C104" i="6"/>
  <c r="C98" i="6"/>
  <c r="C96" i="6"/>
  <c r="C90" i="6"/>
  <c r="C88" i="6"/>
  <c r="C82" i="6"/>
  <c r="C80" i="6"/>
  <c r="C72" i="6"/>
  <c r="C66" i="6"/>
  <c r="C64" i="6"/>
  <c r="C56" i="6"/>
  <c r="C50" i="6"/>
  <c r="C48" i="6"/>
  <c r="C40" i="6"/>
  <c r="C34" i="6"/>
  <c r="C32" i="6"/>
  <c r="C24" i="6"/>
  <c r="C18" i="6"/>
  <c r="C10" i="6"/>
  <c r="C8" i="6"/>
  <c r="C26" i="6"/>
  <c r="C154" i="6"/>
  <c r="C112" i="6"/>
  <c r="C58" i="6"/>
  <c r="C16" i="6"/>
  <c r="L3" i="4"/>
  <c r="L2" i="4"/>
  <c r="F2" i="4"/>
  <c r="C74" i="6"/>
  <c r="C42" i="6"/>
  <c r="O5" i="4"/>
  <c r="M3" i="4"/>
  <c r="I152" i="4"/>
  <c r="I151" i="4"/>
  <c r="I64" i="4"/>
  <c r="I48" i="4"/>
  <c r="H167" i="4"/>
  <c r="I167" i="4" s="1"/>
  <c r="H166" i="4"/>
  <c r="I166" i="4" s="1"/>
  <c r="H165" i="4"/>
  <c r="I165" i="4" s="1"/>
  <c r="H164" i="4"/>
  <c r="I164" i="4" s="1"/>
  <c r="H163" i="4"/>
  <c r="I163" i="4" s="1"/>
  <c r="H162" i="4"/>
  <c r="I162" i="4" s="1"/>
  <c r="H161" i="4"/>
  <c r="I161" i="4" s="1"/>
  <c r="H160" i="4"/>
  <c r="I160" i="4" s="1"/>
  <c r="H159" i="4"/>
  <c r="I159" i="4" s="1"/>
  <c r="H158" i="4"/>
  <c r="I158" i="4" s="1"/>
  <c r="H157" i="4"/>
  <c r="I157" i="4" s="1"/>
  <c r="H156" i="4"/>
  <c r="I156" i="4" s="1"/>
  <c r="H155" i="4"/>
  <c r="I155" i="4" s="1"/>
  <c r="H154" i="4"/>
  <c r="I154" i="4" s="1"/>
  <c r="H153" i="4"/>
  <c r="I153" i="4" s="1"/>
  <c r="H152" i="4"/>
  <c r="H151" i="4"/>
  <c r="H150" i="4"/>
  <c r="I150" i="4" s="1"/>
  <c r="H149" i="4"/>
  <c r="I149" i="4" s="1"/>
  <c r="H148" i="4"/>
  <c r="I148" i="4" s="1"/>
  <c r="H147" i="4"/>
  <c r="I147" i="4" s="1"/>
  <c r="H146" i="4"/>
  <c r="I146" i="4" s="1"/>
  <c r="H145" i="4"/>
  <c r="I145" i="4" s="1"/>
  <c r="H144" i="4"/>
  <c r="I144" i="4" s="1"/>
  <c r="H143" i="4"/>
  <c r="I143" i="4" s="1"/>
  <c r="H142" i="4"/>
  <c r="I142" i="4" s="1"/>
  <c r="H141" i="4"/>
  <c r="I141" i="4" s="1"/>
  <c r="H140" i="4"/>
  <c r="I140" i="4" s="1"/>
  <c r="H139" i="4"/>
  <c r="I139" i="4" s="1"/>
  <c r="H138" i="4"/>
  <c r="I138" i="4" s="1"/>
  <c r="H137" i="4"/>
  <c r="I137" i="4" s="1"/>
  <c r="H136" i="4"/>
  <c r="I136" i="4" s="1"/>
  <c r="H135" i="4"/>
  <c r="I135" i="4" s="1"/>
  <c r="H134" i="4"/>
  <c r="I134" i="4" s="1"/>
  <c r="H133" i="4"/>
  <c r="I133" i="4" s="1"/>
  <c r="H132" i="4"/>
  <c r="I132" i="4" s="1"/>
  <c r="H131" i="4"/>
  <c r="I131" i="4" s="1"/>
  <c r="H130" i="4"/>
  <c r="I130" i="4" s="1"/>
  <c r="H129" i="4"/>
  <c r="I129" i="4" s="1"/>
  <c r="H128" i="4"/>
  <c r="I128" i="4" s="1"/>
  <c r="H127" i="4"/>
  <c r="I127" i="4" s="1"/>
  <c r="H126" i="4"/>
  <c r="I126" i="4" s="1"/>
  <c r="H125" i="4"/>
  <c r="I125" i="4" s="1"/>
  <c r="H124" i="4"/>
  <c r="I124" i="4" s="1"/>
  <c r="H123" i="4"/>
  <c r="I123" i="4" s="1"/>
  <c r="H122" i="4"/>
  <c r="I122" i="4" s="1"/>
  <c r="H121" i="4"/>
  <c r="I121" i="4" s="1"/>
  <c r="H120" i="4"/>
  <c r="I120" i="4" s="1"/>
  <c r="H119" i="4"/>
  <c r="I119" i="4" s="1"/>
  <c r="H118" i="4"/>
  <c r="I118" i="4" s="1"/>
  <c r="H117" i="4"/>
  <c r="I117" i="4" s="1"/>
  <c r="H116" i="4"/>
  <c r="I116" i="4" s="1"/>
  <c r="H115" i="4"/>
  <c r="I115" i="4" s="1"/>
  <c r="H114" i="4"/>
  <c r="I114" i="4" s="1"/>
  <c r="H113" i="4"/>
  <c r="I113" i="4" s="1"/>
  <c r="H112" i="4"/>
  <c r="I112" i="4" s="1"/>
  <c r="H111" i="4"/>
  <c r="I111" i="4" s="1"/>
  <c r="H110" i="4"/>
  <c r="I110" i="4" s="1"/>
  <c r="H109" i="4"/>
  <c r="I109" i="4" s="1"/>
  <c r="H108" i="4"/>
  <c r="I108" i="4" s="1"/>
  <c r="H107" i="4"/>
  <c r="I107" i="4" s="1"/>
  <c r="H106" i="4"/>
  <c r="I106" i="4" s="1"/>
  <c r="H105" i="4"/>
  <c r="I105" i="4" s="1"/>
  <c r="H104" i="4"/>
  <c r="I104" i="4" s="1"/>
  <c r="H103" i="4"/>
  <c r="I103" i="4" s="1"/>
  <c r="H102" i="4"/>
  <c r="I102" i="4" s="1"/>
  <c r="H101" i="4"/>
  <c r="I101" i="4" s="1"/>
  <c r="H100" i="4"/>
  <c r="I100" i="4" s="1"/>
  <c r="H99" i="4"/>
  <c r="I99" i="4" s="1"/>
  <c r="H98" i="4"/>
  <c r="I98" i="4" s="1"/>
  <c r="H97" i="4"/>
  <c r="I97" i="4" s="1"/>
  <c r="H96" i="4"/>
  <c r="I96" i="4" s="1"/>
  <c r="H95" i="4"/>
  <c r="I95" i="4" s="1"/>
  <c r="H94" i="4"/>
  <c r="I94" i="4" s="1"/>
  <c r="H93" i="4"/>
  <c r="I93" i="4" s="1"/>
  <c r="H92" i="4"/>
  <c r="I92" i="4" s="1"/>
  <c r="H91" i="4"/>
  <c r="I91" i="4" s="1"/>
  <c r="H90" i="4"/>
  <c r="I90" i="4" s="1"/>
  <c r="H89" i="4"/>
  <c r="I89" i="4" s="1"/>
  <c r="H88" i="4"/>
  <c r="I88" i="4" s="1"/>
  <c r="H87" i="4"/>
  <c r="I87" i="4" s="1"/>
  <c r="H86" i="4"/>
  <c r="I86" i="4" s="1"/>
  <c r="H85" i="4"/>
  <c r="I85" i="4" s="1"/>
  <c r="H84" i="4"/>
  <c r="I84" i="4" s="1"/>
  <c r="H83" i="4"/>
  <c r="I83" i="4" s="1"/>
  <c r="H82" i="4"/>
  <c r="I82" i="4" s="1"/>
  <c r="H81" i="4"/>
  <c r="I81" i="4" s="1"/>
  <c r="H80" i="4"/>
  <c r="I80" i="4" s="1"/>
  <c r="H79" i="4"/>
  <c r="I79" i="4" s="1"/>
  <c r="H78" i="4"/>
  <c r="I78" i="4" s="1"/>
  <c r="H77" i="4"/>
  <c r="I77" i="4" s="1"/>
  <c r="H76" i="4"/>
  <c r="I76" i="4" s="1"/>
  <c r="H75" i="4"/>
  <c r="I75" i="4" s="1"/>
  <c r="H74" i="4"/>
  <c r="I74" i="4" s="1"/>
  <c r="H73" i="4"/>
  <c r="I73" i="4" s="1"/>
  <c r="H72" i="4"/>
  <c r="I72" i="4" s="1"/>
  <c r="H71" i="4"/>
  <c r="I71" i="4" s="1"/>
  <c r="H70" i="4"/>
  <c r="I70" i="4" s="1"/>
  <c r="H69" i="4"/>
  <c r="I69" i="4" s="1"/>
  <c r="H68" i="4"/>
  <c r="I68" i="4" s="1"/>
  <c r="H67" i="4"/>
  <c r="I67" i="4" s="1"/>
  <c r="H66" i="4"/>
  <c r="I66" i="4" s="1"/>
  <c r="H65" i="4"/>
  <c r="I65" i="4" s="1"/>
  <c r="H64" i="4"/>
  <c r="H63" i="4"/>
  <c r="I63" i="4" s="1"/>
  <c r="H62" i="4"/>
  <c r="I62" i="4" s="1"/>
  <c r="H61" i="4"/>
  <c r="I61" i="4" s="1"/>
  <c r="H60" i="4"/>
  <c r="I60" i="4" s="1"/>
  <c r="H59" i="4"/>
  <c r="I59" i="4" s="1"/>
  <c r="H58" i="4"/>
  <c r="I58" i="4" s="1"/>
  <c r="H57" i="4"/>
  <c r="I57" i="4" s="1"/>
  <c r="H56" i="4"/>
  <c r="I56" i="4" s="1"/>
  <c r="H55" i="4"/>
  <c r="I55" i="4" s="1"/>
  <c r="H54" i="4"/>
  <c r="I54" i="4" s="1"/>
  <c r="H53" i="4"/>
  <c r="I53" i="4" s="1"/>
  <c r="H52" i="4"/>
  <c r="I52" i="4" s="1"/>
  <c r="H51" i="4"/>
  <c r="I51" i="4" s="1"/>
  <c r="H50" i="4"/>
  <c r="I50" i="4" s="1"/>
  <c r="H49" i="4"/>
  <c r="I49" i="4" s="1"/>
  <c r="H48" i="4"/>
  <c r="H47" i="4"/>
  <c r="I47" i="4" s="1"/>
  <c r="H46" i="4"/>
  <c r="I46" i="4" s="1"/>
  <c r="H45" i="4"/>
  <c r="I45" i="4" s="1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I2" i="4" s="1"/>
  <c r="E1" i="3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67" i="1"/>
  <c r="N2" i="1"/>
  <c r="C167" i="1"/>
  <c r="I167" i="1" s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AX178" i="10" l="1"/>
  <c r="AX175" i="10"/>
  <c r="AX167" i="10"/>
  <c r="AX172" i="10"/>
  <c r="AX177" i="10"/>
  <c r="AX169" i="10"/>
  <c r="AX171" i="10"/>
  <c r="AX170" i="10"/>
  <c r="AX162" i="10"/>
  <c r="AX168" i="10"/>
  <c r="AX164" i="10"/>
  <c r="AX173" i="10"/>
  <c r="AX166" i="10"/>
  <c r="AX165" i="10"/>
  <c r="AX163" i="10"/>
  <c r="AX174" i="10"/>
  <c r="AX156" i="10"/>
  <c r="AX160" i="10"/>
  <c r="AX158" i="10"/>
  <c r="AX157" i="10"/>
  <c r="AX146" i="10"/>
  <c r="AX151" i="10"/>
  <c r="AX161" i="10"/>
  <c r="AX154" i="10"/>
  <c r="AX159" i="10"/>
  <c r="AX140" i="10"/>
  <c r="AX153" i="10"/>
  <c r="AX145" i="10"/>
  <c r="AX142" i="10"/>
  <c r="AX176" i="10"/>
  <c r="AX147" i="10"/>
  <c r="AX143" i="10"/>
  <c r="AX155" i="10"/>
  <c r="AX138" i="10"/>
  <c r="AX133" i="10"/>
  <c r="AX125" i="10"/>
  <c r="AX144" i="10"/>
  <c r="AX136" i="10"/>
  <c r="AX130" i="10"/>
  <c r="AX139" i="10"/>
  <c r="AX132" i="10"/>
  <c r="AX124" i="10"/>
  <c r="AX152" i="10"/>
  <c r="AX150" i="10"/>
  <c r="AX113" i="10"/>
  <c r="AX137" i="10"/>
  <c r="AX118" i="10"/>
  <c r="AX149" i="10"/>
  <c r="AX129" i="10"/>
  <c r="AX127" i="10"/>
  <c r="AX126" i="10"/>
  <c r="AX123" i="10"/>
  <c r="AX120" i="10"/>
  <c r="AX112" i="10"/>
  <c r="AX148" i="10"/>
  <c r="AX128" i="10"/>
  <c r="AX122" i="10"/>
  <c r="AX117" i="10"/>
  <c r="AX115" i="10"/>
  <c r="AX131" i="10"/>
  <c r="AX110" i="10"/>
  <c r="AX102" i="10"/>
  <c r="AX121" i="10"/>
  <c r="AX107" i="10"/>
  <c r="AX141" i="10"/>
  <c r="AX104" i="10"/>
  <c r="AX119" i="10"/>
  <c r="AX135" i="10"/>
  <c r="AX109" i="10"/>
  <c r="AX106" i="10"/>
  <c r="AX103" i="10"/>
  <c r="AX100" i="10"/>
  <c r="AX99" i="10"/>
  <c r="AX91" i="10"/>
  <c r="AX83" i="10"/>
  <c r="AX116" i="10"/>
  <c r="AX114" i="10"/>
  <c r="AX111" i="10"/>
  <c r="AX108" i="10"/>
  <c r="AX105" i="10"/>
  <c r="AX96" i="10"/>
  <c r="AX88" i="10"/>
  <c r="AX98" i="10"/>
  <c r="AX90" i="10"/>
  <c r="AX95" i="10"/>
  <c r="AX93" i="10"/>
  <c r="AX92" i="10"/>
  <c r="AX89" i="10"/>
  <c r="AX86" i="10"/>
  <c r="AX101" i="10"/>
  <c r="AX85" i="10"/>
  <c r="AX82" i="10"/>
  <c r="AX79" i="10"/>
  <c r="AX76" i="10"/>
  <c r="AX72" i="10"/>
  <c r="AX64" i="10"/>
  <c r="AX87" i="10"/>
  <c r="AX77" i="10"/>
  <c r="AX69" i="10"/>
  <c r="AX61" i="10"/>
  <c r="AX97" i="10"/>
  <c r="AX84" i="10"/>
  <c r="AX78" i="10"/>
  <c r="AX74" i="10"/>
  <c r="AX66" i="10"/>
  <c r="AX81" i="10"/>
  <c r="AX75" i="10"/>
  <c r="AX58" i="10"/>
  <c r="AX50" i="10"/>
  <c r="AX134" i="10"/>
  <c r="AX63" i="10"/>
  <c r="AX71" i="10"/>
  <c r="AX68" i="10"/>
  <c r="AX65" i="10"/>
  <c r="AX62" i="10"/>
  <c r="AX57" i="10"/>
  <c r="AX49" i="10"/>
  <c r="AX41" i="10"/>
  <c r="AX33" i="10"/>
  <c r="AX73" i="10"/>
  <c r="AX70" i="10"/>
  <c r="AX67" i="10"/>
  <c r="AX60" i="10"/>
  <c r="AX54" i="10"/>
  <c r="AX46" i="10"/>
  <c r="AX38" i="10"/>
  <c r="AX30" i="10"/>
  <c r="AX80" i="10"/>
  <c r="AX59" i="10"/>
  <c r="AX51" i="10"/>
  <c r="AX94" i="10"/>
  <c r="AX56" i="10"/>
  <c r="AX48" i="10"/>
  <c r="AX40" i="10"/>
  <c r="AX32" i="10"/>
  <c r="AX29" i="10"/>
  <c r="AX27" i="10"/>
  <c r="AX45" i="10"/>
  <c r="AX43" i="10"/>
  <c r="AX42" i="10"/>
  <c r="AX39" i="10"/>
  <c r="AX36" i="10"/>
  <c r="AX21" i="10"/>
  <c r="AX23" i="10"/>
  <c r="AX15" i="10"/>
  <c r="AX28" i="10"/>
  <c r="AX20" i="10"/>
  <c r="AX25" i="10"/>
  <c r="AX17" i="10"/>
  <c r="AX53" i="10"/>
  <c r="AX52" i="10"/>
  <c r="AX47" i="10"/>
  <c r="AX19" i="10"/>
  <c r="AX16" i="10"/>
  <c r="AX13" i="10"/>
  <c r="AX18" i="10"/>
  <c r="AX55" i="10"/>
  <c r="AX22" i="10"/>
  <c r="AX34" i="10"/>
  <c r="AX37" i="10"/>
  <c r="AX35" i="10"/>
  <c r="AX31" i="10"/>
  <c r="AX44" i="10"/>
  <c r="AX24" i="10"/>
  <c r="AX14" i="10"/>
  <c r="AX26" i="10"/>
  <c r="S178" i="10"/>
  <c r="S172" i="10"/>
  <c r="S177" i="10"/>
  <c r="S169" i="10"/>
  <c r="S174" i="10"/>
  <c r="S166" i="10"/>
  <c r="S176" i="10"/>
  <c r="S168" i="10"/>
  <c r="S175" i="10"/>
  <c r="S173" i="10"/>
  <c r="S161" i="10"/>
  <c r="S171" i="10"/>
  <c r="S153" i="10"/>
  <c r="S165" i="10"/>
  <c r="S160" i="10"/>
  <c r="S159" i="10"/>
  <c r="S155" i="10"/>
  <c r="S170" i="10"/>
  <c r="S164" i="10"/>
  <c r="S163" i="10"/>
  <c r="S162" i="10"/>
  <c r="S151" i="10"/>
  <c r="S143" i="10"/>
  <c r="S167" i="10"/>
  <c r="S148" i="10"/>
  <c r="S150" i="10"/>
  <c r="S137" i="10"/>
  <c r="S152" i="10"/>
  <c r="S149" i="10"/>
  <c r="S144" i="10"/>
  <c r="S157" i="10"/>
  <c r="S156" i="10"/>
  <c r="S145" i="10"/>
  <c r="S158" i="10"/>
  <c r="S130" i="10"/>
  <c r="S122" i="10"/>
  <c r="S154" i="10"/>
  <c r="S141" i="10"/>
  <c r="S135" i="10"/>
  <c r="S127" i="10"/>
  <c r="S147" i="10"/>
  <c r="S138" i="10"/>
  <c r="S129" i="10"/>
  <c r="S142" i="10"/>
  <c r="S136" i="10"/>
  <c r="S133" i="10"/>
  <c r="S125" i="10"/>
  <c r="S118" i="10"/>
  <c r="S124" i="10"/>
  <c r="S115" i="10"/>
  <c r="S139" i="10"/>
  <c r="S117" i="10"/>
  <c r="S134" i="10"/>
  <c r="S126" i="10"/>
  <c r="S107" i="10"/>
  <c r="S146" i="10"/>
  <c r="S140" i="10"/>
  <c r="S132" i="10"/>
  <c r="S128" i="10"/>
  <c r="S104" i="10"/>
  <c r="S120" i="10"/>
  <c r="S119" i="10"/>
  <c r="S116" i="10"/>
  <c r="S109" i="10"/>
  <c r="S101" i="10"/>
  <c r="S112" i="10"/>
  <c r="S110" i="10"/>
  <c r="S96" i="10"/>
  <c r="S88" i="10"/>
  <c r="S93" i="10"/>
  <c r="S106" i="10"/>
  <c r="S103" i="10"/>
  <c r="S95" i="10"/>
  <c r="S87" i="10"/>
  <c r="S100" i="10"/>
  <c r="S131" i="10"/>
  <c r="S121" i="10"/>
  <c r="S114" i="10"/>
  <c r="S98" i="10"/>
  <c r="S97" i="10"/>
  <c r="S94" i="10"/>
  <c r="S91" i="10"/>
  <c r="S79" i="10"/>
  <c r="S113" i="10"/>
  <c r="S108" i="10"/>
  <c r="S102" i="10"/>
  <c r="S99" i="10"/>
  <c r="S86" i="10"/>
  <c r="S81" i="10"/>
  <c r="S84" i="10"/>
  <c r="S83" i="10"/>
  <c r="S80" i="10"/>
  <c r="S77" i="10"/>
  <c r="S69" i="10"/>
  <c r="S61" i="10"/>
  <c r="S89" i="10"/>
  <c r="S85" i="10"/>
  <c r="S82" i="10"/>
  <c r="S78" i="10"/>
  <c r="S74" i="10"/>
  <c r="S66" i="10"/>
  <c r="S123" i="10"/>
  <c r="S71" i="10"/>
  <c r="S63" i="10"/>
  <c r="S90" i="10"/>
  <c r="S75" i="10"/>
  <c r="S72" i="10"/>
  <c r="S55" i="10"/>
  <c r="S92" i="10"/>
  <c r="S60" i="10"/>
  <c r="S105" i="10"/>
  <c r="S54" i="10"/>
  <c r="S46" i="10"/>
  <c r="S38" i="10"/>
  <c r="S30" i="10"/>
  <c r="S111" i="10"/>
  <c r="S59" i="10"/>
  <c r="S51" i="10"/>
  <c r="S43" i="10"/>
  <c r="S35" i="10"/>
  <c r="S56" i="10"/>
  <c r="S68" i="10"/>
  <c r="S65" i="10"/>
  <c r="S62" i="10"/>
  <c r="S53" i="10"/>
  <c r="S45" i="10"/>
  <c r="S37" i="10"/>
  <c r="S24" i="10"/>
  <c r="S70" i="10"/>
  <c r="S64" i="10"/>
  <c r="S76" i="10"/>
  <c r="S26" i="10"/>
  <c r="S34" i="10"/>
  <c r="S32" i="10"/>
  <c r="S31" i="10"/>
  <c r="S28" i="10"/>
  <c r="S20" i="10"/>
  <c r="S73" i="10"/>
  <c r="S67" i="10"/>
  <c r="S42" i="10"/>
  <c r="S40" i="10"/>
  <c r="S39" i="10"/>
  <c r="S36" i="10"/>
  <c r="S33" i="10"/>
  <c r="S25" i="10"/>
  <c r="S17" i="10"/>
  <c r="S52" i="10"/>
  <c r="S50" i="10"/>
  <c r="S48" i="10"/>
  <c r="S47" i="10"/>
  <c r="S44" i="10"/>
  <c r="S41" i="10"/>
  <c r="S22" i="10"/>
  <c r="S14" i="10"/>
  <c r="AA21" i="10"/>
  <c r="AI40" i="10"/>
  <c r="P41" i="10"/>
  <c r="AI42" i="10"/>
  <c r="P43" i="10"/>
  <c r="S49" i="10"/>
  <c r="AQ50" i="10"/>
  <c r="D4" i="10"/>
  <c r="L4" i="10"/>
  <c r="T4" i="10"/>
  <c r="AB4" i="10"/>
  <c r="AJ4" i="10"/>
  <c r="AR4" i="10"/>
  <c r="AA13" i="10"/>
  <c r="AN14" i="10"/>
  <c r="C15" i="10"/>
  <c r="P16" i="10"/>
  <c r="AA16" i="10"/>
  <c r="AN17" i="10"/>
  <c r="C18" i="10"/>
  <c r="P19" i="10"/>
  <c r="AA19" i="10"/>
  <c r="AN20" i="10"/>
  <c r="C21" i="10"/>
  <c r="AN22" i="10"/>
  <c r="K23" i="10"/>
  <c r="X24" i="10"/>
  <c r="S27" i="10"/>
  <c r="AF28" i="10"/>
  <c r="C29" i="10"/>
  <c r="C36" i="10"/>
  <c r="C40" i="10"/>
  <c r="C42" i="10"/>
  <c r="AN42" i="10"/>
  <c r="X45" i="10"/>
  <c r="AN48" i="10"/>
  <c r="X49" i="10"/>
  <c r="H53" i="10"/>
  <c r="AI57" i="10"/>
  <c r="E4" i="10"/>
  <c r="M4" i="10"/>
  <c r="U4" i="10"/>
  <c r="AS4" i="10"/>
  <c r="C13" i="10"/>
  <c r="P14" i="10"/>
  <c r="AQ15" i="10"/>
  <c r="C16" i="10"/>
  <c r="P17" i="10"/>
  <c r="AQ18" i="10"/>
  <c r="C19" i="10"/>
  <c r="P20" i="10"/>
  <c r="AI23" i="10"/>
  <c r="AV24" i="10"/>
  <c r="AQ27" i="10"/>
  <c r="AA29" i="10"/>
  <c r="H32" i="10"/>
  <c r="AN32" i="10"/>
  <c r="X33" i="10"/>
  <c r="X35" i="10"/>
  <c r="AA41" i="10"/>
  <c r="K44" i="10"/>
  <c r="AQ44" i="10"/>
  <c r="AA47" i="10"/>
  <c r="K48" i="10"/>
  <c r="AQ48" i="10"/>
  <c r="K50" i="10"/>
  <c r="K52" i="10"/>
  <c r="AV59" i="10"/>
  <c r="AC4" i="10"/>
  <c r="F4" i="10"/>
  <c r="N4" i="10"/>
  <c r="V4" i="10"/>
  <c r="AD4" i="10"/>
  <c r="AL4" i="10"/>
  <c r="AT4" i="10"/>
  <c r="AQ13" i="10"/>
  <c r="S15" i="10"/>
  <c r="AF16" i="10"/>
  <c r="AQ16" i="10"/>
  <c r="S18" i="10"/>
  <c r="AF19" i="10"/>
  <c r="AQ19" i="10"/>
  <c r="S21" i="10"/>
  <c r="X22" i="10"/>
  <c r="H24" i="10"/>
  <c r="C27" i="10"/>
  <c r="P28" i="10"/>
  <c r="K32" i="10"/>
  <c r="K34" i="10"/>
  <c r="AV34" i="10"/>
  <c r="AV40" i="10"/>
  <c r="P50" i="10"/>
  <c r="AA178" i="10"/>
  <c r="AA172" i="10"/>
  <c r="AA177" i="10"/>
  <c r="AA169" i="10"/>
  <c r="AA174" i="10"/>
  <c r="AA166" i="10"/>
  <c r="AA176" i="10"/>
  <c r="AA168" i="10"/>
  <c r="AA167" i="10"/>
  <c r="AA161" i="10"/>
  <c r="AA170" i="10"/>
  <c r="AA164" i="10"/>
  <c r="AA163" i="10"/>
  <c r="AA162" i="10"/>
  <c r="AA153" i="10"/>
  <c r="AA173" i="10"/>
  <c r="AA155" i="10"/>
  <c r="AA159" i="10"/>
  <c r="AA171" i="10"/>
  <c r="AA156" i="10"/>
  <c r="AA151" i="10"/>
  <c r="AA143" i="10"/>
  <c r="AA157" i="10"/>
  <c r="AA148" i="10"/>
  <c r="AA150" i="10"/>
  <c r="AA160" i="10"/>
  <c r="AA137" i="10"/>
  <c r="AA146" i="10"/>
  <c r="AA154" i="10"/>
  <c r="AA144" i="10"/>
  <c r="AA152" i="10"/>
  <c r="AA149" i="10"/>
  <c r="AA147" i="10"/>
  <c r="AA130" i="10"/>
  <c r="AA122" i="10"/>
  <c r="AA175" i="10"/>
  <c r="AA165" i="10"/>
  <c r="AA135" i="10"/>
  <c r="AA127" i="10"/>
  <c r="AA141" i="10"/>
  <c r="AA140" i="10"/>
  <c r="AA129" i="10"/>
  <c r="AA142" i="10"/>
  <c r="AA121" i="10"/>
  <c r="AA118" i="10"/>
  <c r="AA145" i="10"/>
  <c r="AA126" i="10"/>
  <c r="AA115" i="10"/>
  <c r="AA158" i="10"/>
  <c r="AA138" i="10"/>
  <c r="AA134" i="10"/>
  <c r="AA136" i="10"/>
  <c r="AA133" i="10"/>
  <c r="AA117" i="10"/>
  <c r="AA139" i="10"/>
  <c r="AA114" i="10"/>
  <c r="AA107" i="10"/>
  <c r="AA131" i="10"/>
  <c r="AA125" i="10"/>
  <c r="AA104" i="10"/>
  <c r="AA124" i="10"/>
  <c r="AA109" i="10"/>
  <c r="AA101" i="10"/>
  <c r="AA132" i="10"/>
  <c r="AA110" i="10"/>
  <c r="AA96" i="10"/>
  <c r="AA88" i="10"/>
  <c r="AA93" i="10"/>
  <c r="AA119" i="10"/>
  <c r="AA112" i="10"/>
  <c r="AA128" i="10"/>
  <c r="AA113" i="10"/>
  <c r="AA95" i="10"/>
  <c r="AA87" i="10"/>
  <c r="AA116" i="10"/>
  <c r="AA111" i="10"/>
  <c r="AA105" i="10"/>
  <c r="AA99" i="10"/>
  <c r="AA123" i="10"/>
  <c r="AA108" i="10"/>
  <c r="AA102" i="10"/>
  <c r="AA79" i="10"/>
  <c r="AA100" i="10"/>
  <c r="AA85" i="10"/>
  <c r="AA120" i="10"/>
  <c r="AA92" i="10"/>
  <c r="AA90" i="10"/>
  <c r="AA89" i="10"/>
  <c r="AA81" i="10"/>
  <c r="AA76" i="10"/>
  <c r="AA69" i="10"/>
  <c r="AA61" i="10"/>
  <c r="AA74" i="10"/>
  <c r="AA66" i="10"/>
  <c r="AA106" i="10"/>
  <c r="AA77" i="10"/>
  <c r="AA71" i="10"/>
  <c r="AA63" i="10"/>
  <c r="AA94" i="10"/>
  <c r="AA91" i="10"/>
  <c r="AA55" i="10"/>
  <c r="AA68" i="10"/>
  <c r="AA65" i="10"/>
  <c r="AA62" i="10"/>
  <c r="AA60" i="10"/>
  <c r="AA78" i="10"/>
  <c r="AA73" i="10"/>
  <c r="AA70" i="10"/>
  <c r="AA67" i="10"/>
  <c r="AA64" i="10"/>
  <c r="AA83" i="10"/>
  <c r="AA75" i="10"/>
  <c r="AA72" i="10"/>
  <c r="AA54" i="10"/>
  <c r="AA46" i="10"/>
  <c r="AA38" i="10"/>
  <c r="AA30" i="10"/>
  <c r="AA84" i="10"/>
  <c r="AA59" i="10"/>
  <c r="AA51" i="10"/>
  <c r="AA43" i="10"/>
  <c r="AA35" i="10"/>
  <c r="AA86" i="10"/>
  <c r="AA80" i="10"/>
  <c r="AA56" i="10"/>
  <c r="AA103" i="10"/>
  <c r="AA97" i="10"/>
  <c r="AA82" i="10"/>
  <c r="AA53" i="10"/>
  <c r="AA45" i="10"/>
  <c r="AA37" i="10"/>
  <c r="AA58" i="10"/>
  <c r="AA42" i="10"/>
  <c r="AA40" i="10"/>
  <c r="AA39" i="10"/>
  <c r="AA36" i="10"/>
  <c r="AA33" i="10"/>
  <c r="AA24" i="10"/>
  <c r="AA49" i="10"/>
  <c r="AA26" i="10"/>
  <c r="AA57" i="10"/>
  <c r="AA28" i="10"/>
  <c r="AA20" i="10"/>
  <c r="AA25" i="10"/>
  <c r="AA17" i="10"/>
  <c r="AA98" i="10"/>
  <c r="AA22" i="10"/>
  <c r="AA14" i="10"/>
  <c r="AA18" i="10"/>
  <c r="AI36" i="10"/>
  <c r="AK4" i="10"/>
  <c r="G4" i="10"/>
  <c r="O4" i="10"/>
  <c r="W4" i="10"/>
  <c r="AE4" i="10"/>
  <c r="AM4" i="10"/>
  <c r="AU4" i="10"/>
  <c r="S13" i="10"/>
  <c r="AF14" i="10"/>
  <c r="H16" i="10"/>
  <c r="S16" i="10"/>
  <c r="AF17" i="10"/>
  <c r="S19" i="10"/>
  <c r="AF20" i="10"/>
  <c r="AI21" i="10"/>
  <c r="S23" i="10"/>
  <c r="AA27" i="10"/>
  <c r="K29" i="10"/>
  <c r="AI33" i="10"/>
  <c r="P34" i="10"/>
  <c r="AI39" i="10"/>
  <c r="C49" i="10"/>
  <c r="AA52" i="10"/>
  <c r="C58" i="10"/>
  <c r="AQ62" i="10"/>
  <c r="H173" i="10"/>
  <c r="H178" i="10"/>
  <c r="H170" i="10"/>
  <c r="H175" i="10"/>
  <c r="H167" i="10"/>
  <c r="H177" i="10"/>
  <c r="H169" i="10"/>
  <c r="H168" i="10"/>
  <c r="H160" i="10"/>
  <c r="H162" i="10"/>
  <c r="H171" i="10"/>
  <c r="H165" i="10"/>
  <c r="H154" i="10"/>
  <c r="H174" i="10"/>
  <c r="H156" i="10"/>
  <c r="H166" i="10"/>
  <c r="H159" i="10"/>
  <c r="H172" i="10"/>
  <c r="H164" i="10"/>
  <c r="H163" i="10"/>
  <c r="H161" i="10"/>
  <c r="H157" i="10"/>
  <c r="H152" i="10"/>
  <c r="H144" i="10"/>
  <c r="H149" i="10"/>
  <c r="H151" i="10"/>
  <c r="H138" i="10"/>
  <c r="H158" i="10"/>
  <c r="H146" i="10"/>
  <c r="H176" i="10"/>
  <c r="H147" i="10"/>
  <c r="H139" i="10"/>
  <c r="H131" i="10"/>
  <c r="H123" i="10"/>
  <c r="H137" i="10"/>
  <c r="H136" i="10"/>
  <c r="H128" i="10"/>
  <c r="H148" i="10"/>
  <c r="H142" i="10"/>
  <c r="H140" i="10"/>
  <c r="H130" i="10"/>
  <c r="H125" i="10"/>
  <c r="H119" i="10"/>
  <c r="H150" i="10"/>
  <c r="H116" i="10"/>
  <c r="H155" i="10"/>
  <c r="H153" i="10"/>
  <c r="H143" i="10"/>
  <c r="H141" i="10"/>
  <c r="H124" i="10"/>
  <c r="H118" i="10"/>
  <c r="H134" i="10"/>
  <c r="H122" i="10"/>
  <c r="H145" i="10"/>
  <c r="H127" i="10"/>
  <c r="H115" i="10"/>
  <c r="H108" i="10"/>
  <c r="H129" i="10"/>
  <c r="H121" i="10"/>
  <c r="H120" i="10"/>
  <c r="H117" i="10"/>
  <c r="H105" i="10"/>
  <c r="H110" i="10"/>
  <c r="H102" i="10"/>
  <c r="H135" i="10"/>
  <c r="H126" i="10"/>
  <c r="H132" i="10"/>
  <c r="H97" i="10"/>
  <c r="H89" i="10"/>
  <c r="H133" i="10"/>
  <c r="H94" i="10"/>
  <c r="H107" i="10"/>
  <c r="H104" i="10"/>
  <c r="H101" i="10"/>
  <c r="H113" i="10"/>
  <c r="H112" i="10"/>
  <c r="H109" i="10"/>
  <c r="H106" i="10"/>
  <c r="H103" i="10"/>
  <c r="H96" i="10"/>
  <c r="H88" i="10"/>
  <c r="H93" i="10"/>
  <c r="H91" i="10"/>
  <c r="H90" i="10"/>
  <c r="H87" i="10"/>
  <c r="H111" i="10"/>
  <c r="H80" i="10"/>
  <c r="H100" i="10"/>
  <c r="H86" i="10"/>
  <c r="H114" i="10"/>
  <c r="H82" i="10"/>
  <c r="H98" i="10"/>
  <c r="H92" i="10"/>
  <c r="H83" i="10"/>
  <c r="H77" i="10"/>
  <c r="H70" i="10"/>
  <c r="H62" i="10"/>
  <c r="H75" i="10"/>
  <c r="H67" i="10"/>
  <c r="H78" i="10"/>
  <c r="H72" i="10"/>
  <c r="H64" i="10"/>
  <c r="H56" i="10"/>
  <c r="H84" i="10"/>
  <c r="H81" i="10"/>
  <c r="H85" i="10"/>
  <c r="H79" i="10"/>
  <c r="H55" i="10"/>
  <c r="H47" i="10"/>
  <c r="H39" i="10"/>
  <c r="H31" i="10"/>
  <c r="H99" i="10"/>
  <c r="H95" i="10"/>
  <c r="H76" i="10"/>
  <c r="H60" i="10"/>
  <c r="H52" i="10"/>
  <c r="H44" i="10"/>
  <c r="H36" i="10"/>
  <c r="H69" i="10"/>
  <c r="H66" i="10"/>
  <c r="H63" i="10"/>
  <c r="H61" i="10"/>
  <c r="H57" i="10"/>
  <c r="H74" i="10"/>
  <c r="H71" i="10"/>
  <c r="H68" i="10"/>
  <c r="H65" i="10"/>
  <c r="H54" i="10"/>
  <c r="H46" i="10"/>
  <c r="H38" i="10"/>
  <c r="H30" i="10"/>
  <c r="H58" i="10"/>
  <c r="H25" i="10"/>
  <c r="H27" i="10"/>
  <c r="H59" i="10"/>
  <c r="H43" i="10"/>
  <c r="H41" i="10"/>
  <c r="H40" i="10"/>
  <c r="H37" i="10"/>
  <c r="H34" i="10"/>
  <c r="H29" i="10"/>
  <c r="H21" i="10"/>
  <c r="H13" i="10"/>
  <c r="H51" i="10"/>
  <c r="H49" i="10"/>
  <c r="H48" i="10"/>
  <c r="H45" i="10"/>
  <c r="H42" i="10"/>
  <c r="H26" i="10"/>
  <c r="H18" i="10"/>
  <c r="H73" i="10"/>
  <c r="H50" i="10"/>
  <c r="H23" i="10"/>
  <c r="H15" i="10"/>
  <c r="P173" i="10"/>
  <c r="P178" i="10"/>
  <c r="P170" i="10"/>
  <c r="P175" i="10"/>
  <c r="P167" i="10"/>
  <c r="P177" i="10"/>
  <c r="P169" i="10"/>
  <c r="P160" i="10"/>
  <c r="P174" i="10"/>
  <c r="P166" i="10"/>
  <c r="P162" i="10"/>
  <c r="P172" i="10"/>
  <c r="P161" i="10"/>
  <c r="P176" i="10"/>
  <c r="P154" i="10"/>
  <c r="P156" i="10"/>
  <c r="P168" i="10"/>
  <c r="P165" i="10"/>
  <c r="P152" i="10"/>
  <c r="P144" i="10"/>
  <c r="P149" i="10"/>
  <c r="P151" i="10"/>
  <c r="P145" i="10"/>
  <c r="P138" i="10"/>
  <c r="P164" i="10"/>
  <c r="P146" i="10"/>
  <c r="P148" i="10"/>
  <c r="P131" i="10"/>
  <c r="P123" i="10"/>
  <c r="P159" i="10"/>
  <c r="P158" i="10"/>
  <c r="P139" i="10"/>
  <c r="P136" i="10"/>
  <c r="P128" i="10"/>
  <c r="P163" i="10"/>
  <c r="P130" i="10"/>
  <c r="P155" i="10"/>
  <c r="P150" i="10"/>
  <c r="P140" i="10"/>
  <c r="P127" i="10"/>
  <c r="P119" i="10"/>
  <c r="P157" i="10"/>
  <c r="P147" i="10"/>
  <c r="P143" i="10"/>
  <c r="P142" i="10"/>
  <c r="P135" i="10"/>
  <c r="P133" i="10"/>
  <c r="P132" i="10"/>
  <c r="P129" i="10"/>
  <c r="P126" i="10"/>
  <c r="P116" i="10"/>
  <c r="P153" i="10"/>
  <c r="P134" i="10"/>
  <c r="P118" i="10"/>
  <c r="P171" i="10"/>
  <c r="P121" i="10"/>
  <c r="P120" i="10"/>
  <c r="P117" i="10"/>
  <c r="P125" i="10"/>
  <c r="P141" i="10"/>
  <c r="P124" i="10"/>
  <c r="P122" i="10"/>
  <c r="P108" i="10"/>
  <c r="P137" i="10"/>
  <c r="P114" i="10"/>
  <c r="P105" i="10"/>
  <c r="P110" i="10"/>
  <c r="P102" i="10"/>
  <c r="P107" i="10"/>
  <c r="P104" i="10"/>
  <c r="P101" i="10"/>
  <c r="P113" i="10"/>
  <c r="P97" i="10"/>
  <c r="P89" i="10"/>
  <c r="P94" i="10"/>
  <c r="P96" i="10"/>
  <c r="P88" i="10"/>
  <c r="P109" i="10"/>
  <c r="P103" i="10"/>
  <c r="P100" i="10"/>
  <c r="P84" i="10"/>
  <c r="P80" i="10"/>
  <c r="P115" i="10"/>
  <c r="P93" i="10"/>
  <c r="P91" i="10"/>
  <c r="P90" i="10"/>
  <c r="P87" i="10"/>
  <c r="P85" i="10"/>
  <c r="P106" i="10"/>
  <c r="P99" i="10"/>
  <c r="P98" i="10"/>
  <c r="P95" i="10"/>
  <c r="P92" i="10"/>
  <c r="P82" i="10"/>
  <c r="P112" i="10"/>
  <c r="P76" i="10"/>
  <c r="P70" i="10"/>
  <c r="P62" i="10"/>
  <c r="P86" i="10"/>
  <c r="P75" i="10"/>
  <c r="P67" i="10"/>
  <c r="P81" i="10"/>
  <c r="P77" i="10"/>
  <c r="P72" i="10"/>
  <c r="P64" i="10"/>
  <c r="P79" i="10"/>
  <c r="P78" i="10"/>
  <c r="P69" i="10"/>
  <c r="P66" i="10"/>
  <c r="P63" i="10"/>
  <c r="P56" i="10"/>
  <c r="P74" i="10"/>
  <c r="P71" i="10"/>
  <c r="P68" i="10"/>
  <c r="P65" i="10"/>
  <c r="P73" i="10"/>
  <c r="P55" i="10"/>
  <c r="P47" i="10"/>
  <c r="P39" i="10"/>
  <c r="P31" i="10"/>
  <c r="P60" i="10"/>
  <c r="P52" i="10"/>
  <c r="P44" i="10"/>
  <c r="P36" i="10"/>
  <c r="P111" i="10"/>
  <c r="P57" i="10"/>
  <c r="P83" i="10"/>
  <c r="P54" i="10"/>
  <c r="P46" i="10"/>
  <c r="P38" i="10"/>
  <c r="P30" i="10"/>
  <c r="P49" i="10"/>
  <c r="P48" i="10"/>
  <c r="P45" i="10"/>
  <c r="P42" i="10"/>
  <c r="P25" i="10"/>
  <c r="P59" i="10"/>
  <c r="P51" i="10"/>
  <c r="P27" i="10"/>
  <c r="P53" i="10"/>
  <c r="P29" i="10"/>
  <c r="P21" i="10"/>
  <c r="P13" i="10"/>
  <c r="P61" i="10"/>
  <c r="P58" i="10"/>
  <c r="P26" i="10"/>
  <c r="P18" i="10"/>
  <c r="P35" i="10"/>
  <c r="P33" i="10"/>
  <c r="P32" i="10"/>
  <c r="P23" i="10"/>
  <c r="P15" i="10"/>
  <c r="X173" i="10"/>
  <c r="X178" i="10"/>
  <c r="X170" i="10"/>
  <c r="X175" i="10"/>
  <c r="X167" i="10"/>
  <c r="X177" i="10"/>
  <c r="X169" i="10"/>
  <c r="X168" i="10"/>
  <c r="X160" i="10"/>
  <c r="X162" i="10"/>
  <c r="X171" i="10"/>
  <c r="X166" i="10"/>
  <c r="X161" i="10"/>
  <c r="X172" i="10"/>
  <c r="X165" i="10"/>
  <c r="X154" i="10"/>
  <c r="X164" i="10"/>
  <c r="X163" i="10"/>
  <c r="X156" i="10"/>
  <c r="X159" i="10"/>
  <c r="X158" i="10"/>
  <c r="X155" i="10"/>
  <c r="X152" i="10"/>
  <c r="X144" i="10"/>
  <c r="X149" i="10"/>
  <c r="X151" i="10"/>
  <c r="X153" i="10"/>
  <c r="X148" i="10"/>
  <c r="X147" i="10"/>
  <c r="X138" i="10"/>
  <c r="X174" i="10"/>
  <c r="X157" i="10"/>
  <c r="X143" i="10"/>
  <c r="X131" i="10"/>
  <c r="X123" i="10"/>
  <c r="X136" i="10"/>
  <c r="X128" i="10"/>
  <c r="X142" i="10"/>
  <c r="X137" i="10"/>
  <c r="X130" i="10"/>
  <c r="X146" i="10"/>
  <c r="X176" i="10"/>
  <c r="X139" i="10"/>
  <c r="X119" i="10"/>
  <c r="X116" i="10"/>
  <c r="X145" i="10"/>
  <c r="X127" i="10"/>
  <c r="X121" i="10"/>
  <c r="X118" i="10"/>
  <c r="X124" i="10"/>
  <c r="X122" i="10"/>
  <c r="X141" i="10"/>
  <c r="X134" i="10"/>
  <c r="X132" i="10"/>
  <c r="X126" i="10"/>
  <c r="X115" i="10"/>
  <c r="X150" i="10"/>
  <c r="X140" i="10"/>
  <c r="X108" i="10"/>
  <c r="X113" i="10"/>
  <c r="X105" i="10"/>
  <c r="X129" i="10"/>
  <c r="X125" i="10"/>
  <c r="X110" i="10"/>
  <c r="X102" i="10"/>
  <c r="X107" i="10"/>
  <c r="X104" i="10"/>
  <c r="X101" i="10"/>
  <c r="X97" i="10"/>
  <c r="X89" i="10"/>
  <c r="X109" i="10"/>
  <c r="X106" i="10"/>
  <c r="X103" i="10"/>
  <c r="X94" i="10"/>
  <c r="X111" i="10"/>
  <c r="X135" i="10"/>
  <c r="X117" i="10"/>
  <c r="X114" i="10"/>
  <c r="X96" i="10"/>
  <c r="X88" i="10"/>
  <c r="X93" i="10"/>
  <c r="X91" i="10"/>
  <c r="X90" i="10"/>
  <c r="X87" i="10"/>
  <c r="X83" i="10"/>
  <c r="X80" i="10"/>
  <c r="X133" i="10"/>
  <c r="X112" i="10"/>
  <c r="X84" i="10"/>
  <c r="X82" i="10"/>
  <c r="X120" i="10"/>
  <c r="X100" i="10"/>
  <c r="X99" i="10"/>
  <c r="X95" i="10"/>
  <c r="X70" i="10"/>
  <c r="X62" i="10"/>
  <c r="X75" i="10"/>
  <c r="X67" i="10"/>
  <c r="X76" i="10"/>
  <c r="X72" i="10"/>
  <c r="X64" i="10"/>
  <c r="X98" i="10"/>
  <c r="X92" i="10"/>
  <c r="X56" i="10"/>
  <c r="X61" i="10"/>
  <c r="X81" i="10"/>
  <c r="X69" i="10"/>
  <c r="X66" i="10"/>
  <c r="X63" i="10"/>
  <c r="X55" i="10"/>
  <c r="X47" i="10"/>
  <c r="X39" i="10"/>
  <c r="X31" i="10"/>
  <c r="X77" i="10"/>
  <c r="X74" i="10"/>
  <c r="X71" i="10"/>
  <c r="X68" i="10"/>
  <c r="X65" i="10"/>
  <c r="X60" i="10"/>
  <c r="X52" i="10"/>
  <c r="X44" i="10"/>
  <c r="X36" i="10"/>
  <c r="X85" i="10"/>
  <c r="X79" i="10"/>
  <c r="X78" i="10"/>
  <c r="X73" i="10"/>
  <c r="X57" i="10"/>
  <c r="X54" i="10"/>
  <c r="X46" i="10"/>
  <c r="X38" i="10"/>
  <c r="X30" i="10"/>
  <c r="X25" i="10"/>
  <c r="X86" i="10"/>
  <c r="X58" i="10"/>
  <c r="X43" i="10"/>
  <c r="X41" i="10"/>
  <c r="X40" i="10"/>
  <c r="X37" i="10"/>
  <c r="X34" i="10"/>
  <c r="X27" i="10"/>
  <c r="X50" i="10"/>
  <c r="X29" i="10"/>
  <c r="X21" i="10"/>
  <c r="X13" i="10"/>
  <c r="X26" i="10"/>
  <c r="X18" i="10"/>
  <c r="X59" i="10"/>
  <c r="X23" i="10"/>
  <c r="X15" i="10"/>
  <c r="AF173" i="10"/>
  <c r="AF178" i="10"/>
  <c r="AF170" i="10"/>
  <c r="AF175" i="10"/>
  <c r="AF167" i="10"/>
  <c r="AF177" i="10"/>
  <c r="AF169" i="10"/>
  <c r="AF166" i="10"/>
  <c r="AF160" i="10"/>
  <c r="AF174" i="10"/>
  <c r="AF162" i="10"/>
  <c r="AF176" i="10"/>
  <c r="AF172" i="10"/>
  <c r="AF161" i="10"/>
  <c r="AF154" i="10"/>
  <c r="AF156" i="10"/>
  <c r="AF171" i="10"/>
  <c r="AF164" i="10"/>
  <c r="AF163" i="10"/>
  <c r="AF152" i="10"/>
  <c r="AF144" i="10"/>
  <c r="AF149" i="10"/>
  <c r="AF168" i="10"/>
  <c r="AF151" i="10"/>
  <c r="AF138" i="10"/>
  <c r="AF150" i="10"/>
  <c r="AF148" i="10"/>
  <c r="AF145" i="10"/>
  <c r="AF159" i="10"/>
  <c r="AF143" i="10"/>
  <c r="AF146" i="10"/>
  <c r="AF165" i="10"/>
  <c r="AF155" i="10"/>
  <c r="AF141" i="10"/>
  <c r="AF131" i="10"/>
  <c r="AF123" i="10"/>
  <c r="AF157" i="10"/>
  <c r="AF136" i="10"/>
  <c r="AF128" i="10"/>
  <c r="AF153" i="10"/>
  <c r="AF139" i="10"/>
  <c r="AF130" i="10"/>
  <c r="AF147" i="10"/>
  <c r="AF140" i="10"/>
  <c r="AF134" i="10"/>
  <c r="AF119" i="10"/>
  <c r="AF158" i="10"/>
  <c r="AF116" i="10"/>
  <c r="AF137" i="10"/>
  <c r="AF118" i="10"/>
  <c r="AF135" i="10"/>
  <c r="AF133" i="10"/>
  <c r="AF132" i="10"/>
  <c r="AF126" i="10"/>
  <c r="AF142" i="10"/>
  <c r="AF129" i="10"/>
  <c r="AF124" i="10"/>
  <c r="AF122" i="10"/>
  <c r="AF108" i="10"/>
  <c r="AF115" i="10"/>
  <c r="AF112" i="10"/>
  <c r="AF105" i="10"/>
  <c r="AF120" i="10"/>
  <c r="AF117" i="10"/>
  <c r="AF110" i="10"/>
  <c r="AF102" i="10"/>
  <c r="AF111" i="10"/>
  <c r="AF114" i="10"/>
  <c r="AF97" i="10"/>
  <c r="AF89" i="10"/>
  <c r="AF125" i="10"/>
  <c r="AF121" i="10"/>
  <c r="AF94" i="10"/>
  <c r="AF127" i="10"/>
  <c r="AF107" i="10"/>
  <c r="AF104" i="10"/>
  <c r="AF101" i="10"/>
  <c r="AF96" i="10"/>
  <c r="AF88" i="10"/>
  <c r="AF106" i="10"/>
  <c r="AF100" i="10"/>
  <c r="AF99" i="10"/>
  <c r="AF98" i="10"/>
  <c r="AF95" i="10"/>
  <c r="AF92" i="10"/>
  <c r="AF80" i="10"/>
  <c r="AF109" i="10"/>
  <c r="AF103" i="10"/>
  <c r="AF83" i="10"/>
  <c r="AF82" i="10"/>
  <c r="AF81" i="10"/>
  <c r="AF78" i="10"/>
  <c r="AF70" i="10"/>
  <c r="AF62" i="10"/>
  <c r="AF79" i="10"/>
  <c r="AF67" i="10"/>
  <c r="AF90" i="10"/>
  <c r="AF85" i="10"/>
  <c r="AF84" i="10"/>
  <c r="AF72" i="10"/>
  <c r="AF64" i="10"/>
  <c r="AF113" i="10"/>
  <c r="AF93" i="10"/>
  <c r="AF76" i="10"/>
  <c r="AF75" i="10"/>
  <c r="AF73" i="10"/>
  <c r="AF56" i="10"/>
  <c r="AF77" i="10"/>
  <c r="AF55" i="10"/>
  <c r="AF47" i="10"/>
  <c r="AF39" i="10"/>
  <c r="AF31" i="10"/>
  <c r="AF86" i="10"/>
  <c r="AF60" i="10"/>
  <c r="AF52" i="10"/>
  <c r="AF44" i="10"/>
  <c r="AF36" i="10"/>
  <c r="AF87" i="10"/>
  <c r="AF61" i="10"/>
  <c r="AF57" i="10"/>
  <c r="AF69" i="10"/>
  <c r="AF66" i="10"/>
  <c r="AF63" i="10"/>
  <c r="AF54" i="10"/>
  <c r="AF46" i="10"/>
  <c r="AF38" i="10"/>
  <c r="AF30" i="10"/>
  <c r="AF74" i="10"/>
  <c r="AF68" i="10"/>
  <c r="AF50" i="10"/>
  <c r="AF25" i="10"/>
  <c r="AF27" i="10"/>
  <c r="AF59" i="10"/>
  <c r="AF91" i="10"/>
  <c r="AF71" i="10"/>
  <c r="AF65" i="10"/>
  <c r="AF51" i="10"/>
  <c r="AF35" i="10"/>
  <c r="AF33" i="10"/>
  <c r="AF32" i="10"/>
  <c r="AF21" i="10"/>
  <c r="AF13" i="10"/>
  <c r="AF43" i="10"/>
  <c r="AF41" i="10"/>
  <c r="AF40" i="10"/>
  <c r="AF37" i="10"/>
  <c r="AF34" i="10"/>
  <c r="AF29" i="10"/>
  <c r="AF26" i="10"/>
  <c r="AF18" i="10"/>
  <c r="AF53" i="10"/>
  <c r="AF49" i="10"/>
  <c r="AF48" i="10"/>
  <c r="AF45" i="10"/>
  <c r="AF42" i="10"/>
  <c r="AF23" i="10"/>
  <c r="AF15" i="10"/>
  <c r="AN173" i="10"/>
  <c r="AN165" i="10"/>
  <c r="AN178" i="10"/>
  <c r="AN170" i="10"/>
  <c r="AN175" i="10"/>
  <c r="AN167" i="10"/>
  <c r="AN177" i="10"/>
  <c r="AN169" i="10"/>
  <c r="AN176" i="10"/>
  <c r="AN168" i="10"/>
  <c r="AN160" i="10"/>
  <c r="AN162" i="10"/>
  <c r="AN171" i="10"/>
  <c r="AN166" i="10"/>
  <c r="AN161" i="10"/>
  <c r="AN163" i="10"/>
  <c r="AN159" i="10"/>
  <c r="AN154" i="10"/>
  <c r="AN174" i="10"/>
  <c r="AN156" i="10"/>
  <c r="AN172" i="10"/>
  <c r="AN158" i="10"/>
  <c r="AN157" i="10"/>
  <c r="AN153" i="10"/>
  <c r="AN152" i="10"/>
  <c r="AN144" i="10"/>
  <c r="AN149" i="10"/>
  <c r="AN151" i="10"/>
  <c r="AN138" i="10"/>
  <c r="AN155" i="10"/>
  <c r="AN147" i="10"/>
  <c r="AN145" i="10"/>
  <c r="AN150" i="10"/>
  <c r="AN146" i="10"/>
  <c r="AN140" i="10"/>
  <c r="AN131" i="10"/>
  <c r="AN123" i="10"/>
  <c r="AN128" i="10"/>
  <c r="AN143" i="10"/>
  <c r="AN142" i="10"/>
  <c r="AN130" i="10"/>
  <c r="AN122" i="10"/>
  <c r="AN119" i="10"/>
  <c r="AN127" i="10"/>
  <c r="AN125" i="10"/>
  <c r="AN116" i="10"/>
  <c r="AN135" i="10"/>
  <c r="AN133" i="10"/>
  <c r="AN132" i="10"/>
  <c r="AN164" i="10"/>
  <c r="AN136" i="10"/>
  <c r="AN134" i="10"/>
  <c r="AN118" i="10"/>
  <c r="AN137" i="10"/>
  <c r="AN129" i="10"/>
  <c r="AN124" i="10"/>
  <c r="AN115" i="10"/>
  <c r="AN148" i="10"/>
  <c r="AN139" i="10"/>
  <c r="AN126" i="10"/>
  <c r="AN108" i="10"/>
  <c r="AN105" i="10"/>
  <c r="AN110" i="10"/>
  <c r="AN102" i="10"/>
  <c r="AN114" i="10"/>
  <c r="AN121" i="10"/>
  <c r="AN111" i="10"/>
  <c r="AN97" i="10"/>
  <c r="AN89" i="10"/>
  <c r="AN94" i="10"/>
  <c r="AN86" i="10"/>
  <c r="AN120" i="10"/>
  <c r="AN112" i="10"/>
  <c r="AN96" i="10"/>
  <c r="AN88" i="10"/>
  <c r="AN104" i="10"/>
  <c r="AN141" i="10"/>
  <c r="AN107" i="10"/>
  <c r="AN101" i="10"/>
  <c r="AN80" i="10"/>
  <c r="AN109" i="10"/>
  <c r="AN103" i="10"/>
  <c r="AN93" i="10"/>
  <c r="AN91" i="10"/>
  <c r="AN90" i="10"/>
  <c r="AN87" i="10"/>
  <c r="AN82" i="10"/>
  <c r="AN98" i="10"/>
  <c r="AN92" i="10"/>
  <c r="AN77" i="10"/>
  <c r="AN70" i="10"/>
  <c r="AN62" i="10"/>
  <c r="AN106" i="10"/>
  <c r="AN67" i="10"/>
  <c r="AN78" i="10"/>
  <c r="AN72" i="10"/>
  <c r="AN64" i="10"/>
  <c r="AN99" i="10"/>
  <c r="AN95" i="10"/>
  <c r="AN61" i="10"/>
  <c r="AN56" i="10"/>
  <c r="AN84" i="10"/>
  <c r="AN69" i="10"/>
  <c r="AN66" i="10"/>
  <c r="AN63" i="10"/>
  <c r="AN85" i="10"/>
  <c r="AN74" i="10"/>
  <c r="AN71" i="10"/>
  <c r="AN68" i="10"/>
  <c r="AN65" i="10"/>
  <c r="AN117" i="10"/>
  <c r="AN73" i="10"/>
  <c r="AN55" i="10"/>
  <c r="AN47" i="10"/>
  <c r="AN39" i="10"/>
  <c r="AN31" i="10"/>
  <c r="AN100" i="10"/>
  <c r="AN81" i="10"/>
  <c r="AN79" i="10"/>
  <c r="AN60" i="10"/>
  <c r="AN52" i="10"/>
  <c r="AN44" i="10"/>
  <c r="AN36" i="10"/>
  <c r="AN76" i="10"/>
  <c r="AN75" i="10"/>
  <c r="AN57" i="10"/>
  <c r="AN54" i="10"/>
  <c r="AN46" i="10"/>
  <c r="AN38" i="10"/>
  <c r="AN30" i="10"/>
  <c r="AN43" i="10"/>
  <c r="AN41" i="10"/>
  <c r="AN40" i="10"/>
  <c r="AN37" i="10"/>
  <c r="AN34" i="10"/>
  <c r="AN25" i="10"/>
  <c r="AN113" i="10"/>
  <c r="AN59" i="10"/>
  <c r="AN27" i="10"/>
  <c r="AN58" i="10"/>
  <c r="AN21" i="10"/>
  <c r="AN13" i="10"/>
  <c r="AN50" i="10"/>
  <c r="AN26" i="10"/>
  <c r="AN18" i="10"/>
  <c r="AN83" i="10"/>
  <c r="AN23" i="10"/>
  <c r="AN15" i="10"/>
  <c r="AV173" i="10"/>
  <c r="AV165" i="10"/>
  <c r="AV178" i="10"/>
  <c r="AV170" i="10"/>
  <c r="AV175" i="10"/>
  <c r="AV167" i="10"/>
  <c r="AV177" i="10"/>
  <c r="AV169" i="10"/>
  <c r="AV160" i="10"/>
  <c r="AV174" i="10"/>
  <c r="AV162" i="10"/>
  <c r="AV176" i="10"/>
  <c r="AV172" i="10"/>
  <c r="AV161" i="10"/>
  <c r="AV154" i="10"/>
  <c r="AV159" i="10"/>
  <c r="AV156" i="10"/>
  <c r="AV163" i="10"/>
  <c r="AV168" i="10"/>
  <c r="AV164" i="10"/>
  <c r="AV158" i="10"/>
  <c r="AV152" i="10"/>
  <c r="AV144" i="10"/>
  <c r="AV153" i="10"/>
  <c r="AV149" i="10"/>
  <c r="AV171" i="10"/>
  <c r="AV151" i="10"/>
  <c r="AV166" i="10"/>
  <c r="AV150" i="10"/>
  <c r="AV138" i="10"/>
  <c r="AV147" i="10"/>
  <c r="AV143" i="10"/>
  <c r="AV131" i="10"/>
  <c r="AV123" i="10"/>
  <c r="AV128" i="10"/>
  <c r="AV145" i="10"/>
  <c r="AV136" i="10"/>
  <c r="AV130" i="10"/>
  <c r="AV157" i="10"/>
  <c r="AV148" i="10"/>
  <c r="AV141" i="10"/>
  <c r="AV140" i="10"/>
  <c r="AV124" i="10"/>
  <c r="AV119" i="10"/>
  <c r="AV122" i="10"/>
  <c r="AV116" i="10"/>
  <c r="AV139" i="10"/>
  <c r="AV137" i="10"/>
  <c r="AV118" i="10"/>
  <c r="AV155" i="10"/>
  <c r="AV142" i="10"/>
  <c r="AV146" i="10"/>
  <c r="AV135" i="10"/>
  <c r="AV133" i="10"/>
  <c r="AV132" i="10"/>
  <c r="AV127" i="10"/>
  <c r="AV125" i="10"/>
  <c r="AV120" i="10"/>
  <c r="AV117" i="10"/>
  <c r="AV108" i="10"/>
  <c r="AV100" i="10"/>
  <c r="AV129" i="10"/>
  <c r="AV114" i="10"/>
  <c r="AV105" i="10"/>
  <c r="AV110" i="10"/>
  <c r="AV102" i="10"/>
  <c r="AV115" i="10"/>
  <c r="AV112" i="10"/>
  <c r="AV97" i="10"/>
  <c r="AV89" i="10"/>
  <c r="AV113" i="10"/>
  <c r="AV107" i="10"/>
  <c r="AV104" i="10"/>
  <c r="AV101" i="10"/>
  <c r="AV94" i="10"/>
  <c r="AV86" i="10"/>
  <c r="AV109" i="10"/>
  <c r="AV106" i="10"/>
  <c r="AV103" i="10"/>
  <c r="AV111" i="10"/>
  <c r="AV96" i="10"/>
  <c r="AV88" i="10"/>
  <c r="AV121" i="10"/>
  <c r="AV134" i="10"/>
  <c r="AV99" i="10"/>
  <c r="AV98" i="10"/>
  <c r="AV95" i="10"/>
  <c r="AV92" i="10"/>
  <c r="AV84" i="10"/>
  <c r="AV80" i="10"/>
  <c r="AV85" i="10"/>
  <c r="AV82" i="10"/>
  <c r="AV76" i="10"/>
  <c r="AV70" i="10"/>
  <c r="AV62" i="10"/>
  <c r="AV67" i="10"/>
  <c r="AV93" i="10"/>
  <c r="AV91" i="10"/>
  <c r="AV87" i="10"/>
  <c r="AV77" i="10"/>
  <c r="AV72" i="10"/>
  <c r="AV64" i="10"/>
  <c r="AV56" i="10"/>
  <c r="AV79" i="10"/>
  <c r="AV78" i="10"/>
  <c r="AV81" i="10"/>
  <c r="AV75" i="10"/>
  <c r="AV61" i="10"/>
  <c r="AV55" i="10"/>
  <c r="AV47" i="10"/>
  <c r="AV39" i="10"/>
  <c r="AV31" i="10"/>
  <c r="AV90" i="10"/>
  <c r="AV83" i="10"/>
  <c r="AV69" i="10"/>
  <c r="AV66" i="10"/>
  <c r="AV63" i="10"/>
  <c r="AV52" i="10"/>
  <c r="AV44" i="10"/>
  <c r="AV36" i="10"/>
  <c r="AV126" i="10"/>
  <c r="AV74" i="10"/>
  <c r="AV71" i="10"/>
  <c r="AV68" i="10"/>
  <c r="AV65" i="10"/>
  <c r="AV57" i="10"/>
  <c r="AV73" i="10"/>
  <c r="AV60" i="10"/>
  <c r="AV54" i="10"/>
  <c r="AV46" i="10"/>
  <c r="AV38" i="10"/>
  <c r="AV30" i="10"/>
  <c r="AV53" i="10"/>
  <c r="AV25" i="10"/>
  <c r="AV58" i="10"/>
  <c r="AV50" i="10"/>
  <c r="AV35" i="10"/>
  <c r="AV33" i="10"/>
  <c r="AV32" i="10"/>
  <c r="AV29" i="10"/>
  <c r="AV27" i="10"/>
  <c r="AV49" i="10"/>
  <c r="AV48" i="10"/>
  <c r="AV45" i="10"/>
  <c r="AV42" i="10"/>
  <c r="AV21" i="10"/>
  <c r="AV13" i="10"/>
  <c r="AV26" i="10"/>
  <c r="AV18" i="10"/>
  <c r="AV51" i="10"/>
  <c r="AV23" i="10"/>
  <c r="AV15" i="10"/>
  <c r="H14" i="10"/>
  <c r="AI15" i="10"/>
  <c r="AV16" i="10"/>
  <c r="H17" i="10"/>
  <c r="AI18" i="10"/>
  <c r="AV19" i="10"/>
  <c r="H20" i="10"/>
  <c r="H22" i="10"/>
  <c r="AQ23" i="10"/>
  <c r="C33" i="10"/>
  <c r="C39" i="10"/>
  <c r="X42" i="10"/>
  <c r="AN45" i="10"/>
  <c r="X48" i="10"/>
  <c r="AN49" i="10"/>
  <c r="X51" i="10"/>
  <c r="AN53" i="10"/>
  <c r="AA15" i="10"/>
  <c r="I4" i="10"/>
  <c r="Q4" i="10"/>
  <c r="Y4" i="10"/>
  <c r="AG4" i="10"/>
  <c r="AO4" i="10"/>
  <c r="AW4" i="10"/>
  <c r="AI13" i="10"/>
  <c r="AV14" i="10"/>
  <c r="K15" i="10"/>
  <c r="X16" i="10"/>
  <c r="AI16" i="10"/>
  <c r="AV17" i="10"/>
  <c r="K18" i="10"/>
  <c r="X19" i="10"/>
  <c r="AV20" i="10"/>
  <c r="K21" i="10"/>
  <c r="AF22" i="10"/>
  <c r="P24" i="10"/>
  <c r="K27" i="10"/>
  <c r="X28" i="10"/>
  <c r="AN29" i="10"/>
  <c r="X32" i="10"/>
  <c r="H33" i="10"/>
  <c r="AN33" i="10"/>
  <c r="H35" i="10"/>
  <c r="AN35" i="10"/>
  <c r="K41" i="10"/>
  <c r="AQ41" i="10"/>
  <c r="AA44" i="10"/>
  <c r="AA48" i="10"/>
  <c r="AA50" i="10"/>
  <c r="S58" i="10"/>
  <c r="C178" i="10"/>
  <c r="C172" i="10"/>
  <c r="C177" i="10"/>
  <c r="C169" i="10"/>
  <c r="C174" i="10"/>
  <c r="C166" i="10"/>
  <c r="C176" i="10"/>
  <c r="C168" i="10"/>
  <c r="C175" i="10"/>
  <c r="C173" i="10"/>
  <c r="C161" i="10"/>
  <c r="C171" i="10"/>
  <c r="C159" i="10"/>
  <c r="C165" i="10"/>
  <c r="C155" i="10"/>
  <c r="C167" i="10"/>
  <c r="C151" i="10"/>
  <c r="C148" i="10"/>
  <c r="C157" i="10"/>
  <c r="C150" i="10"/>
  <c r="C162" i="10"/>
  <c r="C144" i="10"/>
  <c r="C137" i="10"/>
  <c r="C147" i="10"/>
  <c r="C145" i="10"/>
  <c r="C158" i="10"/>
  <c r="C140" i="10"/>
  <c r="C130" i="10"/>
  <c r="C122" i="10"/>
  <c r="C170" i="10"/>
  <c r="C146" i="10"/>
  <c r="C138" i="10"/>
  <c r="C135" i="10"/>
  <c r="C127" i="10"/>
  <c r="C156" i="10"/>
  <c r="C153" i="10"/>
  <c r="C152" i="10"/>
  <c r="C149" i="10"/>
  <c r="C129" i="10"/>
  <c r="C141" i="10"/>
  <c r="C163" i="10"/>
  <c r="C126" i="10"/>
  <c r="C118" i="10"/>
  <c r="C134" i="10"/>
  <c r="C132" i="10"/>
  <c r="C131" i="10"/>
  <c r="C128" i="10"/>
  <c r="C160" i="10"/>
  <c r="C136" i="10"/>
  <c r="C133" i="10"/>
  <c r="C154" i="10"/>
  <c r="C139" i="10"/>
  <c r="C117" i="10"/>
  <c r="C125" i="10"/>
  <c r="C120" i="10"/>
  <c r="C119" i="10"/>
  <c r="C116" i="10"/>
  <c r="C115" i="10"/>
  <c r="C164" i="10"/>
  <c r="C124" i="10"/>
  <c r="C107" i="10"/>
  <c r="C142" i="10"/>
  <c r="C113" i="10"/>
  <c r="C112" i="10"/>
  <c r="C104" i="10"/>
  <c r="C143" i="10"/>
  <c r="C114" i="10"/>
  <c r="C109" i="10"/>
  <c r="C101" i="10"/>
  <c r="C106" i="10"/>
  <c r="C103" i="10"/>
  <c r="C121" i="10"/>
  <c r="C96" i="10"/>
  <c r="C88" i="10"/>
  <c r="C93" i="10"/>
  <c r="C123" i="10"/>
  <c r="C95" i="10"/>
  <c r="C87" i="10"/>
  <c r="C110" i="10"/>
  <c r="C79" i="10"/>
  <c r="C111" i="10"/>
  <c r="C105" i="10"/>
  <c r="C92" i="10"/>
  <c r="C90" i="10"/>
  <c r="C89" i="10"/>
  <c r="C84" i="10"/>
  <c r="C100" i="10"/>
  <c r="C98" i="10"/>
  <c r="C97" i="10"/>
  <c r="C94" i="10"/>
  <c r="C91" i="10"/>
  <c r="C81" i="10"/>
  <c r="C102" i="10"/>
  <c r="C86" i="10"/>
  <c r="C69" i="10"/>
  <c r="C74" i="10"/>
  <c r="C66" i="10"/>
  <c r="C83" i="10"/>
  <c r="C80" i="10"/>
  <c r="C76" i="10"/>
  <c r="C71" i="10"/>
  <c r="C63" i="10"/>
  <c r="C68" i="10"/>
  <c r="C65" i="10"/>
  <c r="C62" i="10"/>
  <c r="C55" i="10"/>
  <c r="C73" i="10"/>
  <c r="C70" i="10"/>
  <c r="C67" i="10"/>
  <c r="C64" i="10"/>
  <c r="C60" i="10"/>
  <c r="C75" i="10"/>
  <c r="C72" i="10"/>
  <c r="C61" i="10"/>
  <c r="C108" i="10"/>
  <c r="C54" i="10"/>
  <c r="C46" i="10"/>
  <c r="C38" i="10"/>
  <c r="C30" i="10"/>
  <c r="C85" i="10"/>
  <c r="C59" i="10"/>
  <c r="C51" i="10"/>
  <c r="C43" i="10"/>
  <c r="C35" i="10"/>
  <c r="C99" i="10"/>
  <c r="C56" i="10"/>
  <c r="C78" i="10"/>
  <c r="C77" i="10"/>
  <c r="C53" i="10"/>
  <c r="C45" i="10"/>
  <c r="C37" i="10"/>
  <c r="C50" i="10"/>
  <c r="C48" i="10"/>
  <c r="C47" i="10"/>
  <c r="C44" i="10"/>
  <c r="C41" i="10"/>
  <c r="C24" i="10"/>
  <c r="C82" i="10"/>
  <c r="C26" i="10"/>
  <c r="C52" i="10"/>
  <c r="C28" i="10"/>
  <c r="C20" i="10"/>
  <c r="C57" i="10"/>
  <c r="C25" i="10"/>
  <c r="C17" i="10"/>
  <c r="C34" i="10"/>
  <c r="C32" i="10"/>
  <c r="C31" i="10"/>
  <c r="C22" i="10"/>
  <c r="C14" i="10"/>
  <c r="K178" i="10"/>
  <c r="K172" i="10"/>
  <c r="K177" i="10"/>
  <c r="K169" i="10"/>
  <c r="K174" i="10"/>
  <c r="K166" i="10"/>
  <c r="K176" i="10"/>
  <c r="K168" i="10"/>
  <c r="K167" i="10"/>
  <c r="K161" i="10"/>
  <c r="K170" i="10"/>
  <c r="K171" i="10"/>
  <c r="K160" i="10"/>
  <c r="K164" i="10"/>
  <c r="K163" i="10"/>
  <c r="K162" i="10"/>
  <c r="K155" i="10"/>
  <c r="K175" i="10"/>
  <c r="K151" i="10"/>
  <c r="K165" i="10"/>
  <c r="K158" i="10"/>
  <c r="K148" i="10"/>
  <c r="K150" i="10"/>
  <c r="K157" i="10"/>
  <c r="K156" i="10"/>
  <c r="K146" i="10"/>
  <c r="K137" i="10"/>
  <c r="K159" i="10"/>
  <c r="K154" i="10"/>
  <c r="K147" i="10"/>
  <c r="K173" i="10"/>
  <c r="K143" i="10"/>
  <c r="K130" i="10"/>
  <c r="K122" i="10"/>
  <c r="K153" i="10"/>
  <c r="K152" i="10"/>
  <c r="K149" i="10"/>
  <c r="K140" i="10"/>
  <c r="K135" i="10"/>
  <c r="K127" i="10"/>
  <c r="K145" i="10"/>
  <c r="K129" i="10"/>
  <c r="K124" i="10"/>
  <c r="K118" i="10"/>
  <c r="K115" i="10"/>
  <c r="K142" i="10"/>
  <c r="K141" i="10"/>
  <c r="K138" i="10"/>
  <c r="K126" i="10"/>
  <c r="K117" i="10"/>
  <c r="K144" i="10"/>
  <c r="K139" i="10"/>
  <c r="K121" i="10"/>
  <c r="K107" i="10"/>
  <c r="K134" i="10"/>
  <c r="K125" i="10"/>
  <c r="K112" i="10"/>
  <c r="K104" i="10"/>
  <c r="K136" i="10"/>
  <c r="K133" i="10"/>
  <c r="K109" i="10"/>
  <c r="K101" i="10"/>
  <c r="K128" i="10"/>
  <c r="K106" i="10"/>
  <c r="K103" i="10"/>
  <c r="K96" i="10"/>
  <c r="K88" i="10"/>
  <c r="K123" i="10"/>
  <c r="K114" i="10"/>
  <c r="K113" i="10"/>
  <c r="K111" i="10"/>
  <c r="K108" i="10"/>
  <c r="K105" i="10"/>
  <c r="K102" i="10"/>
  <c r="K93" i="10"/>
  <c r="K120" i="10"/>
  <c r="K116" i="10"/>
  <c r="K110" i="10"/>
  <c r="K95" i="10"/>
  <c r="K87" i="10"/>
  <c r="K132" i="10"/>
  <c r="K92" i="10"/>
  <c r="K90" i="10"/>
  <c r="K89" i="10"/>
  <c r="K99" i="10"/>
  <c r="K119" i="10"/>
  <c r="K79" i="10"/>
  <c r="K81" i="10"/>
  <c r="K100" i="10"/>
  <c r="K69" i="10"/>
  <c r="K131" i="10"/>
  <c r="K74" i="10"/>
  <c r="K66" i="10"/>
  <c r="K71" i="10"/>
  <c r="K63" i="10"/>
  <c r="K83" i="10"/>
  <c r="K55" i="10"/>
  <c r="K91" i="10"/>
  <c r="K85" i="10"/>
  <c r="K60" i="10"/>
  <c r="K98" i="10"/>
  <c r="K76" i="10"/>
  <c r="K86" i="10"/>
  <c r="K78" i="10"/>
  <c r="K77" i="10"/>
  <c r="K68" i="10"/>
  <c r="K65" i="10"/>
  <c r="K62" i="10"/>
  <c r="K54" i="10"/>
  <c r="K46" i="10"/>
  <c r="K38" i="10"/>
  <c r="K30" i="10"/>
  <c r="K94" i="10"/>
  <c r="K80" i="10"/>
  <c r="K73" i="10"/>
  <c r="K70" i="10"/>
  <c r="K67" i="10"/>
  <c r="K64" i="10"/>
  <c r="K61" i="10"/>
  <c r="K59" i="10"/>
  <c r="K51" i="10"/>
  <c r="K43" i="10"/>
  <c r="K35" i="10"/>
  <c r="K82" i="10"/>
  <c r="K75" i="10"/>
  <c r="K72" i="10"/>
  <c r="K56" i="10"/>
  <c r="K53" i="10"/>
  <c r="K45" i="10"/>
  <c r="K37" i="10"/>
  <c r="K24" i="10"/>
  <c r="K57" i="10"/>
  <c r="K42" i="10"/>
  <c r="K40" i="10"/>
  <c r="K39" i="10"/>
  <c r="K36" i="10"/>
  <c r="K33" i="10"/>
  <c r="K26" i="10"/>
  <c r="K49" i="10"/>
  <c r="K28" i="10"/>
  <c r="K20" i="10"/>
  <c r="K84" i="10"/>
  <c r="K25" i="10"/>
  <c r="K17" i="10"/>
  <c r="K58" i="10"/>
  <c r="K22" i="10"/>
  <c r="K14" i="10"/>
  <c r="AI178" i="10"/>
  <c r="AI172" i="10"/>
  <c r="AI177" i="10"/>
  <c r="AI169" i="10"/>
  <c r="AI174" i="10"/>
  <c r="AI166" i="10"/>
  <c r="AI176" i="10"/>
  <c r="AI168" i="10"/>
  <c r="AI175" i="10"/>
  <c r="AI159" i="10"/>
  <c r="AI173" i="10"/>
  <c r="AI161" i="10"/>
  <c r="AI171" i="10"/>
  <c r="AI153" i="10"/>
  <c r="AI165" i="10"/>
  <c r="AI155" i="10"/>
  <c r="AI163" i="10"/>
  <c r="AI162" i="10"/>
  <c r="AI167" i="10"/>
  <c r="AI164" i="10"/>
  <c r="AI154" i="10"/>
  <c r="AI151" i="10"/>
  <c r="AI143" i="10"/>
  <c r="AI170" i="10"/>
  <c r="AI160" i="10"/>
  <c r="AI148" i="10"/>
  <c r="AI158" i="10"/>
  <c r="AI157" i="10"/>
  <c r="AI150" i="10"/>
  <c r="AI152" i="10"/>
  <c r="AI149" i="10"/>
  <c r="AI137" i="10"/>
  <c r="AI146" i="10"/>
  <c r="AI156" i="10"/>
  <c r="AI139" i="10"/>
  <c r="AI130" i="10"/>
  <c r="AI122" i="10"/>
  <c r="AI145" i="10"/>
  <c r="AI135" i="10"/>
  <c r="AI127" i="10"/>
  <c r="AI129" i="10"/>
  <c r="AI123" i="10"/>
  <c r="AI118" i="10"/>
  <c r="AI121" i="10"/>
  <c r="AI115" i="10"/>
  <c r="AI147" i="10"/>
  <c r="AI142" i="10"/>
  <c r="AI124" i="10"/>
  <c r="AI117" i="10"/>
  <c r="AI141" i="10"/>
  <c r="AI140" i="10"/>
  <c r="AI131" i="10"/>
  <c r="AI125" i="10"/>
  <c r="AI138" i="10"/>
  <c r="AI120" i="10"/>
  <c r="AI119" i="10"/>
  <c r="AI116" i="10"/>
  <c r="AI107" i="10"/>
  <c r="AI126" i="10"/>
  <c r="AI113" i="10"/>
  <c r="AI104" i="10"/>
  <c r="AI144" i="10"/>
  <c r="AI134" i="10"/>
  <c r="AI132" i="10"/>
  <c r="AI128" i="10"/>
  <c r="AI114" i="10"/>
  <c r="AI109" i="10"/>
  <c r="AI101" i="10"/>
  <c r="AI96" i="10"/>
  <c r="AI88" i="10"/>
  <c r="AI106" i="10"/>
  <c r="AI103" i="10"/>
  <c r="AI93" i="10"/>
  <c r="AI111" i="10"/>
  <c r="AI108" i="10"/>
  <c r="AI105" i="10"/>
  <c r="AI102" i="10"/>
  <c r="AI110" i="10"/>
  <c r="AI95" i="10"/>
  <c r="AI87" i="10"/>
  <c r="AI100" i="10"/>
  <c r="AI98" i="10"/>
  <c r="AI97" i="10"/>
  <c r="AI94" i="10"/>
  <c r="AI91" i="10"/>
  <c r="AI133" i="10"/>
  <c r="AI112" i="10"/>
  <c r="AI83" i="10"/>
  <c r="AI79" i="10"/>
  <c r="AI84" i="10"/>
  <c r="AI136" i="10"/>
  <c r="AI81" i="10"/>
  <c r="AI99" i="10"/>
  <c r="AI85" i="10"/>
  <c r="AI75" i="10"/>
  <c r="AI69" i="10"/>
  <c r="AI61" i="10"/>
  <c r="AI92" i="10"/>
  <c r="AI90" i="10"/>
  <c r="AI86" i="10"/>
  <c r="AI74" i="10"/>
  <c r="AI66" i="10"/>
  <c r="AI76" i="10"/>
  <c r="AI71" i="10"/>
  <c r="AI63" i="10"/>
  <c r="AI55" i="10"/>
  <c r="AI60" i="10"/>
  <c r="AI80" i="10"/>
  <c r="AI54" i="10"/>
  <c r="AI46" i="10"/>
  <c r="AI38" i="10"/>
  <c r="AI30" i="10"/>
  <c r="AI82" i="10"/>
  <c r="AI68" i="10"/>
  <c r="AI65" i="10"/>
  <c r="AI62" i="10"/>
  <c r="AI59" i="10"/>
  <c r="AI51" i="10"/>
  <c r="AI43" i="10"/>
  <c r="AI35" i="10"/>
  <c r="AI89" i="10"/>
  <c r="AI73" i="10"/>
  <c r="AI70" i="10"/>
  <c r="AI67" i="10"/>
  <c r="AI64" i="10"/>
  <c r="AI56" i="10"/>
  <c r="AI72" i="10"/>
  <c r="AI53" i="10"/>
  <c r="AI45" i="10"/>
  <c r="AI37" i="10"/>
  <c r="AI29" i="10"/>
  <c r="AI52" i="10"/>
  <c r="AI24" i="10"/>
  <c r="AI34" i="10"/>
  <c r="AI32" i="10"/>
  <c r="AI31" i="10"/>
  <c r="AI26" i="10"/>
  <c r="AI78" i="10"/>
  <c r="AI48" i="10"/>
  <c r="AI47" i="10"/>
  <c r="AI44" i="10"/>
  <c r="AI41" i="10"/>
  <c r="AI28" i="10"/>
  <c r="AI20" i="10"/>
  <c r="AI58" i="10"/>
  <c r="AI49" i="10"/>
  <c r="AI25" i="10"/>
  <c r="AI17" i="10"/>
  <c r="AI77" i="10"/>
  <c r="AI50" i="10"/>
  <c r="AI22" i="10"/>
  <c r="AI14" i="10"/>
  <c r="AQ178" i="10"/>
  <c r="AQ172" i="10"/>
  <c r="AQ177" i="10"/>
  <c r="AQ169" i="10"/>
  <c r="AQ174" i="10"/>
  <c r="AQ166" i="10"/>
  <c r="AQ176" i="10"/>
  <c r="AQ168" i="10"/>
  <c r="AQ167" i="10"/>
  <c r="AQ159" i="10"/>
  <c r="AQ161" i="10"/>
  <c r="AQ170" i="10"/>
  <c r="AQ171" i="10"/>
  <c r="AQ165" i="10"/>
  <c r="AQ164" i="10"/>
  <c r="AQ160" i="10"/>
  <c r="AQ153" i="10"/>
  <c r="AQ155" i="10"/>
  <c r="AQ175" i="10"/>
  <c r="AQ151" i="10"/>
  <c r="AQ143" i="10"/>
  <c r="AQ173" i="10"/>
  <c r="AQ154" i="10"/>
  <c r="AQ148" i="10"/>
  <c r="AQ150" i="10"/>
  <c r="AQ162" i="10"/>
  <c r="AQ147" i="10"/>
  <c r="AQ145" i="10"/>
  <c r="AQ137" i="10"/>
  <c r="AQ152" i="10"/>
  <c r="AQ149" i="10"/>
  <c r="AQ144" i="10"/>
  <c r="AQ163" i="10"/>
  <c r="AQ130" i="10"/>
  <c r="AQ122" i="10"/>
  <c r="AQ139" i="10"/>
  <c r="AQ135" i="10"/>
  <c r="AQ127" i="10"/>
  <c r="AQ129" i="10"/>
  <c r="AQ156" i="10"/>
  <c r="AQ158" i="10"/>
  <c r="AQ146" i="10"/>
  <c r="AQ142" i="10"/>
  <c r="AQ134" i="10"/>
  <c r="AQ132" i="10"/>
  <c r="AQ131" i="10"/>
  <c r="AQ128" i="10"/>
  <c r="AQ125" i="10"/>
  <c r="AQ118" i="10"/>
  <c r="AQ133" i="10"/>
  <c r="AQ123" i="10"/>
  <c r="AQ115" i="10"/>
  <c r="AQ138" i="10"/>
  <c r="AQ136" i="10"/>
  <c r="AQ141" i="10"/>
  <c r="AQ140" i="10"/>
  <c r="AQ117" i="10"/>
  <c r="AQ114" i="10"/>
  <c r="AQ157" i="10"/>
  <c r="AQ107" i="10"/>
  <c r="AQ124" i="10"/>
  <c r="AQ112" i="10"/>
  <c r="AQ104" i="10"/>
  <c r="AQ109" i="10"/>
  <c r="AQ101" i="10"/>
  <c r="AQ111" i="10"/>
  <c r="AQ108" i="10"/>
  <c r="AQ105" i="10"/>
  <c r="AQ102" i="10"/>
  <c r="AQ126" i="10"/>
  <c r="AQ96" i="10"/>
  <c r="AQ88" i="10"/>
  <c r="AQ93" i="10"/>
  <c r="AQ120" i="10"/>
  <c r="AQ116" i="10"/>
  <c r="AQ113" i="10"/>
  <c r="AQ95" i="10"/>
  <c r="AQ87" i="10"/>
  <c r="AQ110" i="10"/>
  <c r="AQ92" i="10"/>
  <c r="AQ90" i="10"/>
  <c r="AQ89" i="10"/>
  <c r="AQ86" i="10"/>
  <c r="AQ79" i="10"/>
  <c r="AQ98" i="10"/>
  <c r="AQ97" i="10"/>
  <c r="AQ94" i="10"/>
  <c r="AQ91" i="10"/>
  <c r="AQ99" i="10"/>
  <c r="AQ83" i="10"/>
  <c r="AQ81" i="10"/>
  <c r="AQ103" i="10"/>
  <c r="AQ106" i="10"/>
  <c r="AQ69" i="10"/>
  <c r="AQ61" i="10"/>
  <c r="AQ80" i="10"/>
  <c r="AQ74" i="10"/>
  <c r="AQ66" i="10"/>
  <c r="AQ82" i="10"/>
  <c r="AQ75" i="10"/>
  <c r="AQ71" i="10"/>
  <c r="AQ63" i="10"/>
  <c r="AQ121" i="10"/>
  <c r="AQ85" i="10"/>
  <c r="AQ73" i="10"/>
  <c r="AQ70" i="10"/>
  <c r="AQ67" i="10"/>
  <c r="AQ64" i="10"/>
  <c r="AQ55" i="10"/>
  <c r="AQ72" i="10"/>
  <c r="AQ60" i="10"/>
  <c r="AQ119" i="10"/>
  <c r="AQ100" i="10"/>
  <c r="AQ76" i="10"/>
  <c r="AQ54" i="10"/>
  <c r="AQ46" i="10"/>
  <c r="AQ38" i="10"/>
  <c r="AQ30" i="10"/>
  <c r="AQ78" i="10"/>
  <c r="AQ77" i="10"/>
  <c r="AQ59" i="10"/>
  <c r="AQ51" i="10"/>
  <c r="AQ43" i="10"/>
  <c r="AQ35" i="10"/>
  <c r="AQ56" i="10"/>
  <c r="AQ84" i="10"/>
  <c r="AQ53" i="10"/>
  <c r="AQ45" i="10"/>
  <c r="AQ37" i="10"/>
  <c r="AQ29" i="10"/>
  <c r="AQ49" i="10"/>
  <c r="AQ24" i="10"/>
  <c r="AQ58" i="10"/>
  <c r="AQ26" i="10"/>
  <c r="AQ65" i="10"/>
  <c r="AQ28" i="10"/>
  <c r="AQ20" i="10"/>
  <c r="AQ52" i="10"/>
  <c r="AQ34" i="10"/>
  <c r="AQ32" i="10"/>
  <c r="AQ31" i="10"/>
  <c r="AQ25" i="10"/>
  <c r="AQ17" i="10"/>
  <c r="AQ57" i="10"/>
  <c r="AQ42" i="10"/>
  <c r="AQ40" i="10"/>
  <c r="AQ39" i="10"/>
  <c r="AQ36" i="10"/>
  <c r="AQ33" i="10"/>
  <c r="AQ22" i="10"/>
  <c r="AQ14" i="10"/>
  <c r="B4" i="10"/>
  <c r="J4" i="10"/>
  <c r="R4" i="10"/>
  <c r="Z4" i="10"/>
  <c r="AH4" i="10"/>
  <c r="AP4" i="10"/>
  <c r="K13" i="10"/>
  <c r="X14" i="10"/>
  <c r="K16" i="10"/>
  <c r="X17" i="10"/>
  <c r="K19" i="10"/>
  <c r="X20" i="10"/>
  <c r="AQ21" i="10"/>
  <c r="AA23" i="10"/>
  <c r="AN24" i="10"/>
  <c r="AI27" i="10"/>
  <c r="AV28" i="10"/>
  <c r="S29" i="10"/>
  <c r="K31" i="10"/>
  <c r="AA32" i="10"/>
  <c r="AA34" i="10"/>
  <c r="AV37" i="10"/>
  <c r="AV41" i="10"/>
  <c r="AV43" i="10"/>
  <c r="AN51" i="10"/>
  <c r="S57" i="10"/>
  <c r="AF58" i="10"/>
  <c r="AQ68" i="10"/>
  <c r="K97" i="10"/>
  <c r="C120" i="6"/>
  <c r="C2" i="6"/>
  <c r="C156" i="6"/>
  <c r="C4" i="6"/>
  <c r="C36" i="6"/>
  <c r="C68" i="6"/>
  <c r="C100" i="6"/>
  <c r="C132" i="6"/>
  <c r="C164" i="6"/>
  <c r="C12" i="6"/>
  <c r="C44" i="6"/>
  <c r="C76" i="6"/>
  <c r="C108" i="6"/>
  <c r="C140" i="6"/>
  <c r="C20" i="6"/>
  <c r="C52" i="6"/>
  <c r="C84" i="6"/>
  <c r="C116" i="6"/>
  <c r="C148" i="6"/>
  <c r="C28" i="6"/>
  <c r="C60" i="6"/>
  <c r="C92" i="6"/>
  <c r="C124" i="6"/>
  <c r="C3" i="6"/>
  <c r="C11" i="6"/>
  <c r="C19" i="6"/>
  <c r="C27" i="6"/>
  <c r="C35" i="6"/>
  <c r="C43" i="6"/>
  <c r="C51" i="6"/>
  <c r="C59" i="6"/>
  <c r="C67" i="6"/>
  <c r="C75" i="6"/>
  <c r="C83" i="6"/>
  <c r="C91" i="6"/>
  <c r="C99" i="6"/>
  <c r="C107" i="6"/>
  <c r="C115" i="6"/>
  <c r="C123" i="6"/>
  <c r="C131" i="6"/>
  <c r="C139" i="6"/>
  <c r="C147" i="6"/>
  <c r="C155" i="6"/>
  <c r="C163" i="6"/>
  <c r="C5" i="6"/>
  <c r="E5" i="6" s="1"/>
  <c r="C13" i="6"/>
  <c r="C21" i="6"/>
  <c r="C29" i="6"/>
  <c r="C37" i="6"/>
  <c r="C45" i="6"/>
  <c r="C53" i="6"/>
  <c r="C61" i="6"/>
  <c r="C69" i="6"/>
  <c r="C77" i="6"/>
  <c r="C85" i="6"/>
  <c r="C93" i="6"/>
  <c r="C101" i="6"/>
  <c r="C109" i="6"/>
  <c r="C117" i="6"/>
  <c r="C125" i="6"/>
  <c r="C133" i="6"/>
  <c r="C141" i="6"/>
  <c r="C149" i="6"/>
  <c r="C157" i="6"/>
  <c r="C165" i="6"/>
  <c r="C6" i="6"/>
  <c r="C14" i="6"/>
  <c r="C22" i="6"/>
  <c r="C30" i="6"/>
  <c r="C38" i="6"/>
  <c r="C46" i="6"/>
  <c r="C54" i="6"/>
  <c r="C62" i="6"/>
  <c r="C70" i="6"/>
  <c r="C78" i="6"/>
  <c r="C86" i="6"/>
  <c r="C94" i="6"/>
  <c r="C102" i="6"/>
  <c r="C110" i="6"/>
  <c r="C118" i="6"/>
  <c r="C126" i="6"/>
  <c r="C134" i="6"/>
  <c r="C142" i="6"/>
  <c r="C150" i="6"/>
  <c r="C158" i="6"/>
  <c r="C166" i="6"/>
  <c r="C7" i="6"/>
  <c r="C15" i="6"/>
  <c r="C23" i="6"/>
  <c r="C31" i="6"/>
  <c r="C39" i="6"/>
  <c r="C47" i="6"/>
  <c r="C55" i="6"/>
  <c r="C63" i="6"/>
  <c r="C71" i="6"/>
  <c r="C79" i="6"/>
  <c r="C87" i="6"/>
  <c r="C95" i="6"/>
  <c r="C103" i="6"/>
  <c r="C111" i="6"/>
  <c r="C119" i="6"/>
  <c r="C127" i="6"/>
  <c r="C135" i="6"/>
  <c r="C143" i="6"/>
  <c r="C151" i="6"/>
  <c r="C159" i="6"/>
  <c r="C167" i="6"/>
  <c r="C9" i="6"/>
  <c r="C17" i="6"/>
  <c r="C25" i="6"/>
  <c r="C33" i="6"/>
  <c r="C41" i="6"/>
  <c r="C49" i="6"/>
  <c r="C57" i="6"/>
  <c r="C65" i="6"/>
  <c r="C73" i="6"/>
  <c r="C81" i="6"/>
  <c r="C89" i="6"/>
  <c r="C97" i="6"/>
  <c r="C105" i="6"/>
  <c r="C113" i="6"/>
  <c r="C121" i="6"/>
  <c r="C129" i="6"/>
  <c r="C137" i="6"/>
  <c r="C145" i="6"/>
  <c r="C153" i="6"/>
  <c r="C161" i="6"/>
  <c r="E2" i="6"/>
  <c r="F2" i="6" s="1"/>
  <c r="O3" i="4"/>
  <c r="AX4" i="3"/>
  <c r="AP4" i="3"/>
  <c r="AH4" i="3"/>
  <c r="Z4" i="3"/>
  <c r="R4" i="3"/>
  <c r="J4" i="3"/>
  <c r="B4" i="3"/>
  <c r="B13" i="3" s="1"/>
  <c r="AW4" i="3"/>
  <c r="AO4" i="3"/>
  <c r="AG4" i="3"/>
  <c r="Y4" i="3"/>
  <c r="Q4" i="3"/>
  <c r="I4" i="3"/>
  <c r="AT4" i="3"/>
  <c r="AL4" i="3"/>
  <c r="AD4" i="3"/>
  <c r="V4" i="3"/>
  <c r="N4" i="3"/>
  <c r="F4" i="3"/>
  <c r="AR4" i="3"/>
  <c r="AJ4" i="3"/>
  <c r="AB4" i="3"/>
  <c r="T4" i="3"/>
  <c r="L4" i="3"/>
  <c r="D4" i="3"/>
  <c r="AQ4" i="3"/>
  <c r="AQ118" i="3" s="1"/>
  <c r="AI4" i="3"/>
  <c r="AI147" i="3" s="1"/>
  <c r="AA4" i="3"/>
  <c r="AA79" i="3" s="1"/>
  <c r="S4" i="3"/>
  <c r="S173" i="3" s="1"/>
  <c r="K4" i="3"/>
  <c r="K44" i="3" s="1"/>
  <c r="C4" i="3"/>
  <c r="C126" i="3" s="1"/>
  <c r="AV4" i="3"/>
  <c r="AC4" i="3"/>
  <c r="AC174" i="3" s="1"/>
  <c r="G4" i="3"/>
  <c r="AU4" i="3"/>
  <c r="X4" i="3"/>
  <c r="E4" i="3"/>
  <c r="E34" i="3" s="1"/>
  <c r="AS4" i="3"/>
  <c r="AS174" i="3" s="1"/>
  <c r="W4" i="3"/>
  <c r="AM4" i="3"/>
  <c r="P4" i="3"/>
  <c r="AK4" i="3"/>
  <c r="O4" i="3"/>
  <c r="AN4" i="3"/>
  <c r="AF4" i="3"/>
  <c r="AE4" i="3"/>
  <c r="U4" i="3"/>
  <c r="M4" i="3"/>
  <c r="M103" i="3" s="1"/>
  <c r="H4" i="3"/>
  <c r="C102" i="3"/>
  <c r="C70" i="3"/>
  <c r="C134" i="3"/>
  <c r="C94" i="3"/>
  <c r="S125" i="3"/>
  <c r="AA85" i="3"/>
  <c r="AI171" i="3"/>
  <c r="AI163" i="3"/>
  <c r="AI115" i="3"/>
  <c r="AI43" i="3"/>
  <c r="AI35" i="3"/>
  <c r="AI154" i="3"/>
  <c r="AI82" i="3"/>
  <c r="AI74" i="3"/>
  <c r="AI26" i="3"/>
  <c r="AI121" i="3"/>
  <c r="AI113" i="3"/>
  <c r="AI65" i="3"/>
  <c r="AI160" i="3"/>
  <c r="AI152" i="3"/>
  <c r="AI104" i="3"/>
  <c r="AI32" i="3"/>
  <c r="AI24" i="3"/>
  <c r="AI143" i="3"/>
  <c r="AI71" i="3"/>
  <c r="AI63" i="3"/>
  <c r="AI15" i="3"/>
  <c r="AI109" i="3"/>
  <c r="AI101" i="3"/>
  <c r="AI53" i="3"/>
  <c r="AQ174" i="3"/>
  <c r="AQ166" i="3"/>
  <c r="AQ158" i="3"/>
  <c r="AQ150" i="3"/>
  <c r="AQ142" i="3"/>
  <c r="AQ126" i="3"/>
  <c r="AQ110" i="3"/>
  <c r="AQ102" i="3"/>
  <c r="AQ94" i="3"/>
  <c r="AQ86" i="3"/>
  <c r="AQ78" i="3"/>
  <c r="AQ62" i="3"/>
  <c r="AQ46" i="3"/>
  <c r="AQ38" i="3"/>
  <c r="AQ30" i="3"/>
  <c r="AQ22" i="3"/>
  <c r="AQ14" i="3"/>
  <c r="AQ165" i="3"/>
  <c r="AQ149" i="3"/>
  <c r="AQ141" i="3"/>
  <c r="AQ133" i="3"/>
  <c r="AQ125" i="3"/>
  <c r="AQ117" i="3"/>
  <c r="AQ101" i="3"/>
  <c r="AQ85" i="3"/>
  <c r="AQ77" i="3"/>
  <c r="AQ69" i="3"/>
  <c r="AQ61" i="3"/>
  <c r="AQ53" i="3"/>
  <c r="AQ37" i="3"/>
  <c r="AQ21" i="3"/>
  <c r="AQ172" i="3"/>
  <c r="AQ164" i="3"/>
  <c r="AQ156" i="3"/>
  <c r="AQ148" i="3"/>
  <c r="AQ140" i="3"/>
  <c r="AQ132" i="3"/>
  <c r="AQ124" i="3"/>
  <c r="AQ116" i="3"/>
  <c r="AQ108" i="3"/>
  <c r="AQ100" i="3"/>
  <c r="AQ92" i="3"/>
  <c r="AQ84" i="3"/>
  <c r="AQ76" i="3"/>
  <c r="AQ68" i="3"/>
  <c r="AQ60" i="3"/>
  <c r="AQ52" i="3"/>
  <c r="AQ44" i="3"/>
  <c r="AQ36" i="3"/>
  <c r="AQ28" i="3"/>
  <c r="AQ20" i="3"/>
  <c r="AQ171" i="3"/>
  <c r="AQ163" i="3"/>
  <c r="AQ155" i="3"/>
  <c r="AQ147" i="3"/>
  <c r="AQ139" i="3"/>
  <c r="AQ131" i="3"/>
  <c r="AQ123" i="3"/>
  <c r="AQ115" i="3"/>
  <c r="AQ107" i="3"/>
  <c r="AQ99" i="3"/>
  <c r="AQ91" i="3"/>
  <c r="AQ83" i="3"/>
  <c r="AQ75" i="3"/>
  <c r="AQ67" i="3"/>
  <c r="AQ59" i="3"/>
  <c r="AQ51" i="3"/>
  <c r="AQ43" i="3"/>
  <c r="AQ35" i="3"/>
  <c r="AQ27" i="3"/>
  <c r="AQ19" i="3"/>
  <c r="AQ178" i="3"/>
  <c r="AQ170" i="3"/>
  <c r="AQ162" i="3"/>
  <c r="AQ154" i="3"/>
  <c r="AQ146" i="3"/>
  <c r="AQ138" i="3"/>
  <c r="AQ130" i="3"/>
  <c r="AQ122" i="3"/>
  <c r="AQ114" i="3"/>
  <c r="AQ106" i="3"/>
  <c r="AQ98" i="3"/>
  <c r="AQ90" i="3"/>
  <c r="AQ82" i="3"/>
  <c r="AQ74" i="3"/>
  <c r="AQ66" i="3"/>
  <c r="AQ58" i="3"/>
  <c r="AQ50" i="3"/>
  <c r="AQ42" i="3"/>
  <c r="AQ34" i="3"/>
  <c r="AQ26" i="3"/>
  <c r="AQ18" i="3"/>
  <c r="AQ176" i="3"/>
  <c r="AQ168" i="3"/>
  <c r="AQ160" i="3"/>
  <c r="AQ152" i="3"/>
  <c r="AQ144" i="3"/>
  <c r="AQ136" i="3"/>
  <c r="AQ128" i="3"/>
  <c r="AQ120" i="3"/>
  <c r="AQ112" i="3"/>
  <c r="AQ104" i="3"/>
  <c r="AQ96" i="3"/>
  <c r="AQ88" i="3"/>
  <c r="AQ80" i="3"/>
  <c r="AQ72" i="3"/>
  <c r="AQ64" i="3"/>
  <c r="AQ56" i="3"/>
  <c r="AQ48" i="3"/>
  <c r="AQ40" i="3"/>
  <c r="AQ32" i="3"/>
  <c r="AQ24" i="3"/>
  <c r="AQ16" i="3"/>
  <c r="M159" i="3"/>
  <c r="U31" i="3"/>
  <c r="U127" i="3"/>
  <c r="AI92" i="3"/>
  <c r="AI124" i="3"/>
  <c r="AQ31" i="3"/>
  <c r="AQ63" i="3"/>
  <c r="AQ95" i="3"/>
  <c r="AQ127" i="3"/>
  <c r="AQ159" i="3"/>
  <c r="C18" i="3"/>
  <c r="C52" i="3"/>
  <c r="C117" i="3"/>
  <c r="C61" i="3"/>
  <c r="U143" i="3"/>
  <c r="AA142" i="3"/>
  <c r="AI132" i="3"/>
  <c r="AQ39" i="3"/>
  <c r="AQ71" i="3"/>
  <c r="AQ103" i="3"/>
  <c r="AQ135" i="3"/>
  <c r="AQ167" i="3"/>
  <c r="C26" i="3"/>
  <c r="C140" i="3"/>
  <c r="C24" i="3"/>
  <c r="E23" i="3"/>
  <c r="U71" i="3"/>
  <c r="AA60" i="3"/>
  <c r="AQ41" i="3"/>
  <c r="AQ73" i="3"/>
  <c r="AQ105" i="3"/>
  <c r="AQ137" i="3"/>
  <c r="AQ169" i="3"/>
  <c r="C32" i="3"/>
  <c r="C77" i="3"/>
  <c r="C156" i="3"/>
  <c r="U119" i="3"/>
  <c r="U55" i="3"/>
  <c r="U176" i="3"/>
  <c r="U103" i="3"/>
  <c r="U39" i="3"/>
  <c r="S124" i="3"/>
  <c r="S134" i="3"/>
  <c r="U79" i="3"/>
  <c r="U164" i="3"/>
  <c r="AA100" i="3"/>
  <c r="AI76" i="3"/>
  <c r="AQ15" i="3"/>
  <c r="AQ47" i="3"/>
  <c r="AQ79" i="3"/>
  <c r="AQ111" i="3"/>
  <c r="AQ143" i="3"/>
  <c r="AQ175" i="3"/>
  <c r="C34" i="3"/>
  <c r="C83" i="3"/>
  <c r="C158" i="3"/>
  <c r="C133" i="3"/>
  <c r="AK126" i="3"/>
  <c r="AK118" i="3"/>
  <c r="AK54" i="3"/>
  <c r="U87" i="3"/>
  <c r="AI14" i="3"/>
  <c r="AQ17" i="3"/>
  <c r="AQ49" i="3"/>
  <c r="AQ81" i="3"/>
  <c r="AQ113" i="3"/>
  <c r="AQ145" i="3"/>
  <c r="AQ177" i="3"/>
  <c r="C40" i="3"/>
  <c r="C93" i="3"/>
  <c r="E87" i="3"/>
  <c r="S101" i="3"/>
  <c r="S145" i="3"/>
  <c r="U15" i="3"/>
  <c r="U95" i="3"/>
  <c r="AA65" i="3"/>
  <c r="AQ23" i="3"/>
  <c r="AQ55" i="3"/>
  <c r="AQ87" i="3"/>
  <c r="AQ119" i="3"/>
  <c r="AQ151" i="3"/>
  <c r="C42" i="3"/>
  <c r="C99" i="3"/>
  <c r="M61" i="3"/>
  <c r="M125" i="3"/>
  <c r="U21" i="3"/>
  <c r="U29" i="3"/>
  <c r="U37" i="3"/>
  <c r="U45" i="3"/>
  <c r="U53" i="3"/>
  <c r="U61" i="3"/>
  <c r="U69" i="3"/>
  <c r="U77" i="3"/>
  <c r="U85" i="3"/>
  <c r="U93" i="3"/>
  <c r="U101" i="3"/>
  <c r="U109" i="3"/>
  <c r="U117" i="3"/>
  <c r="U125" i="3"/>
  <c r="U133" i="3"/>
  <c r="U141" i="3"/>
  <c r="U150" i="3"/>
  <c r="U160" i="3"/>
  <c r="U175" i="3"/>
  <c r="AK38" i="3"/>
  <c r="AK102" i="3"/>
  <c r="AK166" i="3"/>
  <c r="M142" i="3"/>
  <c r="U14" i="3"/>
  <c r="U22" i="3"/>
  <c r="U30" i="3"/>
  <c r="U38" i="3"/>
  <c r="U46" i="3"/>
  <c r="U54" i="3"/>
  <c r="U62" i="3"/>
  <c r="U70" i="3"/>
  <c r="U78" i="3"/>
  <c r="U86" i="3"/>
  <c r="U94" i="3"/>
  <c r="U102" i="3"/>
  <c r="U110" i="3"/>
  <c r="U118" i="3"/>
  <c r="U126" i="3"/>
  <c r="U134" i="3"/>
  <c r="U142" i="3"/>
  <c r="U151" i="3"/>
  <c r="U163" i="3"/>
  <c r="AC46" i="3"/>
  <c r="AK46" i="3"/>
  <c r="AK110" i="3"/>
  <c r="AK174" i="3"/>
  <c r="U178" i="3"/>
  <c r="U170" i="3"/>
  <c r="U162" i="3"/>
  <c r="U154" i="3"/>
  <c r="U146" i="3"/>
  <c r="U177" i="3"/>
  <c r="U169" i="3"/>
  <c r="U161" i="3"/>
  <c r="U173" i="3"/>
  <c r="U165" i="3"/>
  <c r="U157" i="3"/>
  <c r="U172" i="3"/>
  <c r="AC123" i="3"/>
  <c r="AC98" i="3"/>
  <c r="AC137" i="3"/>
  <c r="AC176" i="3"/>
  <c r="AC112" i="3"/>
  <c r="AC87" i="3"/>
  <c r="AC125" i="3"/>
  <c r="AC156" i="3"/>
  <c r="AC92" i="3"/>
  <c r="M16" i="3"/>
  <c r="M144" i="3"/>
  <c r="U16" i="3"/>
  <c r="U24" i="3"/>
  <c r="U32" i="3"/>
  <c r="U40" i="3"/>
  <c r="U48" i="3"/>
  <c r="U56" i="3"/>
  <c r="U64" i="3"/>
  <c r="U72" i="3"/>
  <c r="U80" i="3"/>
  <c r="U88" i="3"/>
  <c r="U96" i="3"/>
  <c r="U104" i="3"/>
  <c r="U112" i="3"/>
  <c r="U120" i="3"/>
  <c r="U128" i="3"/>
  <c r="U136" i="3"/>
  <c r="U144" i="3"/>
  <c r="U153" i="3"/>
  <c r="U166" i="3"/>
  <c r="AK62" i="3"/>
  <c r="AK171" i="3"/>
  <c r="AK163" i="3"/>
  <c r="AK155" i="3"/>
  <c r="AK147" i="3"/>
  <c r="AK139" i="3"/>
  <c r="AK131" i="3"/>
  <c r="AK123" i="3"/>
  <c r="AK115" i="3"/>
  <c r="AK107" i="3"/>
  <c r="AK99" i="3"/>
  <c r="AK91" i="3"/>
  <c r="AK83" i="3"/>
  <c r="AK75" i="3"/>
  <c r="AK67" i="3"/>
  <c r="AK59" i="3"/>
  <c r="AK51" i="3"/>
  <c r="AK43" i="3"/>
  <c r="AK35" i="3"/>
  <c r="AK27" i="3"/>
  <c r="AK19" i="3"/>
  <c r="AK178" i="3"/>
  <c r="AK170" i="3"/>
  <c r="AK162" i="3"/>
  <c r="AK154" i="3"/>
  <c r="AK146" i="3"/>
  <c r="AK138" i="3"/>
  <c r="AK130" i="3"/>
  <c r="AK122" i="3"/>
  <c r="AK114" i="3"/>
  <c r="AK106" i="3"/>
  <c r="AK98" i="3"/>
  <c r="AK90" i="3"/>
  <c r="AK82" i="3"/>
  <c r="AK74" i="3"/>
  <c r="AK66" i="3"/>
  <c r="AK58" i="3"/>
  <c r="AK50" i="3"/>
  <c r="AK42" i="3"/>
  <c r="AK34" i="3"/>
  <c r="AK26" i="3"/>
  <c r="AK18" i="3"/>
  <c r="AK177" i="3"/>
  <c r="AK169" i="3"/>
  <c r="AK161" i="3"/>
  <c r="AK153" i="3"/>
  <c r="AK145" i="3"/>
  <c r="AK137" i="3"/>
  <c r="AK129" i="3"/>
  <c r="AK121" i="3"/>
  <c r="AK113" i="3"/>
  <c r="AK105" i="3"/>
  <c r="AK97" i="3"/>
  <c r="AK89" i="3"/>
  <c r="AK81" i="3"/>
  <c r="AK73" i="3"/>
  <c r="AK65" i="3"/>
  <c r="AK57" i="3"/>
  <c r="AK49" i="3"/>
  <c r="AK41" i="3"/>
  <c r="AK33" i="3"/>
  <c r="AK25" i="3"/>
  <c r="AK17" i="3"/>
  <c r="AK176" i="3"/>
  <c r="AK168" i="3"/>
  <c r="AK160" i="3"/>
  <c r="AK152" i="3"/>
  <c r="AK144" i="3"/>
  <c r="AK136" i="3"/>
  <c r="AK128" i="3"/>
  <c r="AK120" i="3"/>
  <c r="AK112" i="3"/>
  <c r="AK104" i="3"/>
  <c r="AK96" i="3"/>
  <c r="AK88" i="3"/>
  <c r="AK80" i="3"/>
  <c r="AK72" i="3"/>
  <c r="AK64" i="3"/>
  <c r="AK56" i="3"/>
  <c r="AK48" i="3"/>
  <c r="AK40" i="3"/>
  <c r="AK32" i="3"/>
  <c r="AK24" i="3"/>
  <c r="AK16" i="3"/>
  <c r="AK175" i="3"/>
  <c r="AK167" i="3"/>
  <c r="AK159" i="3"/>
  <c r="AK151" i="3"/>
  <c r="AK143" i="3"/>
  <c r="AK135" i="3"/>
  <c r="AK127" i="3"/>
  <c r="AK119" i="3"/>
  <c r="AK111" i="3"/>
  <c r="AK103" i="3"/>
  <c r="AK95" i="3"/>
  <c r="AK87" i="3"/>
  <c r="AK79" i="3"/>
  <c r="AK71" i="3"/>
  <c r="AK63" i="3"/>
  <c r="AK55" i="3"/>
  <c r="AK47" i="3"/>
  <c r="AK39" i="3"/>
  <c r="AK31" i="3"/>
  <c r="AK23" i="3"/>
  <c r="AK15" i="3"/>
  <c r="AK173" i="3"/>
  <c r="AK165" i="3"/>
  <c r="AK157" i="3"/>
  <c r="AK149" i="3"/>
  <c r="AK141" i="3"/>
  <c r="AK133" i="3"/>
  <c r="AK125" i="3"/>
  <c r="AK117" i="3"/>
  <c r="AK109" i="3"/>
  <c r="AK101" i="3"/>
  <c r="AK93" i="3"/>
  <c r="AK85" i="3"/>
  <c r="AK77" i="3"/>
  <c r="AK69" i="3"/>
  <c r="AK61" i="3"/>
  <c r="AK53" i="3"/>
  <c r="AK45" i="3"/>
  <c r="AK37" i="3"/>
  <c r="AK29" i="3"/>
  <c r="AK21" i="3"/>
  <c r="AK172" i="3"/>
  <c r="AK164" i="3"/>
  <c r="AK156" i="3"/>
  <c r="AK148" i="3"/>
  <c r="AK140" i="3"/>
  <c r="AK132" i="3"/>
  <c r="AK124" i="3"/>
  <c r="AK116" i="3"/>
  <c r="AK108" i="3"/>
  <c r="AK100" i="3"/>
  <c r="AK92" i="3"/>
  <c r="AK84" i="3"/>
  <c r="AK76" i="3"/>
  <c r="AK68" i="3"/>
  <c r="AK60" i="3"/>
  <c r="AK52" i="3"/>
  <c r="AK44" i="3"/>
  <c r="AK36" i="3"/>
  <c r="AK28" i="3"/>
  <c r="AK20" i="3"/>
  <c r="U13" i="3"/>
  <c r="AK13" i="3"/>
  <c r="E97" i="3"/>
  <c r="E105" i="3"/>
  <c r="M17" i="3"/>
  <c r="M81" i="3"/>
  <c r="M145" i="3"/>
  <c r="U17" i="3"/>
  <c r="U25" i="3"/>
  <c r="U33" i="3"/>
  <c r="U41" i="3"/>
  <c r="U49" i="3"/>
  <c r="U57" i="3"/>
  <c r="U65" i="3"/>
  <c r="U73" i="3"/>
  <c r="U81" i="3"/>
  <c r="U89" i="3"/>
  <c r="U97" i="3"/>
  <c r="U105" i="3"/>
  <c r="U113" i="3"/>
  <c r="U121" i="3"/>
  <c r="U129" i="3"/>
  <c r="U137" i="3"/>
  <c r="U145" i="3"/>
  <c r="U155" i="3"/>
  <c r="U167" i="3"/>
  <c r="AC70" i="3"/>
  <c r="AK70" i="3"/>
  <c r="AK134" i="3"/>
  <c r="U26" i="3"/>
  <c r="U42" i="3"/>
  <c r="U58" i="3"/>
  <c r="U74" i="3"/>
  <c r="U90" i="3"/>
  <c r="U114" i="3"/>
  <c r="U156" i="3"/>
  <c r="AK14" i="3"/>
  <c r="AK78" i="3"/>
  <c r="AK142" i="3"/>
  <c r="U18" i="3"/>
  <c r="U34" i="3"/>
  <c r="U50" i="3"/>
  <c r="U66" i="3"/>
  <c r="U82" i="3"/>
  <c r="U98" i="3"/>
  <c r="U106" i="3"/>
  <c r="U122" i="3"/>
  <c r="U130" i="3"/>
  <c r="U138" i="3"/>
  <c r="U147" i="3"/>
  <c r="U168" i="3"/>
  <c r="E123" i="3"/>
  <c r="E131" i="3"/>
  <c r="M35" i="3"/>
  <c r="M99" i="3"/>
  <c r="M163" i="3"/>
  <c r="U19" i="3"/>
  <c r="U27" i="3"/>
  <c r="U35" i="3"/>
  <c r="U43" i="3"/>
  <c r="U51" i="3"/>
  <c r="U59" i="3"/>
  <c r="U67" i="3"/>
  <c r="U75" i="3"/>
  <c r="U83" i="3"/>
  <c r="U91" i="3"/>
  <c r="U99" i="3"/>
  <c r="U107" i="3"/>
  <c r="U115" i="3"/>
  <c r="U123" i="3"/>
  <c r="U131" i="3"/>
  <c r="U139" i="3"/>
  <c r="U148" i="3"/>
  <c r="U158" i="3"/>
  <c r="U171" i="3"/>
  <c r="AK22" i="3"/>
  <c r="AK86" i="3"/>
  <c r="AK150" i="3"/>
  <c r="M44" i="3"/>
  <c r="M108" i="3"/>
  <c r="U20" i="3"/>
  <c r="U28" i="3"/>
  <c r="U36" i="3"/>
  <c r="U44" i="3"/>
  <c r="U52" i="3"/>
  <c r="U60" i="3"/>
  <c r="U68" i="3"/>
  <c r="U76" i="3"/>
  <c r="U84" i="3"/>
  <c r="U92" i="3"/>
  <c r="U100" i="3"/>
  <c r="U108" i="3"/>
  <c r="U116" i="3"/>
  <c r="U124" i="3"/>
  <c r="U132" i="3"/>
  <c r="U140" i="3"/>
  <c r="U149" i="3"/>
  <c r="U159" i="3"/>
  <c r="U174" i="3"/>
  <c r="AK30" i="3"/>
  <c r="AK94" i="3"/>
  <c r="AK158" i="3"/>
  <c r="C173" i="3"/>
  <c r="C63" i="3"/>
  <c r="C71" i="3"/>
  <c r="C79" i="3"/>
  <c r="C87" i="3"/>
  <c r="C95" i="3"/>
  <c r="C103" i="3"/>
  <c r="C111" i="3"/>
  <c r="C119" i="3"/>
  <c r="C127" i="3"/>
  <c r="C135" i="3"/>
  <c r="C143" i="3"/>
  <c r="C151" i="3"/>
  <c r="C159" i="3"/>
  <c r="C167" i="3"/>
  <c r="C175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C49" i="3"/>
  <c r="C57" i="3"/>
  <c r="C65" i="3"/>
  <c r="C73" i="3"/>
  <c r="C81" i="3"/>
  <c r="C89" i="3"/>
  <c r="C97" i="3"/>
  <c r="C105" i="3"/>
  <c r="C113" i="3"/>
  <c r="C121" i="3"/>
  <c r="C129" i="3"/>
  <c r="C137" i="3"/>
  <c r="C145" i="3"/>
  <c r="C153" i="3"/>
  <c r="C161" i="3"/>
  <c r="C169" i="3"/>
  <c r="C177" i="3"/>
  <c r="C50" i="3"/>
  <c r="C58" i="3"/>
  <c r="C66" i="3"/>
  <c r="C74" i="3"/>
  <c r="C82" i="3"/>
  <c r="C90" i="3"/>
  <c r="C98" i="3"/>
  <c r="C106" i="3"/>
  <c r="C114" i="3"/>
  <c r="C122" i="3"/>
  <c r="C130" i="3"/>
  <c r="C138" i="3"/>
  <c r="C146" i="3"/>
  <c r="C154" i="3"/>
  <c r="C162" i="3"/>
  <c r="C170" i="3"/>
  <c r="C178" i="3"/>
  <c r="C107" i="3"/>
  <c r="C115" i="3"/>
  <c r="C123" i="3"/>
  <c r="C131" i="3"/>
  <c r="C139" i="3"/>
  <c r="C147" i="3"/>
  <c r="C155" i="3"/>
  <c r="C163" i="3"/>
  <c r="B173" i="3"/>
  <c r="B174" i="3"/>
  <c r="P2" i="1"/>
  <c r="O2" i="1"/>
  <c r="J93" i="1"/>
  <c r="J109" i="1"/>
  <c r="J165" i="1"/>
  <c r="J45" i="1"/>
  <c r="I41" i="1"/>
  <c r="I57" i="1"/>
  <c r="I73" i="1"/>
  <c r="I89" i="1"/>
  <c r="I105" i="1"/>
  <c r="I121" i="1"/>
  <c r="I145" i="1"/>
  <c r="I153" i="1"/>
  <c r="I49" i="1"/>
  <c r="I65" i="1"/>
  <c r="I81" i="1"/>
  <c r="I97" i="1"/>
  <c r="I113" i="1"/>
  <c r="I137" i="1"/>
  <c r="I161" i="1"/>
  <c r="J61" i="1"/>
  <c r="I99" i="1"/>
  <c r="I147" i="1"/>
  <c r="J35" i="1"/>
  <c r="J43" i="1"/>
  <c r="J51" i="1"/>
  <c r="J59" i="1"/>
  <c r="J67" i="1"/>
  <c r="J75" i="1"/>
  <c r="J83" i="1"/>
  <c r="J91" i="1"/>
  <c r="J99" i="1"/>
  <c r="J107" i="1"/>
  <c r="J115" i="1"/>
  <c r="J123" i="1"/>
  <c r="J131" i="1"/>
  <c r="J139" i="1"/>
  <c r="J147" i="1"/>
  <c r="J155" i="1"/>
  <c r="J163" i="1"/>
  <c r="I155" i="1"/>
  <c r="J13" i="1"/>
  <c r="J53" i="1"/>
  <c r="J117" i="1"/>
  <c r="I19" i="1"/>
  <c r="J44" i="1"/>
  <c r="J60" i="1"/>
  <c r="J84" i="1"/>
  <c r="J92" i="1"/>
  <c r="J108" i="1"/>
  <c r="J116" i="1"/>
  <c r="J132" i="1"/>
  <c r="J140" i="1"/>
  <c r="J148" i="1"/>
  <c r="J156" i="1"/>
  <c r="J164" i="1"/>
  <c r="I59" i="1"/>
  <c r="I163" i="1"/>
  <c r="I43" i="1"/>
  <c r="J125" i="1"/>
  <c r="I139" i="1"/>
  <c r="I11" i="1"/>
  <c r="J52" i="1"/>
  <c r="J68" i="1"/>
  <c r="J76" i="1"/>
  <c r="J100" i="1"/>
  <c r="J124" i="1"/>
  <c r="I67" i="1"/>
  <c r="I165" i="1"/>
  <c r="I35" i="1"/>
  <c r="I83" i="1"/>
  <c r="I107" i="1"/>
  <c r="J36" i="1"/>
  <c r="I38" i="1"/>
  <c r="I46" i="1"/>
  <c r="I54" i="1"/>
  <c r="I62" i="1"/>
  <c r="I70" i="1"/>
  <c r="I78" i="1"/>
  <c r="I86" i="1"/>
  <c r="I94" i="1"/>
  <c r="I102" i="1"/>
  <c r="I110" i="1"/>
  <c r="I118" i="1"/>
  <c r="I126" i="1"/>
  <c r="I134" i="1"/>
  <c r="I142" i="1"/>
  <c r="I150" i="1"/>
  <c r="I158" i="1"/>
  <c r="I166" i="1"/>
  <c r="I75" i="1"/>
  <c r="I27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143" i="1"/>
  <c r="I151" i="1"/>
  <c r="I159" i="1"/>
  <c r="I91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23" i="1"/>
  <c r="I129" i="1"/>
  <c r="I131" i="1"/>
  <c r="I2" i="1"/>
  <c r="M3" i="1"/>
  <c r="J2" i="1"/>
  <c r="N3" i="1"/>
  <c r="I26" i="1"/>
  <c r="J23" i="1"/>
  <c r="J26" i="1"/>
  <c r="I21" i="1"/>
  <c r="J19" i="1"/>
  <c r="J29" i="1"/>
  <c r="I6" i="1"/>
  <c r="I14" i="1"/>
  <c r="I22" i="1"/>
  <c r="I30" i="1"/>
  <c r="J37" i="1"/>
  <c r="J101" i="1"/>
  <c r="I10" i="1"/>
  <c r="J7" i="1"/>
  <c r="I5" i="1"/>
  <c r="J10" i="1"/>
  <c r="J11" i="1"/>
  <c r="J27" i="1"/>
  <c r="J12" i="1"/>
  <c r="I12" i="1"/>
  <c r="J28" i="1"/>
  <c r="I8" i="1"/>
  <c r="I16" i="1"/>
  <c r="I24" i="1"/>
  <c r="I32" i="1"/>
  <c r="J4" i="1"/>
  <c r="I4" i="1"/>
  <c r="J20" i="1"/>
  <c r="I20" i="1"/>
  <c r="I7" i="1"/>
  <c r="I15" i="1"/>
  <c r="I23" i="1"/>
  <c r="I31" i="1"/>
  <c r="I9" i="1"/>
  <c r="I17" i="1"/>
  <c r="I25" i="1"/>
  <c r="I33" i="1"/>
  <c r="I34" i="1"/>
  <c r="I29" i="1"/>
  <c r="J34" i="1"/>
  <c r="J31" i="1"/>
  <c r="I42" i="1"/>
  <c r="J39" i="1"/>
  <c r="J42" i="1"/>
  <c r="I37" i="1"/>
  <c r="I50" i="1"/>
  <c r="I45" i="1"/>
  <c r="J50" i="1"/>
  <c r="J47" i="1"/>
  <c r="I58" i="1"/>
  <c r="J58" i="1"/>
  <c r="I53" i="1"/>
  <c r="J55" i="1"/>
  <c r="I66" i="1"/>
  <c r="J63" i="1"/>
  <c r="J66" i="1"/>
  <c r="I61" i="1"/>
  <c r="I74" i="1"/>
  <c r="J74" i="1"/>
  <c r="J71" i="1"/>
  <c r="I69" i="1"/>
  <c r="I82" i="1"/>
  <c r="I77" i="1"/>
  <c r="J82" i="1"/>
  <c r="J79" i="1"/>
  <c r="I90" i="1"/>
  <c r="J87" i="1"/>
  <c r="I85" i="1"/>
  <c r="J90" i="1"/>
  <c r="I98" i="1"/>
  <c r="J95" i="1"/>
  <c r="J98" i="1"/>
  <c r="I93" i="1"/>
  <c r="I106" i="1"/>
  <c r="J106" i="1"/>
  <c r="J103" i="1"/>
  <c r="I101" i="1"/>
  <c r="I114" i="1"/>
  <c r="J114" i="1"/>
  <c r="J111" i="1"/>
  <c r="I109" i="1"/>
  <c r="I122" i="1"/>
  <c r="I117" i="1"/>
  <c r="J122" i="1"/>
  <c r="J119" i="1"/>
  <c r="I130" i="1"/>
  <c r="I125" i="1"/>
  <c r="J127" i="1"/>
  <c r="J130" i="1"/>
  <c r="I138" i="1"/>
  <c r="J138" i="1"/>
  <c r="J135" i="1"/>
  <c r="I133" i="1"/>
  <c r="I146" i="1"/>
  <c r="J146" i="1"/>
  <c r="J143" i="1"/>
  <c r="I141" i="1"/>
  <c r="I154" i="1"/>
  <c r="I149" i="1"/>
  <c r="J154" i="1"/>
  <c r="J151" i="1"/>
  <c r="J149" i="1"/>
  <c r="I162" i="1"/>
  <c r="J159" i="1"/>
  <c r="J162" i="1"/>
  <c r="I157" i="1"/>
  <c r="J157" i="1"/>
  <c r="I51" i="1"/>
  <c r="I115" i="1"/>
  <c r="J5" i="1"/>
  <c r="J69" i="1"/>
  <c r="J133" i="1"/>
  <c r="J3" i="1"/>
  <c r="J77" i="1"/>
  <c r="J141" i="1"/>
  <c r="I18" i="1"/>
  <c r="J18" i="1"/>
  <c r="I13" i="1"/>
  <c r="J15" i="1"/>
  <c r="I3" i="1"/>
  <c r="J21" i="1"/>
  <c r="J85" i="1"/>
  <c r="I28" i="1"/>
  <c r="I36" i="1"/>
  <c r="I44" i="1"/>
  <c r="I52" i="1"/>
  <c r="I60" i="1"/>
  <c r="I68" i="1"/>
  <c r="I76" i="1"/>
  <c r="I84" i="1"/>
  <c r="I92" i="1"/>
  <c r="I100" i="1"/>
  <c r="I108" i="1"/>
  <c r="I116" i="1"/>
  <c r="I124" i="1"/>
  <c r="I132" i="1"/>
  <c r="I140" i="1"/>
  <c r="I148" i="1"/>
  <c r="I156" i="1"/>
  <c r="I164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7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D177" i="10" l="1"/>
  <c r="D169" i="10"/>
  <c r="D174" i="10"/>
  <c r="D171" i="10"/>
  <c r="D173" i="10"/>
  <c r="D164" i="10"/>
  <c r="D166" i="10"/>
  <c r="D167" i="10"/>
  <c r="D176" i="10"/>
  <c r="D165" i="10"/>
  <c r="D168" i="10"/>
  <c r="D158" i="10"/>
  <c r="D172" i="10"/>
  <c r="D160" i="10"/>
  <c r="D178" i="10"/>
  <c r="D148" i="10"/>
  <c r="D163" i="10"/>
  <c r="D162" i="10"/>
  <c r="D156" i="10"/>
  <c r="D153" i="10"/>
  <c r="D170" i="10"/>
  <c r="D154" i="10"/>
  <c r="D175" i="10"/>
  <c r="D142" i="10"/>
  <c r="D161" i="10"/>
  <c r="D145" i="10"/>
  <c r="D159" i="10"/>
  <c r="D157" i="10"/>
  <c r="D152" i="10"/>
  <c r="D150" i="10"/>
  <c r="D149" i="10"/>
  <c r="D141" i="10"/>
  <c r="D143" i="10"/>
  <c r="D146" i="10"/>
  <c r="D138" i="10"/>
  <c r="D135" i="10"/>
  <c r="D127" i="10"/>
  <c r="D132" i="10"/>
  <c r="D151" i="10"/>
  <c r="D139" i="10"/>
  <c r="D134" i="10"/>
  <c r="D126" i="10"/>
  <c r="D140" i="10"/>
  <c r="D131" i="10"/>
  <c r="D129" i="10"/>
  <c r="D128" i="10"/>
  <c r="D122" i="10"/>
  <c r="D115" i="10"/>
  <c r="D136" i="10"/>
  <c r="D133" i="10"/>
  <c r="D130" i="10"/>
  <c r="D120" i="10"/>
  <c r="D155" i="10"/>
  <c r="D137" i="10"/>
  <c r="D125" i="10"/>
  <c r="D123" i="10"/>
  <c r="D114" i="10"/>
  <c r="D121" i="10"/>
  <c r="D118" i="10"/>
  <c r="D147" i="10"/>
  <c r="D144" i="10"/>
  <c r="D113" i="10"/>
  <c r="D112" i="10"/>
  <c r="D104" i="10"/>
  <c r="D109" i="10"/>
  <c r="D101" i="10"/>
  <c r="D106" i="10"/>
  <c r="D111" i="10"/>
  <c r="D108" i="10"/>
  <c r="D105" i="10"/>
  <c r="D102" i="10"/>
  <c r="D124" i="10"/>
  <c r="D93" i="10"/>
  <c r="D85" i="10"/>
  <c r="D98" i="10"/>
  <c r="D90" i="10"/>
  <c r="D116" i="10"/>
  <c r="D100" i="10"/>
  <c r="D92" i="10"/>
  <c r="D84" i="10"/>
  <c r="D103" i="10"/>
  <c r="D89" i="10"/>
  <c r="D87" i="10"/>
  <c r="D76" i="10"/>
  <c r="D119" i="10"/>
  <c r="D107" i="10"/>
  <c r="D97" i="10"/>
  <c r="D95" i="10"/>
  <c r="D94" i="10"/>
  <c r="D91" i="10"/>
  <c r="D88" i="10"/>
  <c r="D81" i="10"/>
  <c r="D117" i="10"/>
  <c r="D99" i="10"/>
  <c r="D96" i="10"/>
  <c r="D78" i="10"/>
  <c r="D74" i="10"/>
  <c r="D66" i="10"/>
  <c r="D83" i="10"/>
  <c r="D80" i="10"/>
  <c r="D71" i="10"/>
  <c r="D63" i="10"/>
  <c r="D110" i="10"/>
  <c r="D82" i="10"/>
  <c r="D68" i="10"/>
  <c r="D73" i="10"/>
  <c r="D70" i="10"/>
  <c r="D67" i="10"/>
  <c r="D64" i="10"/>
  <c r="D60" i="10"/>
  <c r="D52" i="10"/>
  <c r="D75" i="10"/>
  <c r="D72" i="10"/>
  <c r="D69" i="10"/>
  <c r="D61" i="10"/>
  <c r="D59" i="10"/>
  <c r="D51" i="10"/>
  <c r="D43" i="10"/>
  <c r="D35" i="10"/>
  <c r="D56" i="10"/>
  <c r="D48" i="10"/>
  <c r="D40" i="10"/>
  <c r="D32" i="10"/>
  <c r="D86" i="10"/>
  <c r="D77" i="10"/>
  <c r="D53" i="10"/>
  <c r="D58" i="10"/>
  <c r="D50" i="10"/>
  <c r="D42" i="10"/>
  <c r="D34" i="10"/>
  <c r="D49" i="10"/>
  <c r="D46" i="10"/>
  <c r="D29" i="10"/>
  <c r="D79" i="10"/>
  <c r="D62" i="10"/>
  <c r="D55" i="10"/>
  <c r="D23" i="10"/>
  <c r="D57" i="10"/>
  <c r="D25" i="10"/>
  <c r="D17" i="10"/>
  <c r="D31" i="10"/>
  <c r="D22" i="10"/>
  <c r="D14" i="10"/>
  <c r="D65" i="10"/>
  <c r="D54" i="10"/>
  <c r="D39" i="10"/>
  <c r="D37" i="10"/>
  <c r="D36" i="10"/>
  <c r="D33" i="10"/>
  <c r="D30" i="10"/>
  <c r="D27" i="10"/>
  <c r="D19" i="10"/>
  <c r="D28" i="10"/>
  <c r="D47" i="10"/>
  <c r="D45" i="10"/>
  <c r="D41" i="10"/>
  <c r="D26" i="10"/>
  <c r="D16" i="10"/>
  <c r="D13" i="10"/>
  <c r="D24" i="10"/>
  <c r="D21" i="10"/>
  <c r="D18" i="10"/>
  <c r="D15" i="10"/>
  <c r="D44" i="10"/>
  <c r="D38" i="10"/>
  <c r="D20" i="10"/>
  <c r="J175" i="10"/>
  <c r="J167" i="10"/>
  <c r="J172" i="10"/>
  <c r="J177" i="10"/>
  <c r="J169" i="10"/>
  <c r="J171" i="10"/>
  <c r="J162" i="10"/>
  <c r="J164" i="10"/>
  <c r="J176" i="10"/>
  <c r="J178" i="10"/>
  <c r="J174" i="10"/>
  <c r="J163" i="10"/>
  <c r="J156" i="10"/>
  <c r="J166" i="10"/>
  <c r="J161" i="10"/>
  <c r="J159" i="10"/>
  <c r="J158" i="10"/>
  <c r="J170" i="10"/>
  <c r="J146" i="10"/>
  <c r="J151" i="10"/>
  <c r="J160" i="10"/>
  <c r="J153" i="10"/>
  <c r="J155" i="10"/>
  <c r="J152" i="10"/>
  <c r="J149" i="10"/>
  <c r="J140" i="10"/>
  <c r="J165" i="10"/>
  <c r="J148" i="10"/>
  <c r="J144" i="10"/>
  <c r="J142" i="10"/>
  <c r="J145" i="10"/>
  <c r="J141" i="10"/>
  <c r="J133" i="10"/>
  <c r="J125" i="10"/>
  <c r="J150" i="10"/>
  <c r="J143" i="10"/>
  <c r="J130" i="10"/>
  <c r="J168" i="10"/>
  <c r="J154" i="10"/>
  <c r="J138" i="10"/>
  <c r="J132" i="10"/>
  <c r="J139" i="10"/>
  <c r="J137" i="10"/>
  <c r="J121" i="10"/>
  <c r="J113" i="10"/>
  <c r="J173" i="10"/>
  <c r="J124" i="10"/>
  <c r="J118" i="10"/>
  <c r="J157" i="10"/>
  <c r="J147" i="10"/>
  <c r="J120" i="10"/>
  <c r="J128" i="10"/>
  <c r="J131" i="10"/>
  <c r="J123" i="10"/>
  <c r="J119" i="10"/>
  <c r="J116" i="10"/>
  <c r="J110" i="10"/>
  <c r="J102" i="10"/>
  <c r="J107" i="10"/>
  <c r="J135" i="10"/>
  <c r="J134" i="10"/>
  <c r="J112" i="10"/>
  <c r="J104" i="10"/>
  <c r="J127" i="10"/>
  <c r="J100" i="10"/>
  <c r="J101" i="10"/>
  <c r="J99" i="10"/>
  <c r="J91" i="10"/>
  <c r="J109" i="10"/>
  <c r="J106" i="10"/>
  <c r="J103" i="10"/>
  <c r="J96" i="10"/>
  <c r="J88" i="10"/>
  <c r="J114" i="10"/>
  <c r="J111" i="10"/>
  <c r="J108" i="10"/>
  <c r="J105" i="10"/>
  <c r="J122" i="10"/>
  <c r="J98" i="10"/>
  <c r="J90" i="10"/>
  <c r="J129" i="10"/>
  <c r="J126" i="10"/>
  <c r="J87" i="10"/>
  <c r="J97" i="10"/>
  <c r="J94" i="10"/>
  <c r="J86" i="10"/>
  <c r="J82" i="10"/>
  <c r="J117" i="10"/>
  <c r="J115" i="10"/>
  <c r="J76" i="10"/>
  <c r="J78" i="10"/>
  <c r="J72" i="10"/>
  <c r="J64" i="10"/>
  <c r="J69" i="10"/>
  <c r="J61" i="10"/>
  <c r="J79" i="10"/>
  <c r="J74" i="10"/>
  <c r="J66" i="10"/>
  <c r="J136" i="10"/>
  <c r="J89" i="10"/>
  <c r="J84" i="10"/>
  <c r="J81" i="10"/>
  <c r="J58" i="10"/>
  <c r="J83" i="10"/>
  <c r="J93" i="10"/>
  <c r="J85" i="10"/>
  <c r="J95" i="10"/>
  <c r="J92" i="10"/>
  <c r="J63" i="10"/>
  <c r="J57" i="10"/>
  <c r="J49" i="10"/>
  <c r="J41" i="10"/>
  <c r="J33" i="10"/>
  <c r="J77" i="10"/>
  <c r="J71" i="10"/>
  <c r="J68" i="10"/>
  <c r="J65" i="10"/>
  <c r="J62" i="10"/>
  <c r="J54" i="10"/>
  <c r="J46" i="10"/>
  <c r="J38" i="10"/>
  <c r="J30" i="10"/>
  <c r="J80" i="10"/>
  <c r="J73" i="10"/>
  <c r="J70" i="10"/>
  <c r="J67" i="10"/>
  <c r="J59" i="10"/>
  <c r="J51" i="10"/>
  <c r="J75" i="10"/>
  <c r="J56" i="10"/>
  <c r="J48" i="10"/>
  <c r="J40" i="10"/>
  <c r="J32" i="10"/>
  <c r="J55" i="10"/>
  <c r="J27" i="10"/>
  <c r="J52" i="10"/>
  <c r="J37" i="10"/>
  <c r="J35" i="10"/>
  <c r="J34" i="10"/>
  <c r="J31" i="10"/>
  <c r="J29" i="10"/>
  <c r="J60" i="10"/>
  <c r="J50" i="10"/>
  <c r="J47" i="10"/>
  <c r="J44" i="10"/>
  <c r="J23" i="10"/>
  <c r="J15" i="10"/>
  <c r="J28" i="10"/>
  <c r="J20" i="10"/>
  <c r="J53" i="10"/>
  <c r="J25" i="10"/>
  <c r="J17" i="10"/>
  <c r="J14" i="10"/>
  <c r="J45" i="10"/>
  <c r="J43" i="10"/>
  <c r="J39" i="10"/>
  <c r="J22" i="10"/>
  <c r="J19" i="10"/>
  <c r="J16" i="10"/>
  <c r="J13" i="10"/>
  <c r="J21" i="10"/>
  <c r="J18" i="10"/>
  <c r="J24" i="10"/>
  <c r="J42" i="10"/>
  <c r="J36" i="10"/>
  <c r="J26" i="10"/>
  <c r="Q176" i="10"/>
  <c r="Q178" i="10"/>
  <c r="Q170" i="10"/>
  <c r="Q175" i="10"/>
  <c r="Q167" i="10"/>
  <c r="Q172" i="10"/>
  <c r="Q174" i="10"/>
  <c r="Q166" i="10"/>
  <c r="Q165" i="10"/>
  <c r="Q159" i="10"/>
  <c r="Q168" i="10"/>
  <c r="Q177" i="10"/>
  <c r="Q169" i="10"/>
  <c r="Q158" i="10"/>
  <c r="Q173" i="10"/>
  <c r="Q160" i="10"/>
  <c r="Q154" i="10"/>
  <c r="Q149" i="10"/>
  <c r="Q157" i="10"/>
  <c r="Q143" i="10"/>
  <c r="Q146" i="10"/>
  <c r="Q171" i="10"/>
  <c r="Q163" i="10"/>
  <c r="Q153" i="10"/>
  <c r="Q151" i="10"/>
  <c r="Q150" i="10"/>
  <c r="Q142" i="10"/>
  <c r="Q162" i="10"/>
  <c r="Q155" i="10"/>
  <c r="Q148" i="10"/>
  <c r="Q156" i="10"/>
  <c r="Q139" i="10"/>
  <c r="Q136" i="10"/>
  <c r="Q128" i="10"/>
  <c r="Q145" i="10"/>
  <c r="Q137" i="10"/>
  <c r="Q133" i="10"/>
  <c r="Q141" i="10"/>
  <c r="Q140" i="10"/>
  <c r="Q135" i="10"/>
  <c r="Q127" i="10"/>
  <c r="Q164" i="10"/>
  <c r="Q147" i="10"/>
  <c r="Q138" i="10"/>
  <c r="Q132" i="10"/>
  <c r="Q130" i="10"/>
  <c r="Q129" i="10"/>
  <c r="Q126" i="10"/>
  <c r="Q123" i="10"/>
  <c r="Q116" i="10"/>
  <c r="Q134" i="10"/>
  <c r="Q131" i="10"/>
  <c r="Q125" i="10"/>
  <c r="Q121" i="10"/>
  <c r="Q144" i="10"/>
  <c r="Q124" i="10"/>
  <c r="Q115" i="10"/>
  <c r="Q119" i="10"/>
  <c r="Q152" i="10"/>
  <c r="Q114" i="10"/>
  <c r="Q105" i="10"/>
  <c r="Q161" i="10"/>
  <c r="Q110" i="10"/>
  <c r="Q102" i="10"/>
  <c r="Q107" i="10"/>
  <c r="Q109" i="10"/>
  <c r="Q106" i="10"/>
  <c r="Q103" i="10"/>
  <c r="Q120" i="10"/>
  <c r="Q118" i="10"/>
  <c r="Q94" i="10"/>
  <c r="Q86" i="10"/>
  <c r="Q99" i="10"/>
  <c r="Q91" i="10"/>
  <c r="Q122" i="10"/>
  <c r="Q93" i="10"/>
  <c r="Q85" i="10"/>
  <c r="Q111" i="10"/>
  <c r="Q117" i="10"/>
  <c r="Q90" i="10"/>
  <c r="Q88" i="10"/>
  <c r="Q87" i="10"/>
  <c r="Q77" i="10"/>
  <c r="Q104" i="10"/>
  <c r="Q98" i="10"/>
  <c r="Q96" i="10"/>
  <c r="Q95" i="10"/>
  <c r="Q92" i="10"/>
  <c r="Q89" i="10"/>
  <c r="Q82" i="10"/>
  <c r="Q113" i="10"/>
  <c r="Q112" i="10"/>
  <c r="Q108" i="10"/>
  <c r="Q97" i="10"/>
  <c r="Q79" i="10"/>
  <c r="Q75" i="10"/>
  <c r="Q67" i="10"/>
  <c r="Q101" i="10"/>
  <c r="Q81" i="10"/>
  <c r="Q72" i="10"/>
  <c r="Q64" i="10"/>
  <c r="Q84" i="10"/>
  <c r="Q83" i="10"/>
  <c r="Q80" i="10"/>
  <c r="Q69" i="10"/>
  <c r="Q61" i="10"/>
  <c r="Q76" i="10"/>
  <c r="Q74" i="10"/>
  <c r="Q71" i="10"/>
  <c r="Q68" i="10"/>
  <c r="Q65" i="10"/>
  <c r="Q62" i="10"/>
  <c r="Q53" i="10"/>
  <c r="Q73" i="10"/>
  <c r="Q70" i="10"/>
  <c r="Q60" i="10"/>
  <c r="Q52" i="10"/>
  <c r="Q44" i="10"/>
  <c r="Q36" i="10"/>
  <c r="Q57" i="10"/>
  <c r="Q49" i="10"/>
  <c r="Q41" i="10"/>
  <c r="Q33" i="10"/>
  <c r="Q54" i="10"/>
  <c r="Q100" i="10"/>
  <c r="Q59" i="10"/>
  <c r="Q51" i="10"/>
  <c r="Q43" i="10"/>
  <c r="Q35" i="10"/>
  <c r="Q50" i="10"/>
  <c r="Q47" i="10"/>
  <c r="Q22" i="10"/>
  <c r="Q66" i="10"/>
  <c r="Q56" i="10"/>
  <c r="Q24" i="10"/>
  <c r="Q78" i="10"/>
  <c r="Q58" i="10"/>
  <c r="Q26" i="10"/>
  <c r="Q18" i="10"/>
  <c r="Q63" i="10"/>
  <c r="Q32" i="10"/>
  <c r="Q30" i="10"/>
  <c r="Q23" i="10"/>
  <c r="Q15" i="10"/>
  <c r="Q55" i="10"/>
  <c r="Q40" i="10"/>
  <c r="Q38" i="10"/>
  <c r="Q37" i="10"/>
  <c r="Q34" i="10"/>
  <c r="Q31" i="10"/>
  <c r="Q28" i="10"/>
  <c r="Q20" i="10"/>
  <c r="Q29" i="10"/>
  <c r="Q48" i="10"/>
  <c r="Q46" i="10"/>
  <c r="Q42" i="10"/>
  <c r="Q39" i="10"/>
  <c r="Q27" i="10"/>
  <c r="Q17" i="10"/>
  <c r="Q14" i="10"/>
  <c r="Q25" i="10"/>
  <c r="Q19" i="10"/>
  <c r="Q16" i="10"/>
  <c r="Q13" i="10"/>
  <c r="Q21" i="10"/>
  <c r="Q45" i="10"/>
  <c r="AE176" i="10"/>
  <c r="AE168" i="10"/>
  <c r="AE173" i="10"/>
  <c r="AE178" i="10"/>
  <c r="AE170" i="10"/>
  <c r="AE172" i="10"/>
  <c r="AE177" i="10"/>
  <c r="AE171" i="10"/>
  <c r="AE163" i="10"/>
  <c r="AE169" i="10"/>
  <c r="AE165" i="10"/>
  <c r="AE174" i="10"/>
  <c r="AE167" i="10"/>
  <c r="AE164" i="10"/>
  <c r="AE175" i="10"/>
  <c r="AE157" i="10"/>
  <c r="AE166" i="10"/>
  <c r="AE162" i="10"/>
  <c r="AE161" i="10"/>
  <c r="AE158" i="10"/>
  <c r="AE153" i="10"/>
  <c r="AE147" i="10"/>
  <c r="AE152" i="10"/>
  <c r="AE160" i="10"/>
  <c r="AE155" i="10"/>
  <c r="AE154" i="10"/>
  <c r="AE141" i="10"/>
  <c r="AE151" i="10"/>
  <c r="AE149" i="10"/>
  <c r="AE150" i="10"/>
  <c r="AE148" i="10"/>
  <c r="AE145" i="10"/>
  <c r="AE142" i="10"/>
  <c r="AE138" i="10"/>
  <c r="AE134" i="10"/>
  <c r="AE126" i="10"/>
  <c r="AE144" i="10"/>
  <c r="AE131" i="10"/>
  <c r="AE133" i="10"/>
  <c r="AE125" i="10"/>
  <c r="AE159" i="10"/>
  <c r="AE143" i="10"/>
  <c r="AE136" i="10"/>
  <c r="AE135" i="10"/>
  <c r="AE132" i="10"/>
  <c r="AE129" i="10"/>
  <c r="AE122" i="10"/>
  <c r="AE114" i="10"/>
  <c r="AE140" i="10"/>
  <c r="AE119" i="10"/>
  <c r="AE146" i="10"/>
  <c r="AE123" i="10"/>
  <c r="AE113" i="10"/>
  <c r="AE130" i="10"/>
  <c r="AE128" i="10"/>
  <c r="AE121" i="10"/>
  <c r="AE137" i="10"/>
  <c r="AE127" i="10"/>
  <c r="AE111" i="10"/>
  <c r="AE103" i="10"/>
  <c r="AE139" i="10"/>
  <c r="AE124" i="10"/>
  <c r="AE108" i="10"/>
  <c r="AE156" i="10"/>
  <c r="AE118" i="10"/>
  <c r="AE116" i="10"/>
  <c r="AE115" i="10"/>
  <c r="AE112" i="10"/>
  <c r="AE105" i="10"/>
  <c r="AE120" i="10"/>
  <c r="AE109" i="10"/>
  <c r="AE106" i="10"/>
  <c r="AE100" i="10"/>
  <c r="AE92" i="10"/>
  <c r="AE84" i="10"/>
  <c r="AE117" i="10"/>
  <c r="AE97" i="10"/>
  <c r="AE89" i="10"/>
  <c r="AE102" i="10"/>
  <c r="AE99" i="10"/>
  <c r="AE91" i="10"/>
  <c r="AE83" i="10"/>
  <c r="AE110" i="10"/>
  <c r="AE104" i="10"/>
  <c r="AE96" i="10"/>
  <c r="AE94" i="10"/>
  <c r="AE93" i="10"/>
  <c r="AE90" i="10"/>
  <c r="AE87" i="10"/>
  <c r="AE86" i="10"/>
  <c r="AE75" i="10"/>
  <c r="AE98" i="10"/>
  <c r="AE95" i="10"/>
  <c r="AE80" i="10"/>
  <c r="AE107" i="10"/>
  <c r="AE101" i="10"/>
  <c r="AE77" i="10"/>
  <c r="AE82" i="10"/>
  <c r="AE73" i="10"/>
  <c r="AE65" i="10"/>
  <c r="AE81" i="10"/>
  <c r="AE78" i="10"/>
  <c r="AE70" i="10"/>
  <c r="AE62" i="10"/>
  <c r="AE88" i="10"/>
  <c r="AE79" i="10"/>
  <c r="AE67" i="10"/>
  <c r="AE74" i="10"/>
  <c r="AE71" i="10"/>
  <c r="AE68" i="10"/>
  <c r="AE59" i="10"/>
  <c r="AE51" i="10"/>
  <c r="AE76" i="10"/>
  <c r="AE85" i="10"/>
  <c r="AE58" i="10"/>
  <c r="AE50" i="10"/>
  <c r="AE42" i="10"/>
  <c r="AE34" i="10"/>
  <c r="AE55" i="10"/>
  <c r="AE47" i="10"/>
  <c r="AE39" i="10"/>
  <c r="AE31" i="10"/>
  <c r="AE60" i="10"/>
  <c r="AE52" i="10"/>
  <c r="AE64" i="10"/>
  <c r="AE61" i="10"/>
  <c r="AE57" i="10"/>
  <c r="AE49" i="10"/>
  <c r="AE41" i="10"/>
  <c r="AE33" i="10"/>
  <c r="AE72" i="10"/>
  <c r="AE66" i="10"/>
  <c r="AE28" i="10"/>
  <c r="AE22" i="10"/>
  <c r="AE69" i="10"/>
  <c r="AE63" i="10"/>
  <c r="AE30" i="10"/>
  <c r="AE24" i="10"/>
  <c r="AE16" i="10"/>
  <c r="AE56" i="10"/>
  <c r="AE38" i="10"/>
  <c r="AE36" i="10"/>
  <c r="AE35" i="10"/>
  <c r="AE32" i="10"/>
  <c r="AE21" i="10"/>
  <c r="AE13" i="10"/>
  <c r="AE46" i="10"/>
  <c r="AE44" i="10"/>
  <c r="AE43" i="10"/>
  <c r="AE40" i="10"/>
  <c r="AE37" i="10"/>
  <c r="AE29" i="10"/>
  <c r="AE26" i="10"/>
  <c r="AE18" i="10"/>
  <c r="AE48" i="10"/>
  <c r="AE25" i="10"/>
  <c r="AE27" i="10"/>
  <c r="AE53" i="10"/>
  <c r="AE15" i="10"/>
  <c r="AE54" i="10"/>
  <c r="AE45" i="10"/>
  <c r="AE20" i="10"/>
  <c r="AE17" i="10"/>
  <c r="AE14" i="10"/>
  <c r="AE19" i="10"/>
  <c r="AE23" i="10"/>
  <c r="N177" i="10"/>
  <c r="N171" i="10"/>
  <c r="N176" i="10"/>
  <c r="N168" i="10"/>
  <c r="N173" i="10"/>
  <c r="N175" i="10"/>
  <c r="N167" i="10"/>
  <c r="N160" i="10"/>
  <c r="N178" i="10"/>
  <c r="N169" i="10"/>
  <c r="N165" i="10"/>
  <c r="N164" i="10"/>
  <c r="N163" i="10"/>
  <c r="N162" i="10"/>
  <c r="N161" i="10"/>
  <c r="N172" i="10"/>
  <c r="N170" i="10"/>
  <c r="N174" i="10"/>
  <c r="N155" i="10"/>
  <c r="N150" i="10"/>
  <c r="N156" i="10"/>
  <c r="N157" i="10"/>
  <c r="N149" i="10"/>
  <c r="N159" i="10"/>
  <c r="N148" i="10"/>
  <c r="N147" i="10"/>
  <c r="N145" i="10"/>
  <c r="N143" i="10"/>
  <c r="N152" i="10"/>
  <c r="N151" i="10"/>
  <c r="N146" i="10"/>
  <c r="N153" i="10"/>
  <c r="N144" i="10"/>
  <c r="N142" i="10"/>
  <c r="N129" i="10"/>
  <c r="N134" i="10"/>
  <c r="N126" i="10"/>
  <c r="N139" i="10"/>
  <c r="N136" i="10"/>
  <c r="N128" i="10"/>
  <c r="N141" i="10"/>
  <c r="N117" i="10"/>
  <c r="N166" i="10"/>
  <c r="N154" i="10"/>
  <c r="N140" i="10"/>
  <c r="N138" i="10"/>
  <c r="N133" i="10"/>
  <c r="N158" i="10"/>
  <c r="N135" i="10"/>
  <c r="N132" i="10"/>
  <c r="N125" i="10"/>
  <c r="N116" i="10"/>
  <c r="N131" i="10"/>
  <c r="N127" i="10"/>
  <c r="N120" i="10"/>
  <c r="N113" i="10"/>
  <c r="N106" i="10"/>
  <c r="N111" i="10"/>
  <c r="N103" i="10"/>
  <c r="N137" i="10"/>
  <c r="N130" i="10"/>
  <c r="N124" i="10"/>
  <c r="N122" i="10"/>
  <c r="N114" i="10"/>
  <c r="N108" i="10"/>
  <c r="N121" i="10"/>
  <c r="N119" i="10"/>
  <c r="N115" i="10"/>
  <c r="N123" i="10"/>
  <c r="N109" i="10"/>
  <c r="N95" i="10"/>
  <c r="N87" i="10"/>
  <c r="N118" i="10"/>
  <c r="N112" i="10"/>
  <c r="N100" i="10"/>
  <c r="N92" i="10"/>
  <c r="N94" i="10"/>
  <c r="N86" i="10"/>
  <c r="N98" i="10"/>
  <c r="N105" i="10"/>
  <c r="N78" i="10"/>
  <c r="N84" i="10"/>
  <c r="N83" i="10"/>
  <c r="N102" i="10"/>
  <c r="N91" i="10"/>
  <c r="N89" i="10"/>
  <c r="N88" i="10"/>
  <c r="N80" i="10"/>
  <c r="N96" i="10"/>
  <c r="N68" i="10"/>
  <c r="N110" i="10"/>
  <c r="N73" i="10"/>
  <c r="N65" i="10"/>
  <c r="N101" i="10"/>
  <c r="N99" i="10"/>
  <c r="N97" i="10"/>
  <c r="N93" i="10"/>
  <c r="N85" i="10"/>
  <c r="N76" i="10"/>
  <c r="N70" i="10"/>
  <c r="N62" i="10"/>
  <c r="N77" i="10"/>
  <c r="N54" i="10"/>
  <c r="N90" i="10"/>
  <c r="N67" i="10"/>
  <c r="N64" i="10"/>
  <c r="N61" i="10"/>
  <c r="N82" i="10"/>
  <c r="N79" i="10"/>
  <c r="N75" i="10"/>
  <c r="N72" i="10"/>
  <c r="N69" i="10"/>
  <c r="N66" i="10"/>
  <c r="N63" i="10"/>
  <c r="N74" i="10"/>
  <c r="N71" i="10"/>
  <c r="N53" i="10"/>
  <c r="N45" i="10"/>
  <c r="N37" i="10"/>
  <c r="N104" i="10"/>
  <c r="N58" i="10"/>
  <c r="N50" i="10"/>
  <c r="N42" i="10"/>
  <c r="N34" i="10"/>
  <c r="N55" i="10"/>
  <c r="N107" i="10"/>
  <c r="N60" i="10"/>
  <c r="N52" i="10"/>
  <c r="N44" i="10"/>
  <c r="N36" i="10"/>
  <c r="N57" i="10"/>
  <c r="N41" i="10"/>
  <c r="N39" i="10"/>
  <c r="N38" i="10"/>
  <c r="N35" i="10"/>
  <c r="N32" i="10"/>
  <c r="N23" i="10"/>
  <c r="N59" i="10"/>
  <c r="N48" i="10"/>
  <c r="N25" i="10"/>
  <c r="N81" i="10"/>
  <c r="N56" i="10"/>
  <c r="N27" i="10"/>
  <c r="N19" i="10"/>
  <c r="N24" i="10"/>
  <c r="N16" i="10"/>
  <c r="N29" i="10"/>
  <c r="N21" i="10"/>
  <c r="N13" i="10"/>
  <c r="N49" i="10"/>
  <c r="N47" i="10"/>
  <c r="N43" i="10"/>
  <c r="N22" i="10"/>
  <c r="N30" i="10"/>
  <c r="N26" i="10"/>
  <c r="N33" i="10"/>
  <c r="N31" i="10"/>
  <c r="N51" i="10"/>
  <c r="N46" i="10"/>
  <c r="N40" i="10"/>
  <c r="N14" i="10"/>
  <c r="N28" i="10"/>
  <c r="N17" i="10"/>
  <c r="N18" i="10"/>
  <c r="N15" i="10"/>
  <c r="N20" i="10"/>
  <c r="B175" i="10"/>
  <c r="B167" i="10"/>
  <c r="B172" i="10"/>
  <c r="B177" i="10"/>
  <c r="B169" i="10"/>
  <c r="B171" i="10"/>
  <c r="B178" i="10"/>
  <c r="B170" i="10"/>
  <c r="B162" i="10"/>
  <c r="B168" i="10"/>
  <c r="B164" i="10"/>
  <c r="B173" i="10"/>
  <c r="B166" i="10"/>
  <c r="B163" i="10"/>
  <c r="B161" i="10"/>
  <c r="B156" i="10"/>
  <c r="B176" i="10"/>
  <c r="B158" i="10"/>
  <c r="B165" i="10"/>
  <c r="B174" i="10"/>
  <c r="B155" i="10"/>
  <c r="B146" i="10"/>
  <c r="B151" i="10"/>
  <c r="B159" i="10"/>
  <c r="B153" i="10"/>
  <c r="B154" i="10"/>
  <c r="B148" i="10"/>
  <c r="B140" i="10"/>
  <c r="B147" i="10"/>
  <c r="B152" i="10"/>
  <c r="B149" i="10"/>
  <c r="B142" i="10"/>
  <c r="B133" i="10"/>
  <c r="B125" i="10"/>
  <c r="B130" i="10"/>
  <c r="B150" i="10"/>
  <c r="B132" i="10"/>
  <c r="B143" i="10"/>
  <c r="B138" i="10"/>
  <c r="B124" i="10"/>
  <c r="B121" i="10"/>
  <c r="B113" i="10"/>
  <c r="B145" i="10"/>
  <c r="B129" i="10"/>
  <c r="B127" i="10"/>
  <c r="B126" i="10"/>
  <c r="B122" i="10"/>
  <c r="B118" i="10"/>
  <c r="B135" i="10"/>
  <c r="B134" i="10"/>
  <c r="B160" i="10"/>
  <c r="B136" i="10"/>
  <c r="B120" i="10"/>
  <c r="B123" i="10"/>
  <c r="B117" i="10"/>
  <c r="B137" i="10"/>
  <c r="B144" i="10"/>
  <c r="B110" i="10"/>
  <c r="B102" i="10"/>
  <c r="B157" i="10"/>
  <c r="B139" i="10"/>
  <c r="B107" i="10"/>
  <c r="B141" i="10"/>
  <c r="B112" i="10"/>
  <c r="B104" i="10"/>
  <c r="B114" i="10"/>
  <c r="B101" i="10"/>
  <c r="B131" i="10"/>
  <c r="B119" i="10"/>
  <c r="B115" i="10"/>
  <c r="B99" i="10"/>
  <c r="B91" i="10"/>
  <c r="B96" i="10"/>
  <c r="B88" i="10"/>
  <c r="B98" i="10"/>
  <c r="B90" i="10"/>
  <c r="B116" i="10"/>
  <c r="B108" i="10"/>
  <c r="B128" i="10"/>
  <c r="B82" i="10"/>
  <c r="B109" i="10"/>
  <c r="B103" i="10"/>
  <c r="B87" i="10"/>
  <c r="B111" i="10"/>
  <c r="B105" i="10"/>
  <c r="B95" i="10"/>
  <c r="B93" i="10"/>
  <c r="B92" i="10"/>
  <c r="B89" i="10"/>
  <c r="B84" i="10"/>
  <c r="B76" i="10"/>
  <c r="B85" i="10"/>
  <c r="B79" i="10"/>
  <c r="B72" i="10"/>
  <c r="B64" i="10"/>
  <c r="B100" i="10"/>
  <c r="B94" i="10"/>
  <c r="B86" i="10"/>
  <c r="B69" i="10"/>
  <c r="B61" i="10"/>
  <c r="B81" i="10"/>
  <c r="B74" i="10"/>
  <c r="B66" i="10"/>
  <c r="B106" i="10"/>
  <c r="B63" i="10"/>
  <c r="B58" i="10"/>
  <c r="B97" i="10"/>
  <c r="B71" i="10"/>
  <c r="B68" i="10"/>
  <c r="B65" i="10"/>
  <c r="B62" i="10"/>
  <c r="B73" i="10"/>
  <c r="B70" i="10"/>
  <c r="B67" i="10"/>
  <c r="B83" i="10"/>
  <c r="B75" i="10"/>
  <c r="B57" i="10"/>
  <c r="B49" i="10"/>
  <c r="B41" i="10"/>
  <c r="B33" i="10"/>
  <c r="B54" i="10"/>
  <c r="B46" i="10"/>
  <c r="B38" i="10"/>
  <c r="B30" i="10"/>
  <c r="B59" i="10"/>
  <c r="B51" i="10"/>
  <c r="B56" i="10"/>
  <c r="B48" i="10"/>
  <c r="B40" i="10"/>
  <c r="B32" i="10"/>
  <c r="B77" i="10"/>
  <c r="B45" i="10"/>
  <c r="B43" i="10"/>
  <c r="B42" i="10"/>
  <c r="B39" i="10"/>
  <c r="B36" i="10"/>
  <c r="B27" i="10"/>
  <c r="B29" i="10"/>
  <c r="B23" i="10"/>
  <c r="B15" i="10"/>
  <c r="B78" i="10"/>
  <c r="B52" i="10"/>
  <c r="B28" i="10"/>
  <c r="B20" i="10"/>
  <c r="B60" i="10"/>
  <c r="B25" i="10"/>
  <c r="B17" i="10"/>
  <c r="B26" i="10"/>
  <c r="B55" i="10"/>
  <c r="B37" i="10"/>
  <c r="B35" i="10"/>
  <c r="B31" i="10"/>
  <c r="B80" i="10"/>
  <c r="B47" i="10"/>
  <c r="B22" i="10"/>
  <c r="B18" i="10"/>
  <c r="B14" i="10"/>
  <c r="B21" i="10"/>
  <c r="B34" i="10"/>
  <c r="B24" i="10"/>
  <c r="B19" i="10"/>
  <c r="B16" i="10"/>
  <c r="B13" i="10"/>
  <c r="B53" i="10"/>
  <c r="B50" i="10"/>
  <c r="B44" i="10"/>
  <c r="I176" i="10"/>
  <c r="I178" i="10"/>
  <c r="I170" i="10"/>
  <c r="I175" i="10"/>
  <c r="I167" i="10"/>
  <c r="I172" i="10"/>
  <c r="I174" i="10"/>
  <c r="I166" i="10"/>
  <c r="I177" i="10"/>
  <c r="I173" i="10"/>
  <c r="I165" i="10"/>
  <c r="I171" i="10"/>
  <c r="I159" i="10"/>
  <c r="I169" i="10"/>
  <c r="I160" i="10"/>
  <c r="I164" i="10"/>
  <c r="I163" i="10"/>
  <c r="I162" i="10"/>
  <c r="I161" i="10"/>
  <c r="I158" i="10"/>
  <c r="I149" i="10"/>
  <c r="I155" i="10"/>
  <c r="I153" i="10"/>
  <c r="I151" i="10"/>
  <c r="I150" i="10"/>
  <c r="I143" i="10"/>
  <c r="I157" i="10"/>
  <c r="I148" i="10"/>
  <c r="I144" i="10"/>
  <c r="I142" i="10"/>
  <c r="I168" i="10"/>
  <c r="I154" i="10"/>
  <c r="I147" i="10"/>
  <c r="I137" i="10"/>
  <c r="I136" i="10"/>
  <c r="I128" i="10"/>
  <c r="I141" i="10"/>
  <c r="I133" i="10"/>
  <c r="I135" i="10"/>
  <c r="I127" i="10"/>
  <c r="I152" i="10"/>
  <c r="I116" i="10"/>
  <c r="I146" i="10"/>
  <c r="I139" i="10"/>
  <c r="I121" i="10"/>
  <c r="I156" i="10"/>
  <c r="I122" i="10"/>
  <c r="I115" i="10"/>
  <c r="I132" i="10"/>
  <c r="I130" i="10"/>
  <c r="I126" i="10"/>
  <c r="I124" i="10"/>
  <c r="I138" i="10"/>
  <c r="I145" i="10"/>
  <c r="I129" i="10"/>
  <c r="I120" i="10"/>
  <c r="I118" i="10"/>
  <c r="I117" i="10"/>
  <c r="I105" i="10"/>
  <c r="I131" i="10"/>
  <c r="I123" i="10"/>
  <c r="I119" i="10"/>
  <c r="I110" i="10"/>
  <c r="I102" i="10"/>
  <c r="I140" i="10"/>
  <c r="I125" i="10"/>
  <c r="I107" i="10"/>
  <c r="I94" i="10"/>
  <c r="I86" i="10"/>
  <c r="I104" i="10"/>
  <c r="I101" i="10"/>
  <c r="I99" i="10"/>
  <c r="I91" i="10"/>
  <c r="I113" i="10"/>
  <c r="I112" i="10"/>
  <c r="I109" i="10"/>
  <c r="I106" i="10"/>
  <c r="I103" i="10"/>
  <c r="I134" i="10"/>
  <c r="I114" i="10"/>
  <c r="I111" i="10"/>
  <c r="I108" i="10"/>
  <c r="I93" i="10"/>
  <c r="I85" i="10"/>
  <c r="I98" i="10"/>
  <c r="I96" i="10"/>
  <c r="I95" i="10"/>
  <c r="I92" i="10"/>
  <c r="I89" i="10"/>
  <c r="I100" i="10"/>
  <c r="I77" i="10"/>
  <c r="I82" i="10"/>
  <c r="I79" i="10"/>
  <c r="I75" i="10"/>
  <c r="I67" i="10"/>
  <c r="I78" i="10"/>
  <c r="I72" i="10"/>
  <c r="I64" i="10"/>
  <c r="I69" i="10"/>
  <c r="I61" i="10"/>
  <c r="I97" i="10"/>
  <c r="I53" i="10"/>
  <c r="I88" i="10"/>
  <c r="I84" i="10"/>
  <c r="I81" i="10"/>
  <c r="I90" i="10"/>
  <c r="I83" i="10"/>
  <c r="I76" i="10"/>
  <c r="I60" i="10"/>
  <c r="I52" i="10"/>
  <c r="I44" i="10"/>
  <c r="I36" i="10"/>
  <c r="I66" i="10"/>
  <c r="I63" i="10"/>
  <c r="I57" i="10"/>
  <c r="I49" i="10"/>
  <c r="I41" i="10"/>
  <c r="I33" i="10"/>
  <c r="I74" i="10"/>
  <c r="I71" i="10"/>
  <c r="I68" i="10"/>
  <c r="I65" i="10"/>
  <c r="I62" i="10"/>
  <c r="I54" i="10"/>
  <c r="I80" i="10"/>
  <c r="I73" i="10"/>
  <c r="I70" i="10"/>
  <c r="I59" i="10"/>
  <c r="I51" i="10"/>
  <c r="I43" i="10"/>
  <c r="I35" i="10"/>
  <c r="I87" i="10"/>
  <c r="I22" i="10"/>
  <c r="I32" i="10"/>
  <c r="I30" i="10"/>
  <c r="I24" i="10"/>
  <c r="I48" i="10"/>
  <c r="I46" i="10"/>
  <c r="I45" i="10"/>
  <c r="I42" i="10"/>
  <c r="I39" i="10"/>
  <c r="I26" i="10"/>
  <c r="I18" i="10"/>
  <c r="I56" i="10"/>
  <c r="I50" i="10"/>
  <c r="I47" i="10"/>
  <c r="I23" i="10"/>
  <c r="I15" i="10"/>
  <c r="I28" i="10"/>
  <c r="I20" i="10"/>
  <c r="I55" i="10"/>
  <c r="I25" i="10"/>
  <c r="I37" i="10"/>
  <c r="I31" i="10"/>
  <c r="I17" i="10"/>
  <c r="I14" i="10"/>
  <c r="I58" i="10"/>
  <c r="I27" i="10"/>
  <c r="I19" i="10"/>
  <c r="I16" i="10"/>
  <c r="I13" i="10"/>
  <c r="I21" i="10"/>
  <c r="I29" i="10"/>
  <c r="I40" i="10"/>
  <c r="I38" i="10"/>
  <c r="I34" i="10"/>
  <c r="AV8" i="10"/>
  <c r="AV9" i="10" s="1"/>
  <c r="AV7" i="10"/>
  <c r="W176" i="10"/>
  <c r="W168" i="10"/>
  <c r="W173" i="10"/>
  <c r="W178" i="10"/>
  <c r="W170" i="10"/>
  <c r="W172" i="10"/>
  <c r="W163" i="10"/>
  <c r="W165" i="10"/>
  <c r="W177" i="10"/>
  <c r="W175" i="10"/>
  <c r="W164" i="10"/>
  <c r="W167" i="10"/>
  <c r="W157" i="10"/>
  <c r="W162" i="10"/>
  <c r="W161" i="10"/>
  <c r="W171" i="10"/>
  <c r="W147" i="10"/>
  <c r="W159" i="10"/>
  <c r="W158" i="10"/>
  <c r="W155" i="10"/>
  <c r="W152" i="10"/>
  <c r="W150" i="10"/>
  <c r="W141" i="10"/>
  <c r="W166" i="10"/>
  <c r="W160" i="10"/>
  <c r="W156" i="10"/>
  <c r="W145" i="10"/>
  <c r="W174" i="10"/>
  <c r="W143" i="10"/>
  <c r="W146" i="10"/>
  <c r="W142" i="10"/>
  <c r="W134" i="10"/>
  <c r="W126" i="10"/>
  <c r="W131" i="10"/>
  <c r="W139" i="10"/>
  <c r="W133" i="10"/>
  <c r="W125" i="10"/>
  <c r="W169" i="10"/>
  <c r="W140" i="10"/>
  <c r="W154" i="10"/>
  <c r="W149" i="10"/>
  <c r="W144" i="10"/>
  <c r="W137" i="10"/>
  <c r="W114" i="10"/>
  <c r="W153" i="10"/>
  <c r="W119" i="10"/>
  <c r="W148" i="10"/>
  <c r="W113" i="10"/>
  <c r="W136" i="10"/>
  <c r="W135" i="10"/>
  <c r="W130" i="10"/>
  <c r="W128" i="10"/>
  <c r="W123" i="10"/>
  <c r="W121" i="10"/>
  <c r="W120" i="10"/>
  <c r="W117" i="10"/>
  <c r="W112" i="10"/>
  <c r="W111" i="10"/>
  <c r="W103" i="10"/>
  <c r="W108" i="10"/>
  <c r="W138" i="10"/>
  <c r="W127" i="10"/>
  <c r="W105" i="10"/>
  <c r="W151" i="10"/>
  <c r="W102" i="10"/>
  <c r="W100" i="10"/>
  <c r="W92" i="10"/>
  <c r="W84" i="10"/>
  <c r="W122" i="10"/>
  <c r="W110" i="10"/>
  <c r="W107" i="10"/>
  <c r="W104" i="10"/>
  <c r="W101" i="10"/>
  <c r="W97" i="10"/>
  <c r="W89" i="10"/>
  <c r="W109" i="10"/>
  <c r="W106" i="10"/>
  <c r="W115" i="10"/>
  <c r="W99" i="10"/>
  <c r="W91" i="10"/>
  <c r="W83" i="10"/>
  <c r="W118" i="10"/>
  <c r="W88" i="10"/>
  <c r="W98" i="10"/>
  <c r="W95" i="10"/>
  <c r="W80" i="10"/>
  <c r="W124" i="10"/>
  <c r="W77" i="10"/>
  <c r="W93" i="10"/>
  <c r="W87" i="10"/>
  <c r="W79" i="10"/>
  <c r="W73" i="10"/>
  <c r="W65" i="10"/>
  <c r="W70" i="10"/>
  <c r="W62" i="10"/>
  <c r="W129" i="10"/>
  <c r="W75" i="10"/>
  <c r="W67" i="10"/>
  <c r="W86" i="10"/>
  <c r="W59" i="10"/>
  <c r="W51" i="10"/>
  <c r="W94" i="10"/>
  <c r="W132" i="10"/>
  <c r="W64" i="10"/>
  <c r="W61" i="10"/>
  <c r="W58" i="10"/>
  <c r="W50" i="10"/>
  <c r="W42" i="10"/>
  <c r="W34" i="10"/>
  <c r="W96" i="10"/>
  <c r="W81" i="10"/>
  <c r="W76" i="10"/>
  <c r="W72" i="10"/>
  <c r="W69" i="10"/>
  <c r="W66" i="10"/>
  <c r="W63" i="10"/>
  <c r="W55" i="10"/>
  <c r="W47" i="10"/>
  <c r="W39" i="10"/>
  <c r="W31" i="10"/>
  <c r="W116" i="10"/>
  <c r="W74" i="10"/>
  <c r="W71" i="10"/>
  <c r="W68" i="10"/>
  <c r="W60" i="10"/>
  <c r="W52" i="10"/>
  <c r="W85" i="10"/>
  <c r="W78" i="10"/>
  <c r="W57" i="10"/>
  <c r="W49" i="10"/>
  <c r="W41" i="10"/>
  <c r="W33" i="10"/>
  <c r="W56" i="10"/>
  <c r="W28" i="10"/>
  <c r="W82" i="10"/>
  <c r="W53" i="10"/>
  <c r="W38" i="10"/>
  <c r="W36" i="10"/>
  <c r="W35" i="10"/>
  <c r="W32" i="10"/>
  <c r="W22" i="10"/>
  <c r="W48" i="10"/>
  <c r="W45" i="10"/>
  <c r="W24" i="10"/>
  <c r="W16" i="10"/>
  <c r="W90" i="10"/>
  <c r="W29" i="10"/>
  <c r="W21" i="10"/>
  <c r="W13" i="10"/>
  <c r="W54" i="10"/>
  <c r="W26" i="10"/>
  <c r="W18" i="10"/>
  <c r="W15" i="10"/>
  <c r="W30" i="10"/>
  <c r="W23" i="10"/>
  <c r="W20" i="10"/>
  <c r="W17" i="10"/>
  <c r="W14" i="10"/>
  <c r="W46" i="10"/>
  <c r="W44" i="10"/>
  <c r="W40" i="10"/>
  <c r="W19" i="10"/>
  <c r="W25" i="10"/>
  <c r="W27" i="10"/>
  <c r="W43" i="10"/>
  <c r="W37" i="10"/>
  <c r="F177" i="10"/>
  <c r="F171" i="10"/>
  <c r="F176" i="10"/>
  <c r="F168" i="10"/>
  <c r="F173" i="10"/>
  <c r="F175" i="10"/>
  <c r="F167" i="10"/>
  <c r="F174" i="10"/>
  <c r="F172" i="10"/>
  <c r="F160" i="10"/>
  <c r="F165" i="10"/>
  <c r="F170" i="10"/>
  <c r="F169" i="10"/>
  <c r="F164" i="10"/>
  <c r="F163" i="10"/>
  <c r="F162" i="10"/>
  <c r="F159" i="10"/>
  <c r="F166" i="10"/>
  <c r="F150" i="10"/>
  <c r="F161" i="10"/>
  <c r="F157" i="10"/>
  <c r="F154" i="10"/>
  <c r="F149" i="10"/>
  <c r="F152" i="10"/>
  <c r="F151" i="10"/>
  <c r="F158" i="10"/>
  <c r="F156" i="10"/>
  <c r="F155" i="10"/>
  <c r="F153" i="10"/>
  <c r="F143" i="10"/>
  <c r="F144" i="10"/>
  <c r="F129" i="10"/>
  <c r="F147" i="10"/>
  <c r="F134" i="10"/>
  <c r="F126" i="10"/>
  <c r="F141" i="10"/>
  <c r="F137" i="10"/>
  <c r="F136" i="10"/>
  <c r="F128" i="10"/>
  <c r="F178" i="10"/>
  <c r="F145" i="10"/>
  <c r="F135" i="10"/>
  <c r="F132" i="10"/>
  <c r="F117" i="10"/>
  <c r="F125" i="10"/>
  <c r="F123" i="10"/>
  <c r="F146" i="10"/>
  <c r="F139" i="10"/>
  <c r="F116" i="10"/>
  <c r="F133" i="10"/>
  <c r="F130" i="10"/>
  <c r="F124" i="10"/>
  <c r="F122" i="10"/>
  <c r="F138" i="10"/>
  <c r="F148" i="10"/>
  <c r="F142" i="10"/>
  <c r="F114" i="10"/>
  <c r="F106" i="10"/>
  <c r="F111" i="10"/>
  <c r="F103" i="10"/>
  <c r="F131" i="10"/>
  <c r="F127" i="10"/>
  <c r="F121" i="10"/>
  <c r="F119" i="10"/>
  <c r="F118" i="10"/>
  <c r="F115" i="10"/>
  <c r="F108" i="10"/>
  <c r="F112" i="10"/>
  <c r="F109" i="10"/>
  <c r="F140" i="10"/>
  <c r="F95" i="10"/>
  <c r="F87" i="10"/>
  <c r="F100" i="10"/>
  <c r="F92" i="10"/>
  <c r="F120" i="10"/>
  <c r="F105" i="10"/>
  <c r="F102" i="10"/>
  <c r="F94" i="10"/>
  <c r="F86" i="10"/>
  <c r="F110" i="10"/>
  <c r="F104" i="10"/>
  <c r="F107" i="10"/>
  <c r="F101" i="10"/>
  <c r="F99" i="10"/>
  <c r="F97" i="10"/>
  <c r="F96" i="10"/>
  <c r="F93" i="10"/>
  <c r="F90" i="10"/>
  <c r="F78" i="10"/>
  <c r="F98" i="10"/>
  <c r="F85" i="10"/>
  <c r="F83" i="10"/>
  <c r="F80" i="10"/>
  <c r="F88" i="10"/>
  <c r="F82" i="10"/>
  <c r="F76" i="10"/>
  <c r="F68" i="10"/>
  <c r="F81" i="10"/>
  <c r="F77" i="10"/>
  <c r="F73" i="10"/>
  <c r="F65" i="10"/>
  <c r="F70" i="10"/>
  <c r="F62" i="10"/>
  <c r="F74" i="10"/>
  <c r="F71" i="10"/>
  <c r="F54" i="10"/>
  <c r="F113" i="10"/>
  <c r="F89" i="10"/>
  <c r="F91" i="10"/>
  <c r="F84" i="10"/>
  <c r="F53" i="10"/>
  <c r="F45" i="10"/>
  <c r="F37" i="10"/>
  <c r="F58" i="10"/>
  <c r="F50" i="10"/>
  <c r="F42" i="10"/>
  <c r="F34" i="10"/>
  <c r="F79" i="10"/>
  <c r="F55" i="10"/>
  <c r="F67" i="10"/>
  <c r="F64" i="10"/>
  <c r="F60" i="10"/>
  <c r="F52" i="10"/>
  <c r="F44" i="10"/>
  <c r="F36" i="10"/>
  <c r="F23" i="10"/>
  <c r="F72" i="10"/>
  <c r="F66" i="10"/>
  <c r="F25" i="10"/>
  <c r="F33" i="10"/>
  <c r="F31" i="10"/>
  <c r="F30" i="10"/>
  <c r="F27" i="10"/>
  <c r="F19" i="10"/>
  <c r="F59" i="10"/>
  <c r="F41" i="10"/>
  <c r="F39" i="10"/>
  <c r="F38" i="10"/>
  <c r="F35" i="10"/>
  <c r="F32" i="10"/>
  <c r="F24" i="10"/>
  <c r="F16" i="10"/>
  <c r="F75" i="10"/>
  <c r="F69" i="10"/>
  <c r="F63" i="10"/>
  <c r="F61" i="10"/>
  <c r="F51" i="10"/>
  <c r="F49" i="10"/>
  <c r="F47" i="10"/>
  <c r="F46" i="10"/>
  <c r="F43" i="10"/>
  <c r="F40" i="10"/>
  <c r="F29" i="10"/>
  <c r="F21" i="10"/>
  <c r="F13" i="10"/>
  <c r="F28" i="10"/>
  <c r="F56" i="10"/>
  <c r="F57" i="10"/>
  <c r="F22" i="10"/>
  <c r="F18" i="10"/>
  <c r="F15" i="10"/>
  <c r="F20" i="10"/>
  <c r="F17" i="10"/>
  <c r="F14" i="10"/>
  <c r="F48" i="10"/>
  <c r="F26" i="10"/>
  <c r="AA8" i="10"/>
  <c r="AA9" i="10" s="1"/>
  <c r="AA7" i="10"/>
  <c r="AF8" i="10"/>
  <c r="AF9" i="10" s="1"/>
  <c r="AF7" i="10"/>
  <c r="AN8" i="10"/>
  <c r="AN7" i="10"/>
  <c r="X8" i="10"/>
  <c r="X9" i="10" s="1"/>
  <c r="X7" i="10"/>
  <c r="O176" i="10"/>
  <c r="O168" i="10"/>
  <c r="O173" i="10"/>
  <c r="O178" i="10"/>
  <c r="O170" i="10"/>
  <c r="O172" i="10"/>
  <c r="O171" i="10"/>
  <c r="O163" i="10"/>
  <c r="O169" i="10"/>
  <c r="O165" i="10"/>
  <c r="O174" i="10"/>
  <c r="O166" i="10"/>
  <c r="O167" i="10"/>
  <c r="O164" i="10"/>
  <c r="O157" i="10"/>
  <c r="O175" i="10"/>
  <c r="O160" i="10"/>
  <c r="O159" i="10"/>
  <c r="O156" i="10"/>
  <c r="O147" i="10"/>
  <c r="O154" i="10"/>
  <c r="O152" i="10"/>
  <c r="O161" i="10"/>
  <c r="O158" i="10"/>
  <c r="O141" i="10"/>
  <c r="O177" i="10"/>
  <c r="O143" i="10"/>
  <c r="O153" i="10"/>
  <c r="O150" i="10"/>
  <c r="O144" i="10"/>
  <c r="O142" i="10"/>
  <c r="O162" i="10"/>
  <c r="O134" i="10"/>
  <c r="O126" i="10"/>
  <c r="O148" i="10"/>
  <c r="O131" i="10"/>
  <c r="O146" i="10"/>
  <c r="O137" i="10"/>
  <c r="O133" i="10"/>
  <c r="O125" i="10"/>
  <c r="O145" i="10"/>
  <c r="O114" i="10"/>
  <c r="O155" i="10"/>
  <c r="O140" i="10"/>
  <c r="O138" i="10"/>
  <c r="O130" i="10"/>
  <c r="O128" i="10"/>
  <c r="O127" i="10"/>
  <c r="O123" i="10"/>
  <c r="O119" i="10"/>
  <c r="O149" i="10"/>
  <c r="O136" i="10"/>
  <c r="O135" i="10"/>
  <c r="O121" i="10"/>
  <c r="O113" i="10"/>
  <c r="O151" i="10"/>
  <c r="O118" i="10"/>
  <c r="O116" i="10"/>
  <c r="O115" i="10"/>
  <c r="O139" i="10"/>
  <c r="O129" i="10"/>
  <c r="O111" i="10"/>
  <c r="O103" i="10"/>
  <c r="O124" i="10"/>
  <c r="O122" i="10"/>
  <c r="O108" i="10"/>
  <c r="O132" i="10"/>
  <c r="O105" i="10"/>
  <c r="O117" i="10"/>
  <c r="O102" i="10"/>
  <c r="O112" i="10"/>
  <c r="O100" i="10"/>
  <c r="O92" i="10"/>
  <c r="O84" i="10"/>
  <c r="O120" i="10"/>
  <c r="O97" i="10"/>
  <c r="O89" i="10"/>
  <c r="O99" i="10"/>
  <c r="O91" i="10"/>
  <c r="O107" i="10"/>
  <c r="O101" i="10"/>
  <c r="O83" i="10"/>
  <c r="O88" i="10"/>
  <c r="O80" i="10"/>
  <c r="O110" i="10"/>
  <c r="O104" i="10"/>
  <c r="O96" i="10"/>
  <c r="O94" i="10"/>
  <c r="O93" i="10"/>
  <c r="O90" i="10"/>
  <c r="O87" i="10"/>
  <c r="O85" i="10"/>
  <c r="O77" i="10"/>
  <c r="O109" i="10"/>
  <c r="O98" i="10"/>
  <c r="O73" i="10"/>
  <c r="O65" i="10"/>
  <c r="O76" i="10"/>
  <c r="O70" i="10"/>
  <c r="O62" i="10"/>
  <c r="O95" i="10"/>
  <c r="O86" i="10"/>
  <c r="O82" i="10"/>
  <c r="O75" i="10"/>
  <c r="O67" i="10"/>
  <c r="O64" i="10"/>
  <c r="O61" i="10"/>
  <c r="O59" i="10"/>
  <c r="O51" i="10"/>
  <c r="O79" i="10"/>
  <c r="O78" i="10"/>
  <c r="O72" i="10"/>
  <c r="O69" i="10"/>
  <c r="O66" i="10"/>
  <c r="O63" i="10"/>
  <c r="O74" i="10"/>
  <c r="O71" i="10"/>
  <c r="O68" i="10"/>
  <c r="O58" i="10"/>
  <c r="O50" i="10"/>
  <c r="O42" i="10"/>
  <c r="O34" i="10"/>
  <c r="O55" i="10"/>
  <c r="O47" i="10"/>
  <c r="O39" i="10"/>
  <c r="O31" i="10"/>
  <c r="O60" i="10"/>
  <c r="O52" i="10"/>
  <c r="O81" i="10"/>
  <c r="O57" i="10"/>
  <c r="O49" i="10"/>
  <c r="O41" i="10"/>
  <c r="O33" i="10"/>
  <c r="O46" i="10"/>
  <c r="O44" i="10"/>
  <c r="O43" i="10"/>
  <c r="O40" i="10"/>
  <c r="O37" i="10"/>
  <c r="O28" i="10"/>
  <c r="O22" i="10"/>
  <c r="O106" i="10"/>
  <c r="O24" i="10"/>
  <c r="O16" i="10"/>
  <c r="O53" i="10"/>
  <c r="O29" i="10"/>
  <c r="O21" i="10"/>
  <c r="O13" i="10"/>
  <c r="O30" i="10"/>
  <c r="O26" i="10"/>
  <c r="O18" i="10"/>
  <c r="O56" i="10"/>
  <c r="O45" i="10"/>
  <c r="O27" i="10"/>
  <c r="O38" i="10"/>
  <c r="O36" i="10"/>
  <c r="O32" i="10"/>
  <c r="O35" i="10"/>
  <c r="O19" i="10"/>
  <c r="O48" i="10"/>
  <c r="O23" i="10"/>
  <c r="O15" i="10"/>
  <c r="O54" i="10"/>
  <c r="O25" i="10"/>
  <c r="O20" i="10"/>
  <c r="O17" i="10"/>
  <c r="O14" i="10"/>
  <c r="AC174" i="10"/>
  <c r="AC166" i="10"/>
  <c r="AC171" i="10"/>
  <c r="AC176" i="10"/>
  <c r="AC168" i="10"/>
  <c r="AC178" i="10"/>
  <c r="AC170" i="10"/>
  <c r="AC161" i="10"/>
  <c r="AC175" i="10"/>
  <c r="AC163" i="10"/>
  <c r="AC173" i="10"/>
  <c r="AC162" i="10"/>
  <c r="AC155" i="10"/>
  <c r="AC160" i="10"/>
  <c r="AC157" i="10"/>
  <c r="AC177" i="10"/>
  <c r="AC169" i="10"/>
  <c r="AC165" i="10"/>
  <c r="AC172" i="10"/>
  <c r="AC145" i="10"/>
  <c r="AC150" i="10"/>
  <c r="AC152" i="10"/>
  <c r="AC156" i="10"/>
  <c r="AC146" i="10"/>
  <c r="AC139" i="10"/>
  <c r="AC158" i="10"/>
  <c r="AC149" i="10"/>
  <c r="AC147" i="10"/>
  <c r="AC159" i="10"/>
  <c r="AC153" i="10"/>
  <c r="AC148" i="10"/>
  <c r="AC143" i="10"/>
  <c r="AC132" i="10"/>
  <c r="AC124" i="10"/>
  <c r="AC142" i="10"/>
  <c r="AC140" i="10"/>
  <c r="AC129" i="10"/>
  <c r="AC151" i="10"/>
  <c r="AC131" i="10"/>
  <c r="AC167" i="10"/>
  <c r="AC128" i="10"/>
  <c r="AC126" i="10"/>
  <c r="AC125" i="10"/>
  <c r="AC120" i="10"/>
  <c r="AC112" i="10"/>
  <c r="AC141" i="10"/>
  <c r="AC138" i="10"/>
  <c r="AC136" i="10"/>
  <c r="AC134" i="10"/>
  <c r="AC133" i="10"/>
  <c r="AC130" i="10"/>
  <c r="AC127" i="10"/>
  <c r="AC117" i="10"/>
  <c r="AC135" i="10"/>
  <c r="AC119" i="10"/>
  <c r="AC118" i="10"/>
  <c r="AC115" i="10"/>
  <c r="AC164" i="10"/>
  <c r="AC137" i="10"/>
  <c r="AC109" i="10"/>
  <c r="AC101" i="10"/>
  <c r="AC154" i="10"/>
  <c r="AC122" i="10"/>
  <c r="AC106" i="10"/>
  <c r="AC111" i="10"/>
  <c r="AC103" i="10"/>
  <c r="AC123" i="10"/>
  <c r="AC116" i="10"/>
  <c r="AC108" i="10"/>
  <c r="AC105" i="10"/>
  <c r="AC102" i="10"/>
  <c r="AC98" i="10"/>
  <c r="AC90" i="10"/>
  <c r="AC113" i="10"/>
  <c r="AC95" i="10"/>
  <c r="AC87" i="10"/>
  <c r="AC121" i="10"/>
  <c r="AC114" i="10"/>
  <c r="AC100" i="10"/>
  <c r="AC97" i="10"/>
  <c r="AC89" i="10"/>
  <c r="AC144" i="10"/>
  <c r="AC85" i="10"/>
  <c r="AC81" i="10"/>
  <c r="AC94" i="10"/>
  <c r="AC92" i="10"/>
  <c r="AC91" i="10"/>
  <c r="AC88" i="10"/>
  <c r="AC86" i="10"/>
  <c r="AC99" i="10"/>
  <c r="AC96" i="10"/>
  <c r="AC93" i="10"/>
  <c r="AC75" i="10"/>
  <c r="AC110" i="10"/>
  <c r="AC77" i="10"/>
  <c r="AC71" i="10"/>
  <c r="AC63" i="10"/>
  <c r="AC80" i="10"/>
  <c r="AC68" i="10"/>
  <c r="AC82" i="10"/>
  <c r="AC78" i="10"/>
  <c r="AC73" i="10"/>
  <c r="AC65" i="10"/>
  <c r="AC70" i="10"/>
  <c r="AC67" i="10"/>
  <c r="AC64" i="10"/>
  <c r="AC61" i="10"/>
  <c r="AC57" i="10"/>
  <c r="AC83" i="10"/>
  <c r="AC72" i="10"/>
  <c r="AC69" i="10"/>
  <c r="AC66" i="10"/>
  <c r="AC79" i="10"/>
  <c r="AC74" i="10"/>
  <c r="AC104" i="10"/>
  <c r="AC84" i="10"/>
  <c r="AC76" i="10"/>
  <c r="AC56" i="10"/>
  <c r="AC48" i="10"/>
  <c r="AC40" i="10"/>
  <c r="AC32" i="10"/>
  <c r="AC53" i="10"/>
  <c r="AC45" i="10"/>
  <c r="AC37" i="10"/>
  <c r="AC107" i="10"/>
  <c r="AC58" i="10"/>
  <c r="AC50" i="10"/>
  <c r="AC55" i="10"/>
  <c r="AC47" i="10"/>
  <c r="AC39" i="10"/>
  <c r="AC31" i="10"/>
  <c r="AC62" i="10"/>
  <c r="AC49" i="10"/>
  <c r="AC46" i="10"/>
  <c r="AC43" i="10"/>
  <c r="AC26" i="10"/>
  <c r="AC60" i="10"/>
  <c r="AC52" i="10"/>
  <c r="AC28" i="10"/>
  <c r="AC54" i="10"/>
  <c r="AC22" i="10"/>
  <c r="AC14" i="10"/>
  <c r="AC59" i="10"/>
  <c r="AC27" i="10"/>
  <c r="AC19" i="10"/>
  <c r="AC51" i="10"/>
  <c r="AC36" i="10"/>
  <c r="AC34" i="10"/>
  <c r="AC33" i="10"/>
  <c r="AC30" i="10"/>
  <c r="AC24" i="10"/>
  <c r="AC16" i="10"/>
  <c r="AC44" i="10"/>
  <c r="AC42" i="10"/>
  <c r="AC38" i="10"/>
  <c r="AC25" i="10"/>
  <c r="AC23" i="10"/>
  <c r="AC41" i="10"/>
  <c r="AC35" i="10"/>
  <c r="AC29" i="10"/>
  <c r="AC13" i="10"/>
  <c r="AC18" i="10"/>
  <c r="AC15" i="10"/>
  <c r="AC21" i="10"/>
  <c r="AC20" i="10"/>
  <c r="AC17" i="10"/>
  <c r="AR177" i="10"/>
  <c r="AR169" i="10"/>
  <c r="AR174" i="10"/>
  <c r="AR171" i="10"/>
  <c r="AR173" i="10"/>
  <c r="AR165" i="10"/>
  <c r="AR178" i="10"/>
  <c r="AR172" i="10"/>
  <c r="AR164" i="10"/>
  <c r="AR170" i="10"/>
  <c r="AR158" i="10"/>
  <c r="AR175" i="10"/>
  <c r="AR168" i="10"/>
  <c r="AR166" i="10"/>
  <c r="AR176" i="10"/>
  <c r="AR167" i="10"/>
  <c r="AR163" i="10"/>
  <c r="AR162" i="10"/>
  <c r="AR161" i="10"/>
  <c r="AR154" i="10"/>
  <c r="AR148" i="10"/>
  <c r="AR159" i="10"/>
  <c r="AR155" i="10"/>
  <c r="AR156" i="10"/>
  <c r="AR157" i="10"/>
  <c r="AR142" i="10"/>
  <c r="AR152" i="10"/>
  <c r="AR150" i="10"/>
  <c r="AR149" i="10"/>
  <c r="AR151" i="10"/>
  <c r="AR146" i="10"/>
  <c r="AR141" i="10"/>
  <c r="AR160" i="10"/>
  <c r="AR153" i="10"/>
  <c r="AR139" i="10"/>
  <c r="AR135" i="10"/>
  <c r="AR127" i="10"/>
  <c r="AR147" i="10"/>
  <c r="AR132" i="10"/>
  <c r="AR144" i="10"/>
  <c r="AR134" i="10"/>
  <c r="AR126" i="10"/>
  <c r="AR145" i="10"/>
  <c r="AR133" i="10"/>
  <c r="AR130" i="10"/>
  <c r="AR123" i="10"/>
  <c r="AR115" i="10"/>
  <c r="AR143" i="10"/>
  <c r="AR138" i="10"/>
  <c r="AR136" i="10"/>
  <c r="AR121" i="10"/>
  <c r="AR120" i="10"/>
  <c r="AR140" i="10"/>
  <c r="AR124" i="10"/>
  <c r="AR114" i="10"/>
  <c r="AR112" i="10"/>
  <c r="AR104" i="10"/>
  <c r="AR122" i="10"/>
  <c r="AR109" i="10"/>
  <c r="AR101" i="10"/>
  <c r="AR137" i="10"/>
  <c r="AR119" i="10"/>
  <c r="AR117" i="10"/>
  <c r="AR116" i="10"/>
  <c r="AR113" i="10"/>
  <c r="AR106" i="10"/>
  <c r="AR110" i="10"/>
  <c r="AR107" i="10"/>
  <c r="AR93" i="10"/>
  <c r="AR85" i="10"/>
  <c r="AR129" i="10"/>
  <c r="AR128" i="10"/>
  <c r="AR98" i="10"/>
  <c r="AR90" i="10"/>
  <c r="AR131" i="10"/>
  <c r="AR118" i="10"/>
  <c r="AR103" i="10"/>
  <c r="AR100" i="10"/>
  <c r="AR92" i="10"/>
  <c r="AR84" i="10"/>
  <c r="AR125" i="10"/>
  <c r="AR97" i="10"/>
  <c r="AR95" i="10"/>
  <c r="AR94" i="10"/>
  <c r="AR91" i="10"/>
  <c r="AR88" i="10"/>
  <c r="AR76" i="10"/>
  <c r="AR99" i="10"/>
  <c r="AR96" i="10"/>
  <c r="AR83" i="10"/>
  <c r="AR81" i="10"/>
  <c r="AR78" i="10"/>
  <c r="AR80" i="10"/>
  <c r="AR74" i="10"/>
  <c r="AR66" i="10"/>
  <c r="AR82" i="10"/>
  <c r="AR79" i="10"/>
  <c r="AR75" i="10"/>
  <c r="AR71" i="10"/>
  <c r="AR63" i="10"/>
  <c r="AR111" i="10"/>
  <c r="AR102" i="10"/>
  <c r="AR68" i="10"/>
  <c r="AR60" i="10"/>
  <c r="AR72" i="10"/>
  <c r="AR69" i="10"/>
  <c r="AR52" i="10"/>
  <c r="AR105" i="10"/>
  <c r="AR108" i="10"/>
  <c r="AR87" i="10"/>
  <c r="AR89" i="10"/>
  <c r="AR86" i="10"/>
  <c r="AR77" i="10"/>
  <c r="AR59" i="10"/>
  <c r="AR51" i="10"/>
  <c r="AR43" i="10"/>
  <c r="AR35" i="10"/>
  <c r="AR56" i="10"/>
  <c r="AR48" i="10"/>
  <c r="AR40" i="10"/>
  <c r="AR32" i="10"/>
  <c r="AR53" i="10"/>
  <c r="AR65" i="10"/>
  <c r="AR62" i="10"/>
  <c r="AR58" i="10"/>
  <c r="AR50" i="10"/>
  <c r="AR42" i="10"/>
  <c r="AR34" i="10"/>
  <c r="AR21" i="10"/>
  <c r="AR23" i="10"/>
  <c r="AR73" i="10"/>
  <c r="AR67" i="10"/>
  <c r="AR61" i="10"/>
  <c r="AR31" i="10"/>
  <c r="AR29" i="10"/>
  <c r="AR25" i="10"/>
  <c r="AR17" i="10"/>
  <c r="AR57" i="10"/>
  <c r="AR39" i="10"/>
  <c r="AR37" i="10"/>
  <c r="AR36" i="10"/>
  <c r="AR33" i="10"/>
  <c r="AR30" i="10"/>
  <c r="AR22" i="10"/>
  <c r="AR14" i="10"/>
  <c r="AR47" i="10"/>
  <c r="AR45" i="10"/>
  <c r="AR44" i="10"/>
  <c r="AR41" i="10"/>
  <c r="AR38" i="10"/>
  <c r="AR27" i="10"/>
  <c r="AR19" i="10"/>
  <c r="AR26" i="10"/>
  <c r="AR49" i="10"/>
  <c r="AR64" i="10"/>
  <c r="AR54" i="10"/>
  <c r="AR28" i="10"/>
  <c r="AR55" i="10"/>
  <c r="AR16" i="10"/>
  <c r="AR13" i="10"/>
  <c r="AR18" i="10"/>
  <c r="AR15" i="10"/>
  <c r="AR46" i="10"/>
  <c r="AR20" i="10"/>
  <c r="AR24" i="10"/>
  <c r="AR70" i="10"/>
  <c r="R175" i="10"/>
  <c r="R167" i="10"/>
  <c r="R172" i="10"/>
  <c r="R177" i="10"/>
  <c r="R169" i="10"/>
  <c r="R171" i="10"/>
  <c r="R176" i="10"/>
  <c r="R170" i="10"/>
  <c r="R162" i="10"/>
  <c r="R178" i="10"/>
  <c r="R168" i="10"/>
  <c r="R164" i="10"/>
  <c r="R173" i="10"/>
  <c r="R163" i="10"/>
  <c r="R174" i="10"/>
  <c r="R166" i="10"/>
  <c r="R156" i="10"/>
  <c r="R158" i="10"/>
  <c r="R165" i="10"/>
  <c r="R160" i="10"/>
  <c r="R159" i="10"/>
  <c r="R161" i="10"/>
  <c r="R157" i="10"/>
  <c r="R146" i="10"/>
  <c r="R151" i="10"/>
  <c r="R153" i="10"/>
  <c r="R154" i="10"/>
  <c r="R140" i="10"/>
  <c r="R150" i="10"/>
  <c r="R142" i="10"/>
  <c r="R152" i="10"/>
  <c r="R149" i="10"/>
  <c r="R144" i="10"/>
  <c r="R147" i="10"/>
  <c r="R145" i="10"/>
  <c r="R137" i="10"/>
  <c r="R133" i="10"/>
  <c r="R125" i="10"/>
  <c r="R130" i="10"/>
  <c r="R155" i="10"/>
  <c r="R132" i="10"/>
  <c r="R143" i="10"/>
  <c r="R135" i="10"/>
  <c r="R134" i="10"/>
  <c r="R131" i="10"/>
  <c r="R128" i="10"/>
  <c r="R121" i="10"/>
  <c r="R113" i="10"/>
  <c r="R136" i="10"/>
  <c r="R118" i="10"/>
  <c r="R122" i="10"/>
  <c r="R120" i="10"/>
  <c r="R112" i="10"/>
  <c r="R138" i="10"/>
  <c r="R123" i="10"/>
  <c r="R139" i="10"/>
  <c r="R148" i="10"/>
  <c r="R141" i="10"/>
  <c r="R110" i="10"/>
  <c r="R102" i="10"/>
  <c r="R126" i="10"/>
  <c r="R107" i="10"/>
  <c r="R117" i="10"/>
  <c r="R115" i="10"/>
  <c r="R104" i="10"/>
  <c r="R129" i="10"/>
  <c r="R124" i="10"/>
  <c r="R111" i="10"/>
  <c r="R108" i="10"/>
  <c r="R105" i="10"/>
  <c r="R100" i="10"/>
  <c r="R116" i="10"/>
  <c r="R99" i="10"/>
  <c r="R91" i="10"/>
  <c r="R96" i="10"/>
  <c r="R88" i="10"/>
  <c r="R101" i="10"/>
  <c r="R98" i="10"/>
  <c r="R90" i="10"/>
  <c r="R95" i="10"/>
  <c r="R93" i="10"/>
  <c r="R92" i="10"/>
  <c r="R89" i="10"/>
  <c r="R85" i="10"/>
  <c r="R82" i="10"/>
  <c r="R127" i="10"/>
  <c r="R114" i="10"/>
  <c r="R106" i="10"/>
  <c r="R97" i="10"/>
  <c r="R94" i="10"/>
  <c r="R86" i="10"/>
  <c r="R76" i="10"/>
  <c r="R119" i="10"/>
  <c r="R103" i="10"/>
  <c r="R81" i="10"/>
  <c r="R72" i="10"/>
  <c r="R64" i="10"/>
  <c r="R87" i="10"/>
  <c r="R84" i="10"/>
  <c r="R83" i="10"/>
  <c r="R80" i="10"/>
  <c r="R77" i="10"/>
  <c r="R69" i="10"/>
  <c r="R61" i="10"/>
  <c r="R78" i="10"/>
  <c r="R74" i="10"/>
  <c r="R66" i="10"/>
  <c r="R73" i="10"/>
  <c r="R70" i="10"/>
  <c r="R67" i="10"/>
  <c r="R58" i="10"/>
  <c r="R109" i="10"/>
  <c r="R75" i="10"/>
  <c r="R60" i="10"/>
  <c r="R57" i="10"/>
  <c r="R49" i="10"/>
  <c r="R41" i="10"/>
  <c r="R33" i="10"/>
  <c r="R54" i="10"/>
  <c r="R46" i="10"/>
  <c r="R38" i="10"/>
  <c r="R30" i="10"/>
  <c r="R59" i="10"/>
  <c r="R51" i="10"/>
  <c r="R63" i="10"/>
  <c r="R56" i="10"/>
  <c r="R48" i="10"/>
  <c r="R40" i="10"/>
  <c r="R32" i="10"/>
  <c r="R27" i="10"/>
  <c r="R79" i="10"/>
  <c r="R68" i="10"/>
  <c r="R62" i="10"/>
  <c r="R29" i="10"/>
  <c r="R23" i="10"/>
  <c r="R15" i="10"/>
  <c r="R71" i="10"/>
  <c r="R65" i="10"/>
  <c r="R55" i="10"/>
  <c r="R37" i="10"/>
  <c r="R35" i="10"/>
  <c r="R34" i="10"/>
  <c r="R31" i="10"/>
  <c r="R28" i="10"/>
  <c r="R20" i="10"/>
  <c r="R45" i="10"/>
  <c r="R43" i="10"/>
  <c r="R42" i="10"/>
  <c r="R39" i="10"/>
  <c r="R36" i="10"/>
  <c r="R25" i="10"/>
  <c r="R17" i="10"/>
  <c r="R24" i="10"/>
  <c r="R26" i="10"/>
  <c r="R50" i="10"/>
  <c r="R44" i="10"/>
  <c r="R14" i="10"/>
  <c r="R52" i="10"/>
  <c r="R19" i="10"/>
  <c r="R16" i="10"/>
  <c r="R13" i="10"/>
  <c r="R53" i="10"/>
  <c r="R21" i="10"/>
  <c r="R18" i="10"/>
  <c r="R22" i="10"/>
  <c r="R47" i="10"/>
  <c r="E174" i="10"/>
  <c r="E166" i="10"/>
  <c r="E171" i="10"/>
  <c r="E176" i="10"/>
  <c r="E168" i="10"/>
  <c r="E178" i="10"/>
  <c r="E170" i="10"/>
  <c r="E169" i="10"/>
  <c r="E161" i="10"/>
  <c r="E177" i="10"/>
  <c r="E167" i="10"/>
  <c r="E163" i="10"/>
  <c r="E172" i="10"/>
  <c r="E162" i="10"/>
  <c r="E173" i="10"/>
  <c r="E155" i="10"/>
  <c r="E157" i="10"/>
  <c r="E156" i="10"/>
  <c r="E153" i="10"/>
  <c r="E145" i="10"/>
  <c r="E164" i="10"/>
  <c r="E159" i="10"/>
  <c r="E150" i="10"/>
  <c r="E175" i="10"/>
  <c r="E165" i="10"/>
  <c r="E152" i="10"/>
  <c r="E147" i="10"/>
  <c r="E139" i="10"/>
  <c r="E149" i="10"/>
  <c r="E151" i="10"/>
  <c r="E160" i="10"/>
  <c r="E146" i="10"/>
  <c r="E132" i="10"/>
  <c r="E124" i="10"/>
  <c r="E129" i="10"/>
  <c r="E158" i="10"/>
  <c r="E143" i="10"/>
  <c r="E131" i="10"/>
  <c r="E144" i="10"/>
  <c r="E142" i="10"/>
  <c r="E136" i="10"/>
  <c r="E134" i="10"/>
  <c r="E133" i="10"/>
  <c r="E130" i="10"/>
  <c r="E127" i="10"/>
  <c r="E120" i="10"/>
  <c r="E135" i="10"/>
  <c r="E117" i="10"/>
  <c r="E154" i="10"/>
  <c r="E137" i="10"/>
  <c r="E119" i="10"/>
  <c r="E140" i="10"/>
  <c r="E128" i="10"/>
  <c r="E126" i="10"/>
  <c r="E138" i="10"/>
  <c r="E109" i="10"/>
  <c r="E101" i="10"/>
  <c r="E148" i="10"/>
  <c r="E141" i="10"/>
  <c r="E114" i="10"/>
  <c r="E106" i="10"/>
  <c r="E123" i="10"/>
  <c r="E116" i="10"/>
  <c r="E111" i="10"/>
  <c r="E103" i="10"/>
  <c r="E125" i="10"/>
  <c r="E122" i="10"/>
  <c r="E113" i="10"/>
  <c r="E110" i="10"/>
  <c r="E107" i="10"/>
  <c r="E104" i="10"/>
  <c r="E98" i="10"/>
  <c r="E90" i="10"/>
  <c r="E95" i="10"/>
  <c r="E87" i="10"/>
  <c r="E100" i="10"/>
  <c r="E118" i="10"/>
  <c r="E97" i="10"/>
  <c r="E89" i="10"/>
  <c r="E108" i="10"/>
  <c r="E102" i="10"/>
  <c r="E121" i="10"/>
  <c r="E105" i="10"/>
  <c r="E94" i="10"/>
  <c r="E92" i="10"/>
  <c r="E91" i="10"/>
  <c r="E88" i="10"/>
  <c r="E84" i="10"/>
  <c r="E81" i="10"/>
  <c r="E99" i="10"/>
  <c r="E96" i="10"/>
  <c r="E93" i="10"/>
  <c r="E85" i="10"/>
  <c r="E83" i="10"/>
  <c r="E80" i="10"/>
  <c r="E71" i="10"/>
  <c r="E63" i="10"/>
  <c r="E112" i="10"/>
  <c r="E82" i="10"/>
  <c r="E76" i="10"/>
  <c r="E68" i="10"/>
  <c r="E77" i="10"/>
  <c r="E73" i="10"/>
  <c r="E65" i="10"/>
  <c r="E75" i="10"/>
  <c r="E72" i="10"/>
  <c r="E69" i="10"/>
  <c r="E66" i="10"/>
  <c r="E61" i="10"/>
  <c r="E57" i="10"/>
  <c r="E74" i="10"/>
  <c r="E56" i="10"/>
  <c r="E48" i="10"/>
  <c r="E40" i="10"/>
  <c r="E32" i="10"/>
  <c r="E86" i="10"/>
  <c r="E53" i="10"/>
  <c r="E45" i="10"/>
  <c r="E37" i="10"/>
  <c r="E78" i="10"/>
  <c r="E58" i="10"/>
  <c r="E115" i="10"/>
  <c r="E79" i="10"/>
  <c r="E62" i="10"/>
  <c r="E55" i="10"/>
  <c r="E47" i="10"/>
  <c r="E39" i="10"/>
  <c r="E31" i="10"/>
  <c r="E26" i="10"/>
  <c r="E70" i="10"/>
  <c r="E64" i="10"/>
  <c r="E28" i="10"/>
  <c r="E22" i="10"/>
  <c r="E14" i="10"/>
  <c r="E60" i="10"/>
  <c r="E54" i="10"/>
  <c r="E36" i="10"/>
  <c r="E34" i="10"/>
  <c r="E33" i="10"/>
  <c r="E30" i="10"/>
  <c r="E27" i="10"/>
  <c r="E19" i="10"/>
  <c r="E67" i="10"/>
  <c r="E59" i="10"/>
  <c r="E44" i="10"/>
  <c r="E42" i="10"/>
  <c r="E41" i="10"/>
  <c r="E38" i="10"/>
  <c r="E35" i="10"/>
  <c r="E24" i="10"/>
  <c r="E16" i="10"/>
  <c r="E23" i="10"/>
  <c r="E49" i="10"/>
  <c r="E43" i="10"/>
  <c r="E25" i="10"/>
  <c r="E13" i="10"/>
  <c r="E21" i="10"/>
  <c r="E18" i="10"/>
  <c r="E15" i="10"/>
  <c r="E51" i="10"/>
  <c r="E29" i="10"/>
  <c r="E20" i="10"/>
  <c r="E17" i="10"/>
  <c r="E52" i="10"/>
  <c r="E50" i="10"/>
  <c r="E46" i="10"/>
  <c r="K8" i="10"/>
  <c r="K9" i="10" s="1"/>
  <c r="K7" i="10"/>
  <c r="AI8" i="10"/>
  <c r="AI7" i="10"/>
  <c r="P8" i="10"/>
  <c r="P7" i="10"/>
  <c r="G176" i="10"/>
  <c r="G168" i="10"/>
  <c r="G173" i="10"/>
  <c r="G178" i="10"/>
  <c r="G170" i="10"/>
  <c r="G172" i="10"/>
  <c r="G166" i="10"/>
  <c r="G163" i="10"/>
  <c r="G165" i="10"/>
  <c r="G175" i="10"/>
  <c r="G164" i="10"/>
  <c r="G177" i="10"/>
  <c r="G157" i="10"/>
  <c r="G169" i="10"/>
  <c r="G174" i="10"/>
  <c r="G160" i="10"/>
  <c r="G167" i="10"/>
  <c r="G161" i="10"/>
  <c r="G162" i="10"/>
  <c r="G159" i="10"/>
  <c r="G154" i="10"/>
  <c r="G147" i="10"/>
  <c r="G152" i="10"/>
  <c r="G158" i="10"/>
  <c r="G145" i="10"/>
  <c r="G141" i="10"/>
  <c r="G156" i="10"/>
  <c r="G155" i="10"/>
  <c r="G153" i="10"/>
  <c r="G150" i="10"/>
  <c r="G143" i="10"/>
  <c r="G146" i="10"/>
  <c r="G171" i="10"/>
  <c r="G148" i="10"/>
  <c r="G134" i="10"/>
  <c r="G126" i="10"/>
  <c r="G139" i="10"/>
  <c r="G131" i="10"/>
  <c r="G144" i="10"/>
  <c r="G133" i="10"/>
  <c r="G125" i="10"/>
  <c r="G140" i="10"/>
  <c r="G123" i="10"/>
  <c r="G114" i="10"/>
  <c r="G137" i="10"/>
  <c r="G119" i="10"/>
  <c r="G149" i="10"/>
  <c r="G142" i="10"/>
  <c r="G121" i="10"/>
  <c r="G113" i="10"/>
  <c r="G136" i="10"/>
  <c r="G135" i="10"/>
  <c r="G151" i="10"/>
  <c r="G138" i="10"/>
  <c r="G132" i="10"/>
  <c r="G111" i="10"/>
  <c r="G103" i="10"/>
  <c r="G127" i="10"/>
  <c r="G118" i="10"/>
  <c r="G116" i="10"/>
  <c r="G115" i="10"/>
  <c r="G108" i="10"/>
  <c r="G129" i="10"/>
  <c r="G120" i="10"/>
  <c r="G117" i="10"/>
  <c r="G105" i="10"/>
  <c r="G100" i="10"/>
  <c r="G92" i="10"/>
  <c r="G84" i="10"/>
  <c r="G97" i="10"/>
  <c r="G89" i="10"/>
  <c r="G102" i="10"/>
  <c r="G110" i="10"/>
  <c r="G107" i="10"/>
  <c r="G104" i="10"/>
  <c r="G101" i="10"/>
  <c r="G99" i="10"/>
  <c r="G91" i="10"/>
  <c r="G124" i="10"/>
  <c r="G112" i="10"/>
  <c r="G106" i="10"/>
  <c r="G88" i="10"/>
  <c r="G109" i="10"/>
  <c r="G98" i="10"/>
  <c r="G95" i="10"/>
  <c r="G85" i="10"/>
  <c r="G83" i="10"/>
  <c r="G80" i="10"/>
  <c r="G130" i="10"/>
  <c r="G86" i="10"/>
  <c r="G77" i="10"/>
  <c r="G96" i="10"/>
  <c r="G94" i="10"/>
  <c r="G90" i="10"/>
  <c r="G81" i="10"/>
  <c r="G73" i="10"/>
  <c r="G65" i="10"/>
  <c r="G70" i="10"/>
  <c r="G62" i="10"/>
  <c r="G75" i="10"/>
  <c r="G67" i="10"/>
  <c r="G87" i="10"/>
  <c r="G59" i="10"/>
  <c r="G51" i="10"/>
  <c r="G93" i="10"/>
  <c r="G58" i="10"/>
  <c r="G50" i="10"/>
  <c r="G42" i="10"/>
  <c r="G34" i="10"/>
  <c r="G128" i="10"/>
  <c r="G79" i="10"/>
  <c r="G78" i="10"/>
  <c r="G55" i="10"/>
  <c r="G47" i="10"/>
  <c r="G39" i="10"/>
  <c r="G31" i="10"/>
  <c r="G76" i="10"/>
  <c r="G64" i="10"/>
  <c r="G60" i="10"/>
  <c r="G52" i="10"/>
  <c r="G82" i="10"/>
  <c r="G72" i="10"/>
  <c r="G69" i="10"/>
  <c r="G66" i="10"/>
  <c r="G63" i="10"/>
  <c r="G61" i="10"/>
  <c r="G57" i="10"/>
  <c r="G49" i="10"/>
  <c r="G41" i="10"/>
  <c r="G33" i="10"/>
  <c r="G122" i="10"/>
  <c r="G53" i="10"/>
  <c r="G28" i="10"/>
  <c r="G74" i="10"/>
  <c r="G68" i="10"/>
  <c r="G22" i="10"/>
  <c r="G54" i="10"/>
  <c r="G38" i="10"/>
  <c r="G36" i="10"/>
  <c r="G35" i="10"/>
  <c r="G32" i="10"/>
  <c r="G24" i="10"/>
  <c r="G16" i="10"/>
  <c r="G46" i="10"/>
  <c r="G44" i="10"/>
  <c r="G43" i="10"/>
  <c r="G40" i="10"/>
  <c r="G37" i="10"/>
  <c r="G29" i="10"/>
  <c r="G21" i="10"/>
  <c r="G13" i="10"/>
  <c r="G71" i="10"/>
  <c r="G56" i="10"/>
  <c r="G48" i="10"/>
  <c r="G45" i="10"/>
  <c r="G26" i="10"/>
  <c r="G18" i="10"/>
  <c r="G25" i="10"/>
  <c r="G15" i="10"/>
  <c r="G27" i="10"/>
  <c r="G20" i="10"/>
  <c r="G17" i="10"/>
  <c r="G14" i="10"/>
  <c r="G23" i="10"/>
  <c r="G19" i="10"/>
  <c r="G30" i="10"/>
  <c r="AQ8" i="10"/>
  <c r="AQ9" i="10" s="1"/>
  <c r="AQ7" i="10"/>
  <c r="C8" i="10"/>
  <c r="C9" i="10" s="1"/>
  <c r="C7" i="10"/>
  <c r="AJ177" i="10"/>
  <c r="AJ169" i="10"/>
  <c r="AJ174" i="10"/>
  <c r="AJ171" i="10"/>
  <c r="AJ173" i="10"/>
  <c r="AJ165" i="10"/>
  <c r="AJ164" i="10"/>
  <c r="AJ178" i="10"/>
  <c r="AJ167" i="10"/>
  <c r="AJ168" i="10"/>
  <c r="AJ158" i="10"/>
  <c r="AJ166" i="10"/>
  <c r="AJ163" i="10"/>
  <c r="AJ162" i="10"/>
  <c r="AJ161" i="10"/>
  <c r="AJ176" i="10"/>
  <c r="AJ172" i="10"/>
  <c r="AJ160" i="10"/>
  <c r="AJ170" i="10"/>
  <c r="AJ148" i="10"/>
  <c r="AJ175" i="10"/>
  <c r="AJ156" i="10"/>
  <c r="AJ151" i="10"/>
  <c r="AJ143" i="10"/>
  <c r="AJ142" i="10"/>
  <c r="AJ159" i="10"/>
  <c r="AJ146" i="10"/>
  <c r="AJ144" i="10"/>
  <c r="AJ141" i="10"/>
  <c r="AJ155" i="10"/>
  <c r="AJ147" i="10"/>
  <c r="AJ145" i="10"/>
  <c r="AJ135" i="10"/>
  <c r="AJ127" i="10"/>
  <c r="AJ152" i="10"/>
  <c r="AJ150" i="10"/>
  <c r="AJ149" i="10"/>
  <c r="AJ137" i="10"/>
  <c r="AJ132" i="10"/>
  <c r="AJ140" i="10"/>
  <c r="AJ134" i="10"/>
  <c r="AJ126" i="10"/>
  <c r="AJ154" i="10"/>
  <c r="AJ121" i="10"/>
  <c r="AJ115" i="10"/>
  <c r="AJ120" i="10"/>
  <c r="AJ139" i="10"/>
  <c r="AJ114" i="10"/>
  <c r="AJ138" i="10"/>
  <c r="AJ157" i="10"/>
  <c r="AJ118" i="10"/>
  <c r="AJ113" i="10"/>
  <c r="AJ104" i="10"/>
  <c r="AJ128" i="10"/>
  <c r="AJ109" i="10"/>
  <c r="AJ101" i="10"/>
  <c r="AJ136" i="10"/>
  <c r="AJ133" i="10"/>
  <c r="AJ130" i="10"/>
  <c r="AJ123" i="10"/>
  <c r="AJ106" i="10"/>
  <c r="AJ125" i="10"/>
  <c r="AJ119" i="10"/>
  <c r="AJ117" i="10"/>
  <c r="AJ103" i="10"/>
  <c r="AJ93" i="10"/>
  <c r="AJ85" i="10"/>
  <c r="AJ124" i="10"/>
  <c r="AJ111" i="10"/>
  <c r="AJ108" i="10"/>
  <c r="AJ105" i="10"/>
  <c r="AJ102" i="10"/>
  <c r="AJ98" i="10"/>
  <c r="AJ90" i="10"/>
  <c r="AJ129" i="10"/>
  <c r="AJ110" i="10"/>
  <c r="AJ107" i="10"/>
  <c r="AJ131" i="10"/>
  <c r="AJ100" i="10"/>
  <c r="AJ92" i="10"/>
  <c r="AJ84" i="10"/>
  <c r="AJ89" i="10"/>
  <c r="AJ87" i="10"/>
  <c r="AJ86" i="10"/>
  <c r="AJ153" i="10"/>
  <c r="AJ99" i="10"/>
  <c r="AJ96" i="10"/>
  <c r="AJ76" i="10"/>
  <c r="AJ122" i="10"/>
  <c r="AJ81" i="10"/>
  <c r="AJ78" i="10"/>
  <c r="AJ74" i="10"/>
  <c r="AJ66" i="10"/>
  <c r="AJ94" i="10"/>
  <c r="AJ88" i="10"/>
  <c r="AJ83" i="10"/>
  <c r="AJ71" i="10"/>
  <c r="AJ63" i="10"/>
  <c r="AJ68" i="10"/>
  <c r="AJ79" i="10"/>
  <c r="AJ60" i="10"/>
  <c r="AJ52" i="10"/>
  <c r="AJ95" i="10"/>
  <c r="AJ112" i="10"/>
  <c r="AJ80" i="10"/>
  <c r="AJ82" i="10"/>
  <c r="AJ65" i="10"/>
  <c r="AJ62" i="10"/>
  <c r="AJ59" i="10"/>
  <c r="AJ51" i="10"/>
  <c r="AJ43" i="10"/>
  <c r="AJ35" i="10"/>
  <c r="AJ116" i="10"/>
  <c r="AJ73" i="10"/>
  <c r="AJ70" i="10"/>
  <c r="AJ67" i="10"/>
  <c r="AJ64" i="10"/>
  <c r="AJ61" i="10"/>
  <c r="AJ56" i="10"/>
  <c r="AJ48" i="10"/>
  <c r="AJ40" i="10"/>
  <c r="AJ32" i="10"/>
  <c r="AJ97" i="10"/>
  <c r="AJ72" i="10"/>
  <c r="AJ69" i="10"/>
  <c r="AJ53" i="10"/>
  <c r="AJ91" i="10"/>
  <c r="AJ77" i="10"/>
  <c r="AJ58" i="10"/>
  <c r="AJ50" i="10"/>
  <c r="AJ42" i="10"/>
  <c r="AJ34" i="10"/>
  <c r="AJ57" i="10"/>
  <c r="AJ21" i="10"/>
  <c r="AJ54" i="10"/>
  <c r="AJ39" i="10"/>
  <c r="AJ37" i="10"/>
  <c r="AJ36" i="10"/>
  <c r="AJ33" i="10"/>
  <c r="AJ30" i="10"/>
  <c r="AJ29" i="10"/>
  <c r="AJ23" i="10"/>
  <c r="AJ75" i="10"/>
  <c r="AJ49" i="10"/>
  <c r="AJ46" i="10"/>
  <c r="AJ25" i="10"/>
  <c r="AJ17" i="10"/>
  <c r="AJ22" i="10"/>
  <c r="AJ14" i="10"/>
  <c r="AJ55" i="10"/>
  <c r="AJ27" i="10"/>
  <c r="AJ19" i="10"/>
  <c r="AJ16" i="10"/>
  <c r="AJ13" i="10"/>
  <c r="AJ24" i="10"/>
  <c r="AJ18" i="10"/>
  <c r="AJ15" i="10"/>
  <c r="AJ31" i="10"/>
  <c r="AJ20" i="10"/>
  <c r="AJ47" i="10"/>
  <c r="AJ45" i="10"/>
  <c r="AJ41" i="10"/>
  <c r="AJ26" i="10"/>
  <c r="AJ28" i="10"/>
  <c r="AJ44" i="10"/>
  <c r="AJ38" i="10"/>
  <c r="AM176" i="10"/>
  <c r="AM168" i="10"/>
  <c r="AM173" i="10"/>
  <c r="AM178" i="10"/>
  <c r="AM170" i="10"/>
  <c r="AM172" i="10"/>
  <c r="AM163" i="10"/>
  <c r="AM177" i="10"/>
  <c r="AM175" i="10"/>
  <c r="AM164" i="10"/>
  <c r="AM162" i="10"/>
  <c r="AM161" i="10"/>
  <c r="AM157" i="10"/>
  <c r="AM169" i="10"/>
  <c r="AM174" i="10"/>
  <c r="AM160" i="10"/>
  <c r="AM167" i="10"/>
  <c r="AM158" i="10"/>
  <c r="AM147" i="10"/>
  <c r="AM153" i="10"/>
  <c r="AM152" i="10"/>
  <c r="AM165" i="10"/>
  <c r="AM159" i="10"/>
  <c r="AM144" i="10"/>
  <c r="AM141" i="10"/>
  <c r="AM171" i="10"/>
  <c r="AM156" i="10"/>
  <c r="AM155" i="10"/>
  <c r="AM154" i="10"/>
  <c r="AM140" i="10"/>
  <c r="AM151" i="10"/>
  <c r="AM149" i="10"/>
  <c r="AM148" i="10"/>
  <c r="AM143" i="10"/>
  <c r="AM142" i="10"/>
  <c r="AM150" i="10"/>
  <c r="AM134" i="10"/>
  <c r="AM126" i="10"/>
  <c r="AM146" i="10"/>
  <c r="AM138" i="10"/>
  <c r="AM131" i="10"/>
  <c r="AM136" i="10"/>
  <c r="AM133" i="10"/>
  <c r="AM125" i="10"/>
  <c r="AM166" i="10"/>
  <c r="AM139" i="10"/>
  <c r="AM137" i="10"/>
  <c r="AM124" i="10"/>
  <c r="AM114" i="10"/>
  <c r="AM122" i="10"/>
  <c r="AM119" i="10"/>
  <c r="AM135" i="10"/>
  <c r="AM132" i="10"/>
  <c r="AM129" i="10"/>
  <c r="AM113" i="10"/>
  <c r="AM127" i="10"/>
  <c r="AM145" i="10"/>
  <c r="AM120" i="10"/>
  <c r="AM117" i="10"/>
  <c r="AM130" i="10"/>
  <c r="AM128" i="10"/>
  <c r="AM121" i="10"/>
  <c r="AM111" i="10"/>
  <c r="AM103" i="10"/>
  <c r="AM108" i="10"/>
  <c r="AM105" i="10"/>
  <c r="AM109" i="10"/>
  <c r="AM106" i="10"/>
  <c r="AM100" i="10"/>
  <c r="AM92" i="10"/>
  <c r="AM84" i="10"/>
  <c r="AM97" i="10"/>
  <c r="AM89" i="10"/>
  <c r="AM123" i="10"/>
  <c r="AM118" i="10"/>
  <c r="AM116" i="10"/>
  <c r="AM99" i="10"/>
  <c r="AM91" i="10"/>
  <c r="AM83" i="10"/>
  <c r="AM102" i="10"/>
  <c r="AM98" i="10"/>
  <c r="AM95" i="10"/>
  <c r="AM112" i="10"/>
  <c r="AM115" i="10"/>
  <c r="AM85" i="10"/>
  <c r="AM75" i="10"/>
  <c r="AM107" i="10"/>
  <c r="AM101" i="10"/>
  <c r="AM80" i="10"/>
  <c r="AM88" i="10"/>
  <c r="AM86" i="10"/>
  <c r="AM77" i="10"/>
  <c r="AM96" i="10"/>
  <c r="AM94" i="10"/>
  <c r="AM90" i="10"/>
  <c r="AM73" i="10"/>
  <c r="AM65" i="10"/>
  <c r="AM70" i="10"/>
  <c r="AM62" i="10"/>
  <c r="AM104" i="10"/>
  <c r="AM67" i="10"/>
  <c r="AM82" i="10"/>
  <c r="AM59" i="10"/>
  <c r="AM51" i="10"/>
  <c r="AM64" i="10"/>
  <c r="AM61" i="10"/>
  <c r="AM72" i="10"/>
  <c r="AM69" i="10"/>
  <c r="AM66" i="10"/>
  <c r="AM63" i="10"/>
  <c r="AM87" i="10"/>
  <c r="AM74" i="10"/>
  <c r="AM71" i="10"/>
  <c r="AM68" i="10"/>
  <c r="AM58" i="10"/>
  <c r="AM50" i="10"/>
  <c r="AM42" i="10"/>
  <c r="AM34" i="10"/>
  <c r="AM55" i="10"/>
  <c r="AM47" i="10"/>
  <c r="AM39" i="10"/>
  <c r="AM31" i="10"/>
  <c r="AM81" i="10"/>
  <c r="AM79" i="10"/>
  <c r="AM78" i="10"/>
  <c r="AM60" i="10"/>
  <c r="AM52" i="10"/>
  <c r="AM110" i="10"/>
  <c r="AM93" i="10"/>
  <c r="AM76" i="10"/>
  <c r="AM57" i="10"/>
  <c r="AM49" i="10"/>
  <c r="AM41" i="10"/>
  <c r="AM33" i="10"/>
  <c r="AM54" i="10"/>
  <c r="AM38" i="10"/>
  <c r="AM36" i="10"/>
  <c r="AM35" i="10"/>
  <c r="AM32" i="10"/>
  <c r="AM29" i="10"/>
  <c r="AM28" i="10"/>
  <c r="AM56" i="10"/>
  <c r="AM48" i="10"/>
  <c r="AM45" i="10"/>
  <c r="AM22" i="10"/>
  <c r="AM53" i="10"/>
  <c r="AM24" i="10"/>
  <c r="AM16" i="10"/>
  <c r="AM21" i="10"/>
  <c r="AM13" i="10"/>
  <c r="AM26" i="10"/>
  <c r="AM18" i="10"/>
  <c r="AM19" i="10"/>
  <c r="AM43" i="10"/>
  <c r="AM37" i="10"/>
  <c r="AM23" i="10"/>
  <c r="AM27" i="10"/>
  <c r="AM30" i="10"/>
  <c r="AM25" i="10"/>
  <c r="AM46" i="10"/>
  <c r="AM44" i="10"/>
  <c r="AM40" i="10"/>
  <c r="AM15" i="10"/>
  <c r="AM20" i="10"/>
  <c r="AM17" i="10"/>
  <c r="AM14" i="10"/>
  <c r="AP175" i="10"/>
  <c r="AP167" i="10"/>
  <c r="AP172" i="10"/>
  <c r="AP177" i="10"/>
  <c r="AP169" i="10"/>
  <c r="AP171" i="10"/>
  <c r="AP162" i="10"/>
  <c r="AP166" i="10"/>
  <c r="AP165" i="10"/>
  <c r="AP164" i="10"/>
  <c r="AP174" i="10"/>
  <c r="AP163" i="10"/>
  <c r="AP178" i="10"/>
  <c r="AP156" i="10"/>
  <c r="AP158" i="10"/>
  <c r="AP176" i="10"/>
  <c r="AP170" i="10"/>
  <c r="AP146" i="10"/>
  <c r="AP168" i="10"/>
  <c r="AP151" i="10"/>
  <c r="AP140" i="10"/>
  <c r="AP161" i="10"/>
  <c r="AP157" i="10"/>
  <c r="AP154" i="10"/>
  <c r="AP143" i="10"/>
  <c r="AP142" i="10"/>
  <c r="AP150" i="10"/>
  <c r="AP148" i="10"/>
  <c r="AP160" i="10"/>
  <c r="AP153" i="10"/>
  <c r="AP141" i="10"/>
  <c r="AP136" i="10"/>
  <c r="AP133" i="10"/>
  <c r="AP125" i="10"/>
  <c r="AP130" i="10"/>
  <c r="AP173" i="10"/>
  <c r="AP137" i="10"/>
  <c r="AP132" i="10"/>
  <c r="AP155" i="10"/>
  <c r="AP149" i="10"/>
  <c r="AP129" i="10"/>
  <c r="AP127" i="10"/>
  <c r="AP126" i="10"/>
  <c r="AP113" i="10"/>
  <c r="AP135" i="10"/>
  <c r="AP134" i="10"/>
  <c r="AP131" i="10"/>
  <c r="AP128" i="10"/>
  <c r="AP118" i="10"/>
  <c r="AP147" i="10"/>
  <c r="AP144" i="10"/>
  <c r="AP138" i="10"/>
  <c r="AP121" i="10"/>
  <c r="AP120" i="10"/>
  <c r="AP112" i="10"/>
  <c r="AP145" i="10"/>
  <c r="AP119" i="10"/>
  <c r="AP116" i="10"/>
  <c r="AP123" i="10"/>
  <c r="AP152" i="10"/>
  <c r="AP139" i="10"/>
  <c r="AP110" i="10"/>
  <c r="AP102" i="10"/>
  <c r="AP107" i="10"/>
  <c r="AP124" i="10"/>
  <c r="AP122" i="10"/>
  <c r="AP104" i="10"/>
  <c r="AP159" i="10"/>
  <c r="AP109" i="10"/>
  <c r="AP106" i="10"/>
  <c r="AP103" i="10"/>
  <c r="AP100" i="10"/>
  <c r="AP99" i="10"/>
  <c r="AP91" i="10"/>
  <c r="AP83" i="10"/>
  <c r="AP96" i="10"/>
  <c r="AP88" i="10"/>
  <c r="AP114" i="10"/>
  <c r="AP98" i="10"/>
  <c r="AP90" i="10"/>
  <c r="AP108" i="10"/>
  <c r="AP117" i="10"/>
  <c r="AP111" i="10"/>
  <c r="AP105" i="10"/>
  <c r="AP87" i="10"/>
  <c r="AP82" i="10"/>
  <c r="AP95" i="10"/>
  <c r="AP93" i="10"/>
  <c r="AP92" i="10"/>
  <c r="AP89" i="10"/>
  <c r="AP86" i="10"/>
  <c r="AP97" i="10"/>
  <c r="AP94" i="10"/>
  <c r="AP76" i="10"/>
  <c r="AP115" i="10"/>
  <c r="AP78" i="10"/>
  <c r="AP72" i="10"/>
  <c r="AP64" i="10"/>
  <c r="AP81" i="10"/>
  <c r="AP69" i="10"/>
  <c r="AP61" i="10"/>
  <c r="AP80" i="10"/>
  <c r="AP79" i="10"/>
  <c r="AP74" i="10"/>
  <c r="AP66" i="10"/>
  <c r="AP71" i="10"/>
  <c r="AP68" i="10"/>
  <c r="AP65" i="10"/>
  <c r="AP62" i="10"/>
  <c r="AP58" i="10"/>
  <c r="AP50" i="10"/>
  <c r="AP85" i="10"/>
  <c r="AP73" i="10"/>
  <c r="AP70" i="10"/>
  <c r="AP67" i="10"/>
  <c r="AP101" i="10"/>
  <c r="AP60" i="10"/>
  <c r="AP75" i="10"/>
  <c r="AP57" i="10"/>
  <c r="AP49" i="10"/>
  <c r="AP41" i="10"/>
  <c r="AP33" i="10"/>
  <c r="AP54" i="10"/>
  <c r="AP46" i="10"/>
  <c r="AP38" i="10"/>
  <c r="AP30" i="10"/>
  <c r="AP77" i="10"/>
  <c r="AP59" i="10"/>
  <c r="AP51" i="10"/>
  <c r="AP56" i="10"/>
  <c r="AP48" i="10"/>
  <c r="AP40" i="10"/>
  <c r="AP32" i="10"/>
  <c r="AP47" i="10"/>
  <c r="AP44" i="10"/>
  <c r="AP27" i="10"/>
  <c r="AP53" i="10"/>
  <c r="AP21" i="10"/>
  <c r="AP63" i="10"/>
  <c r="AP84" i="10"/>
  <c r="AP55" i="10"/>
  <c r="AP23" i="10"/>
  <c r="AP15" i="10"/>
  <c r="AP29" i="10"/>
  <c r="AP28" i="10"/>
  <c r="AP20" i="10"/>
  <c r="AP52" i="10"/>
  <c r="AP37" i="10"/>
  <c r="AP35" i="10"/>
  <c r="AP34" i="10"/>
  <c r="AP31" i="10"/>
  <c r="AP25" i="10"/>
  <c r="AP17" i="10"/>
  <c r="AP45" i="10"/>
  <c r="AP43" i="10"/>
  <c r="AP39" i="10"/>
  <c r="AP26" i="10"/>
  <c r="AP24" i="10"/>
  <c r="AP14" i="10"/>
  <c r="AP42" i="10"/>
  <c r="AP36" i="10"/>
  <c r="AP22" i="10"/>
  <c r="AP19" i="10"/>
  <c r="AP16" i="10"/>
  <c r="AP13" i="10"/>
  <c r="AP18" i="10"/>
  <c r="AW176" i="10"/>
  <c r="AW178" i="10"/>
  <c r="AW170" i="10"/>
  <c r="AW175" i="10"/>
  <c r="AW167" i="10"/>
  <c r="AW172" i="10"/>
  <c r="AW174" i="10"/>
  <c r="AW166" i="10"/>
  <c r="AW159" i="10"/>
  <c r="AW168" i="10"/>
  <c r="AW164" i="10"/>
  <c r="AW177" i="10"/>
  <c r="AW169" i="10"/>
  <c r="AW163" i="10"/>
  <c r="AW162" i="10"/>
  <c r="AW161" i="10"/>
  <c r="AW173" i="10"/>
  <c r="AW153" i="10"/>
  <c r="AW149" i="10"/>
  <c r="AW165" i="10"/>
  <c r="AW157" i="10"/>
  <c r="AW148" i="10"/>
  <c r="AW152" i="10"/>
  <c r="AW144" i="10"/>
  <c r="AW160" i="10"/>
  <c r="AW145" i="10"/>
  <c r="AW142" i="10"/>
  <c r="AW154" i="10"/>
  <c r="AW128" i="10"/>
  <c r="AW156" i="10"/>
  <c r="AW140" i="10"/>
  <c r="AW138" i="10"/>
  <c r="AW133" i="10"/>
  <c r="AW125" i="10"/>
  <c r="AW158" i="10"/>
  <c r="AW141" i="10"/>
  <c r="AW135" i="10"/>
  <c r="AW127" i="10"/>
  <c r="AW146" i="10"/>
  <c r="AW143" i="10"/>
  <c r="AW122" i="10"/>
  <c r="AW116" i="10"/>
  <c r="AW150" i="10"/>
  <c r="AW147" i="10"/>
  <c r="AW139" i="10"/>
  <c r="AW137" i="10"/>
  <c r="AW171" i="10"/>
  <c r="AW155" i="10"/>
  <c r="AW115" i="10"/>
  <c r="AW130" i="10"/>
  <c r="AW126" i="10"/>
  <c r="AW134" i="10"/>
  <c r="AW136" i="10"/>
  <c r="AW129" i="10"/>
  <c r="AW119" i="10"/>
  <c r="AW114" i="10"/>
  <c r="AW105" i="10"/>
  <c r="AW131" i="10"/>
  <c r="AW110" i="10"/>
  <c r="AW102" i="10"/>
  <c r="AW151" i="10"/>
  <c r="AW123" i="10"/>
  <c r="AW121" i="10"/>
  <c r="AW107" i="10"/>
  <c r="AW117" i="10"/>
  <c r="AW113" i="10"/>
  <c r="AW104" i="10"/>
  <c r="AW101" i="10"/>
  <c r="AW94" i="10"/>
  <c r="AW86" i="10"/>
  <c r="AW120" i="10"/>
  <c r="AW118" i="10"/>
  <c r="AW109" i="10"/>
  <c r="AW106" i="10"/>
  <c r="AW103" i="10"/>
  <c r="AW100" i="10"/>
  <c r="AW99" i="10"/>
  <c r="AW91" i="10"/>
  <c r="AW132" i="10"/>
  <c r="AW111" i="10"/>
  <c r="AW108" i="10"/>
  <c r="AW93" i="10"/>
  <c r="AW85" i="10"/>
  <c r="AW90" i="10"/>
  <c r="AW88" i="10"/>
  <c r="AW87" i="10"/>
  <c r="AW97" i="10"/>
  <c r="AW77" i="10"/>
  <c r="AW124" i="10"/>
  <c r="AW82" i="10"/>
  <c r="AW79" i="10"/>
  <c r="AW112" i="10"/>
  <c r="AW98" i="10"/>
  <c r="AW96" i="10"/>
  <c r="AW67" i="10"/>
  <c r="AW72" i="10"/>
  <c r="AW64" i="10"/>
  <c r="AW95" i="10"/>
  <c r="AW89" i="10"/>
  <c r="AW83" i="10"/>
  <c r="AW69" i="10"/>
  <c r="AW61" i="10"/>
  <c r="AW78" i="10"/>
  <c r="AW53" i="10"/>
  <c r="AW81" i="10"/>
  <c r="AW76" i="10"/>
  <c r="AW75" i="10"/>
  <c r="AW66" i="10"/>
  <c r="AW63" i="10"/>
  <c r="AW52" i="10"/>
  <c r="AW44" i="10"/>
  <c r="AW36" i="10"/>
  <c r="AW74" i="10"/>
  <c r="AW71" i="10"/>
  <c r="AW68" i="10"/>
  <c r="AW65" i="10"/>
  <c r="AW62" i="10"/>
  <c r="AW57" i="10"/>
  <c r="AW49" i="10"/>
  <c r="AW41" i="10"/>
  <c r="AW33" i="10"/>
  <c r="AW92" i="10"/>
  <c r="AW84" i="10"/>
  <c r="AW73" i="10"/>
  <c r="AW70" i="10"/>
  <c r="AW60" i="10"/>
  <c r="AW54" i="10"/>
  <c r="AW80" i="10"/>
  <c r="AW59" i="10"/>
  <c r="AW51" i="10"/>
  <c r="AW43" i="10"/>
  <c r="AW35" i="10"/>
  <c r="AW58" i="10"/>
  <c r="AW22" i="10"/>
  <c r="AW55" i="10"/>
  <c r="AW40" i="10"/>
  <c r="AW38" i="10"/>
  <c r="AW37" i="10"/>
  <c r="AW34" i="10"/>
  <c r="AW31" i="10"/>
  <c r="AW24" i="10"/>
  <c r="AW47" i="10"/>
  <c r="AW26" i="10"/>
  <c r="AW18" i="10"/>
  <c r="AW23" i="10"/>
  <c r="AW15" i="10"/>
  <c r="AW56" i="10"/>
  <c r="AW28" i="10"/>
  <c r="AW20" i="10"/>
  <c r="AW45" i="10"/>
  <c r="AW39" i="10"/>
  <c r="AW17" i="10"/>
  <c r="AW14" i="10"/>
  <c r="AW25" i="10"/>
  <c r="AW19" i="10"/>
  <c r="AW16" i="10"/>
  <c r="AW13" i="10"/>
  <c r="AW32" i="10"/>
  <c r="AW30" i="10"/>
  <c r="AW27" i="10"/>
  <c r="AW29" i="10"/>
  <c r="AW48" i="10"/>
  <c r="AW46" i="10"/>
  <c r="AW42" i="10"/>
  <c r="AW50" i="10"/>
  <c r="AW21" i="10"/>
  <c r="AK174" i="10"/>
  <c r="AK166" i="10"/>
  <c r="AK171" i="10"/>
  <c r="AK176" i="10"/>
  <c r="AK168" i="10"/>
  <c r="AK178" i="10"/>
  <c r="AK170" i="10"/>
  <c r="AK169" i="10"/>
  <c r="AK161" i="10"/>
  <c r="AK167" i="10"/>
  <c r="AK163" i="10"/>
  <c r="AK172" i="10"/>
  <c r="AK165" i="10"/>
  <c r="AK162" i="10"/>
  <c r="AK173" i="10"/>
  <c r="AK155" i="10"/>
  <c r="AK177" i="10"/>
  <c r="AK157" i="10"/>
  <c r="AK164" i="10"/>
  <c r="AK159" i="10"/>
  <c r="AK175" i="10"/>
  <c r="AK160" i="10"/>
  <c r="AK156" i="10"/>
  <c r="AK145" i="10"/>
  <c r="AK150" i="10"/>
  <c r="AK153" i="10"/>
  <c r="AK152" i="10"/>
  <c r="AK158" i="10"/>
  <c r="AK139" i="10"/>
  <c r="AK144" i="10"/>
  <c r="AK154" i="10"/>
  <c r="AK149" i="10"/>
  <c r="AK137" i="10"/>
  <c r="AK132" i="10"/>
  <c r="AK124" i="10"/>
  <c r="AK151" i="10"/>
  <c r="AK148" i="10"/>
  <c r="AK129" i="10"/>
  <c r="AK147" i="10"/>
  <c r="AK138" i="10"/>
  <c r="AK131" i="10"/>
  <c r="AK141" i="10"/>
  <c r="AK140" i="10"/>
  <c r="AK120" i="10"/>
  <c r="AK112" i="10"/>
  <c r="AK146" i="10"/>
  <c r="AK117" i="10"/>
  <c r="AK142" i="10"/>
  <c r="AK143" i="10"/>
  <c r="AK128" i="10"/>
  <c r="AK126" i="10"/>
  <c r="AK125" i="10"/>
  <c r="AK122" i="10"/>
  <c r="AK119" i="10"/>
  <c r="AK116" i="10"/>
  <c r="AK109" i="10"/>
  <c r="AK101" i="10"/>
  <c r="AK136" i="10"/>
  <c r="AK134" i="10"/>
  <c r="AK133" i="10"/>
  <c r="AK130" i="10"/>
  <c r="AK123" i="10"/>
  <c r="AK121" i="10"/>
  <c r="AK114" i="10"/>
  <c r="AK106" i="10"/>
  <c r="AK135" i="10"/>
  <c r="AK111" i="10"/>
  <c r="AK103" i="10"/>
  <c r="AK115" i="10"/>
  <c r="AK108" i="10"/>
  <c r="AK105" i="10"/>
  <c r="AK102" i="10"/>
  <c r="AK98" i="10"/>
  <c r="AK90" i="10"/>
  <c r="AK127" i="10"/>
  <c r="AK110" i="10"/>
  <c r="AK107" i="10"/>
  <c r="AK104" i="10"/>
  <c r="AK95" i="10"/>
  <c r="AK87" i="10"/>
  <c r="AK100" i="10"/>
  <c r="AK97" i="10"/>
  <c r="AK89" i="10"/>
  <c r="AK94" i="10"/>
  <c r="AK92" i="10"/>
  <c r="AK91" i="10"/>
  <c r="AK88" i="10"/>
  <c r="AK113" i="10"/>
  <c r="AK84" i="10"/>
  <c r="AK81" i="10"/>
  <c r="AK118" i="10"/>
  <c r="AK85" i="10"/>
  <c r="AK75" i="10"/>
  <c r="AK86" i="10"/>
  <c r="AK83" i="10"/>
  <c r="AK71" i="10"/>
  <c r="AK63" i="10"/>
  <c r="AK96" i="10"/>
  <c r="AK76" i="10"/>
  <c r="AK68" i="10"/>
  <c r="AK77" i="10"/>
  <c r="AK73" i="10"/>
  <c r="AK65" i="10"/>
  <c r="AK57" i="10"/>
  <c r="AK99" i="10"/>
  <c r="AK80" i="10"/>
  <c r="AK82" i="10"/>
  <c r="AK62" i="10"/>
  <c r="AK70" i="10"/>
  <c r="AK67" i="10"/>
  <c r="AK64" i="10"/>
  <c r="AK61" i="10"/>
  <c r="AK56" i="10"/>
  <c r="AK48" i="10"/>
  <c r="AK40" i="10"/>
  <c r="AK32" i="10"/>
  <c r="AK72" i="10"/>
  <c r="AK69" i="10"/>
  <c r="AK66" i="10"/>
  <c r="AK53" i="10"/>
  <c r="AK45" i="10"/>
  <c r="AK37" i="10"/>
  <c r="AK74" i="10"/>
  <c r="AK58" i="10"/>
  <c r="AK50" i="10"/>
  <c r="AK78" i="10"/>
  <c r="AK55" i="10"/>
  <c r="AK47" i="10"/>
  <c r="AK39" i="10"/>
  <c r="AK31" i="10"/>
  <c r="AK79" i="10"/>
  <c r="AK60" i="10"/>
  <c r="AK26" i="10"/>
  <c r="AK93" i="10"/>
  <c r="AK59" i="10"/>
  <c r="AK44" i="10"/>
  <c r="AK42" i="10"/>
  <c r="AK41" i="10"/>
  <c r="AK38" i="10"/>
  <c r="AK35" i="10"/>
  <c r="AK28" i="10"/>
  <c r="AK22" i="10"/>
  <c r="AK14" i="10"/>
  <c r="AK27" i="10"/>
  <c r="AK19" i="10"/>
  <c r="AK24" i="10"/>
  <c r="AK16" i="10"/>
  <c r="AK18" i="10"/>
  <c r="AK15" i="10"/>
  <c r="AK52" i="10"/>
  <c r="AK51" i="10"/>
  <c r="AK20" i="10"/>
  <c r="AK17" i="10"/>
  <c r="AK33" i="10"/>
  <c r="AK29" i="10"/>
  <c r="AK21" i="10"/>
  <c r="AK54" i="10"/>
  <c r="AK49" i="10"/>
  <c r="AK43" i="10"/>
  <c r="AK23" i="10"/>
  <c r="AK36" i="10"/>
  <c r="AK34" i="10"/>
  <c r="AK30" i="10"/>
  <c r="AK25" i="10"/>
  <c r="AK46" i="10"/>
  <c r="AK13" i="10"/>
  <c r="AT177" i="10"/>
  <c r="AT171" i="10"/>
  <c r="AT176" i="10"/>
  <c r="AT168" i="10"/>
  <c r="AT173" i="10"/>
  <c r="AT165" i="10"/>
  <c r="AT178" i="10"/>
  <c r="AT175" i="10"/>
  <c r="AT167" i="10"/>
  <c r="AT166" i="10"/>
  <c r="AT160" i="10"/>
  <c r="AT169" i="10"/>
  <c r="AT172" i="10"/>
  <c r="AT170" i="10"/>
  <c r="AT159" i="10"/>
  <c r="AT155" i="10"/>
  <c r="AT150" i="10"/>
  <c r="AT156" i="10"/>
  <c r="AT147" i="10"/>
  <c r="AT157" i="10"/>
  <c r="AT153" i="10"/>
  <c r="AT149" i="10"/>
  <c r="AT154" i="10"/>
  <c r="AT136" i="10"/>
  <c r="AT144" i="10"/>
  <c r="AT163" i="10"/>
  <c r="AT142" i="10"/>
  <c r="AT137" i="10"/>
  <c r="AT129" i="10"/>
  <c r="AT121" i="10"/>
  <c r="AT143" i="10"/>
  <c r="AT134" i="10"/>
  <c r="AT126" i="10"/>
  <c r="AT164" i="10"/>
  <c r="AT140" i="10"/>
  <c r="AT138" i="10"/>
  <c r="AT128" i="10"/>
  <c r="AT174" i="10"/>
  <c r="AT151" i="10"/>
  <c r="AT117" i="10"/>
  <c r="AT162" i="10"/>
  <c r="AT141" i="10"/>
  <c r="AT122" i="10"/>
  <c r="AT116" i="10"/>
  <c r="AT123" i="10"/>
  <c r="AT158" i="10"/>
  <c r="AT148" i="10"/>
  <c r="AT152" i="10"/>
  <c r="AT139" i="10"/>
  <c r="AT130" i="10"/>
  <c r="AT146" i="10"/>
  <c r="AT161" i="10"/>
  <c r="AT135" i="10"/>
  <c r="AT132" i="10"/>
  <c r="AT124" i="10"/>
  <c r="AT113" i="10"/>
  <c r="AT106" i="10"/>
  <c r="AT125" i="10"/>
  <c r="AT119" i="10"/>
  <c r="AT118" i="10"/>
  <c r="AT115" i="10"/>
  <c r="AT111" i="10"/>
  <c r="AT103" i="10"/>
  <c r="AT131" i="10"/>
  <c r="AT127" i="10"/>
  <c r="AT120" i="10"/>
  <c r="AT114" i="10"/>
  <c r="AT108" i="10"/>
  <c r="AT100" i="10"/>
  <c r="AT133" i="10"/>
  <c r="AT95" i="10"/>
  <c r="AT87" i="10"/>
  <c r="AT92" i="10"/>
  <c r="AT112" i="10"/>
  <c r="AT105" i="10"/>
  <c r="AT102" i="10"/>
  <c r="AT145" i="10"/>
  <c r="AT110" i="10"/>
  <c r="AT107" i="10"/>
  <c r="AT104" i="10"/>
  <c r="AT101" i="10"/>
  <c r="AT94" i="10"/>
  <c r="AT86" i="10"/>
  <c r="AT91" i="10"/>
  <c r="AT89" i="10"/>
  <c r="AT88" i="10"/>
  <c r="AT98" i="10"/>
  <c r="AT78" i="10"/>
  <c r="AT84" i="10"/>
  <c r="AT80" i="10"/>
  <c r="AT81" i="10"/>
  <c r="AT75" i="10"/>
  <c r="AT68" i="10"/>
  <c r="AT73" i="10"/>
  <c r="AT65" i="10"/>
  <c r="AT76" i="10"/>
  <c r="AT70" i="10"/>
  <c r="AT62" i="10"/>
  <c r="AT60" i="10"/>
  <c r="AT54" i="10"/>
  <c r="AT77" i="10"/>
  <c r="AT59" i="10"/>
  <c r="AT96" i="10"/>
  <c r="AT97" i="10"/>
  <c r="AT79" i="10"/>
  <c r="AT53" i="10"/>
  <c r="AT45" i="10"/>
  <c r="AT37" i="10"/>
  <c r="AT29" i="10"/>
  <c r="AT58" i="10"/>
  <c r="AT50" i="10"/>
  <c r="AT42" i="10"/>
  <c r="AT34" i="10"/>
  <c r="AT93" i="10"/>
  <c r="AT90" i="10"/>
  <c r="AT83" i="10"/>
  <c r="AT67" i="10"/>
  <c r="AT64" i="10"/>
  <c r="AT61" i="10"/>
  <c r="AT55" i="10"/>
  <c r="AT85" i="10"/>
  <c r="AT72" i="10"/>
  <c r="AT69" i="10"/>
  <c r="AT66" i="10"/>
  <c r="AT63" i="10"/>
  <c r="AT52" i="10"/>
  <c r="AT44" i="10"/>
  <c r="AT36" i="10"/>
  <c r="AT82" i="10"/>
  <c r="AT56" i="10"/>
  <c r="AT23" i="10"/>
  <c r="AT109" i="10"/>
  <c r="AT25" i="10"/>
  <c r="AT71" i="10"/>
  <c r="AT57" i="10"/>
  <c r="AT41" i="10"/>
  <c r="AT39" i="10"/>
  <c r="AT38" i="10"/>
  <c r="AT35" i="10"/>
  <c r="AT32" i="10"/>
  <c r="AT27" i="10"/>
  <c r="AT19" i="10"/>
  <c r="AT99" i="10"/>
  <c r="AT49" i="10"/>
  <c r="AT47" i="10"/>
  <c r="AT46" i="10"/>
  <c r="AT43" i="10"/>
  <c r="AT40" i="10"/>
  <c r="AT24" i="10"/>
  <c r="AT16" i="10"/>
  <c r="AT48" i="10"/>
  <c r="AT21" i="10"/>
  <c r="AT13" i="10"/>
  <c r="AT33" i="10"/>
  <c r="AT31" i="10"/>
  <c r="AT28" i="10"/>
  <c r="AT18" i="10"/>
  <c r="AT15" i="10"/>
  <c r="AT20" i="10"/>
  <c r="AT17" i="10"/>
  <c r="AT14" i="10"/>
  <c r="AT26" i="10"/>
  <c r="AT30" i="10"/>
  <c r="AT22" i="10"/>
  <c r="AT74" i="10"/>
  <c r="AT51" i="10"/>
  <c r="AS174" i="10"/>
  <c r="AS166" i="10"/>
  <c r="AS171" i="10"/>
  <c r="AS176" i="10"/>
  <c r="AS168" i="10"/>
  <c r="AS178" i="10"/>
  <c r="AS170" i="10"/>
  <c r="AS165" i="10"/>
  <c r="AS161" i="10"/>
  <c r="AS175" i="10"/>
  <c r="AS163" i="10"/>
  <c r="AS177" i="10"/>
  <c r="AS173" i="10"/>
  <c r="AS162" i="10"/>
  <c r="AS158" i="10"/>
  <c r="AS155" i="10"/>
  <c r="AS167" i="10"/>
  <c r="AS157" i="10"/>
  <c r="AS172" i="10"/>
  <c r="AS159" i="10"/>
  <c r="AS145" i="10"/>
  <c r="AS150" i="10"/>
  <c r="AS152" i="10"/>
  <c r="AS169" i="10"/>
  <c r="AS156" i="10"/>
  <c r="AS143" i="10"/>
  <c r="AS139" i="10"/>
  <c r="AS151" i="10"/>
  <c r="AS148" i="10"/>
  <c r="AS146" i="10"/>
  <c r="AS144" i="10"/>
  <c r="AS164" i="10"/>
  <c r="AS147" i="10"/>
  <c r="AS132" i="10"/>
  <c r="AS124" i="10"/>
  <c r="AS142" i="10"/>
  <c r="AS137" i="10"/>
  <c r="AS129" i="10"/>
  <c r="AS131" i="10"/>
  <c r="AS153" i="10"/>
  <c r="AS160" i="10"/>
  <c r="AS138" i="10"/>
  <c r="AS136" i="10"/>
  <c r="AS135" i="10"/>
  <c r="AS121" i="10"/>
  <c r="AS120" i="10"/>
  <c r="AS112" i="10"/>
  <c r="AS140" i="10"/>
  <c r="AS117" i="10"/>
  <c r="AS141" i="10"/>
  <c r="AS119" i="10"/>
  <c r="AS128" i="10"/>
  <c r="AS126" i="10"/>
  <c r="AS154" i="10"/>
  <c r="AS134" i="10"/>
  <c r="AS133" i="10"/>
  <c r="AS122" i="10"/>
  <c r="AS109" i="10"/>
  <c r="AS101" i="10"/>
  <c r="AS149" i="10"/>
  <c r="AS116" i="10"/>
  <c r="AS113" i="10"/>
  <c r="AS106" i="10"/>
  <c r="AS125" i="10"/>
  <c r="AS118" i="10"/>
  <c r="AS115" i="10"/>
  <c r="AS111" i="10"/>
  <c r="AS103" i="10"/>
  <c r="AS127" i="10"/>
  <c r="AS98" i="10"/>
  <c r="AS90" i="10"/>
  <c r="AS95" i="10"/>
  <c r="AS87" i="10"/>
  <c r="AS130" i="10"/>
  <c r="AS123" i="10"/>
  <c r="AS114" i="10"/>
  <c r="AS100" i="10"/>
  <c r="AS108" i="10"/>
  <c r="AS105" i="10"/>
  <c r="AS102" i="10"/>
  <c r="AS97" i="10"/>
  <c r="AS89" i="10"/>
  <c r="AS86" i="10"/>
  <c r="AS99" i="10"/>
  <c r="AS96" i="10"/>
  <c r="AS93" i="10"/>
  <c r="AS83" i="10"/>
  <c r="AS81" i="10"/>
  <c r="AS84" i="10"/>
  <c r="AS75" i="10"/>
  <c r="AS110" i="10"/>
  <c r="AS82" i="10"/>
  <c r="AS79" i="10"/>
  <c r="AS71" i="10"/>
  <c r="AS63" i="10"/>
  <c r="AS104" i="10"/>
  <c r="AS68" i="10"/>
  <c r="AS60" i="10"/>
  <c r="AS73" i="10"/>
  <c r="AS65" i="10"/>
  <c r="AS74" i="10"/>
  <c r="AS57" i="10"/>
  <c r="AS77" i="10"/>
  <c r="AS76" i="10"/>
  <c r="AS78" i="10"/>
  <c r="AS56" i="10"/>
  <c r="AS48" i="10"/>
  <c r="AS40" i="10"/>
  <c r="AS32" i="10"/>
  <c r="AS107" i="10"/>
  <c r="AS91" i="10"/>
  <c r="AS88" i="10"/>
  <c r="AS53" i="10"/>
  <c r="AS45" i="10"/>
  <c r="AS37" i="10"/>
  <c r="AS29" i="10"/>
  <c r="AS62" i="10"/>
  <c r="AS58" i="10"/>
  <c r="AS50" i="10"/>
  <c r="AS92" i="10"/>
  <c r="AS70" i="10"/>
  <c r="AS67" i="10"/>
  <c r="AS64" i="10"/>
  <c r="AS61" i="10"/>
  <c r="AS55" i="10"/>
  <c r="AS47" i="10"/>
  <c r="AS39" i="10"/>
  <c r="AS31" i="10"/>
  <c r="AS59" i="10"/>
  <c r="AS51" i="10"/>
  <c r="AS26" i="10"/>
  <c r="AS94" i="10"/>
  <c r="AS85" i="10"/>
  <c r="AS28" i="10"/>
  <c r="AS69" i="10"/>
  <c r="AS52" i="10"/>
  <c r="AS36" i="10"/>
  <c r="AS34" i="10"/>
  <c r="AS33" i="10"/>
  <c r="AS30" i="10"/>
  <c r="AS22" i="10"/>
  <c r="AS14" i="10"/>
  <c r="AS80" i="10"/>
  <c r="AS44" i="10"/>
  <c r="AS42" i="10"/>
  <c r="AS41" i="10"/>
  <c r="AS38" i="10"/>
  <c r="AS35" i="10"/>
  <c r="AS27" i="10"/>
  <c r="AS19" i="10"/>
  <c r="AS54" i="10"/>
  <c r="AS49" i="10"/>
  <c r="AS46" i="10"/>
  <c r="AS43" i="10"/>
  <c r="AS24" i="10"/>
  <c r="AS16" i="10"/>
  <c r="AS66" i="10"/>
  <c r="AS23" i="10"/>
  <c r="AS13" i="10"/>
  <c r="AS25" i="10"/>
  <c r="AS18" i="10"/>
  <c r="AS15" i="10"/>
  <c r="AS20" i="10"/>
  <c r="AS17" i="10"/>
  <c r="AS72" i="10"/>
  <c r="AS21" i="10"/>
  <c r="AB177" i="10"/>
  <c r="AB169" i="10"/>
  <c r="AB174" i="10"/>
  <c r="AB171" i="10"/>
  <c r="AB173" i="10"/>
  <c r="AB172" i="10"/>
  <c r="AB164" i="10"/>
  <c r="AB170" i="10"/>
  <c r="AB175" i="10"/>
  <c r="AB166" i="10"/>
  <c r="AB168" i="10"/>
  <c r="AB165" i="10"/>
  <c r="AB158" i="10"/>
  <c r="AB178" i="10"/>
  <c r="AB159" i="10"/>
  <c r="AB160" i="10"/>
  <c r="AB176" i="10"/>
  <c r="AB167" i="10"/>
  <c r="AB157" i="10"/>
  <c r="AB148" i="10"/>
  <c r="AB153" i="10"/>
  <c r="AB155" i="10"/>
  <c r="AB142" i="10"/>
  <c r="AB154" i="10"/>
  <c r="AB144" i="10"/>
  <c r="AB162" i="10"/>
  <c r="AB141" i="10"/>
  <c r="AB161" i="10"/>
  <c r="AB151" i="10"/>
  <c r="AB145" i="10"/>
  <c r="AB137" i="10"/>
  <c r="AB135" i="10"/>
  <c r="AB127" i="10"/>
  <c r="AB143" i="10"/>
  <c r="AB132" i="10"/>
  <c r="AB152" i="10"/>
  <c r="AB150" i="10"/>
  <c r="AB149" i="10"/>
  <c r="AB138" i="10"/>
  <c r="AB134" i="10"/>
  <c r="AB126" i="10"/>
  <c r="AB156" i="10"/>
  <c r="AB115" i="10"/>
  <c r="AB131" i="10"/>
  <c r="AB129" i="10"/>
  <c r="AB128" i="10"/>
  <c r="AB125" i="10"/>
  <c r="AB124" i="10"/>
  <c r="AB120" i="10"/>
  <c r="AB140" i="10"/>
  <c r="AB136" i="10"/>
  <c r="AB133" i="10"/>
  <c r="AB122" i="10"/>
  <c r="AB114" i="10"/>
  <c r="AB119" i="10"/>
  <c r="AB117" i="10"/>
  <c r="AB116" i="10"/>
  <c r="AB123" i="10"/>
  <c r="AB121" i="10"/>
  <c r="AB163" i="10"/>
  <c r="AB146" i="10"/>
  <c r="AB104" i="10"/>
  <c r="AB109" i="10"/>
  <c r="AB101" i="10"/>
  <c r="AB106" i="10"/>
  <c r="AB103" i="10"/>
  <c r="AB93" i="10"/>
  <c r="AB85" i="10"/>
  <c r="AB139" i="10"/>
  <c r="AB112" i="10"/>
  <c r="AB98" i="10"/>
  <c r="AB90" i="10"/>
  <c r="AB147" i="10"/>
  <c r="AB113" i="10"/>
  <c r="AB100" i="10"/>
  <c r="AB92" i="10"/>
  <c r="AB84" i="10"/>
  <c r="AB107" i="10"/>
  <c r="AB130" i="10"/>
  <c r="AB110" i="10"/>
  <c r="AB76" i="10"/>
  <c r="AB89" i="10"/>
  <c r="AB87" i="10"/>
  <c r="AB81" i="10"/>
  <c r="AB97" i="10"/>
  <c r="AB95" i="10"/>
  <c r="AB94" i="10"/>
  <c r="AB91" i="10"/>
  <c r="AB88" i="10"/>
  <c r="AB86" i="10"/>
  <c r="AB78" i="10"/>
  <c r="AB105" i="10"/>
  <c r="AB74" i="10"/>
  <c r="AB66" i="10"/>
  <c r="AB118" i="10"/>
  <c r="AB108" i="10"/>
  <c r="AB77" i="10"/>
  <c r="AB71" i="10"/>
  <c r="AB63" i="10"/>
  <c r="AB80" i="10"/>
  <c r="AB68" i="10"/>
  <c r="AB102" i="10"/>
  <c r="AB65" i="10"/>
  <c r="AB62" i="10"/>
  <c r="AB60" i="10"/>
  <c r="AB52" i="10"/>
  <c r="AB73" i="10"/>
  <c r="AB70" i="10"/>
  <c r="AB67" i="10"/>
  <c r="AB64" i="10"/>
  <c r="AB61" i="10"/>
  <c r="AB99" i="10"/>
  <c r="AB83" i="10"/>
  <c r="AB75" i="10"/>
  <c r="AB72" i="10"/>
  <c r="AB69" i="10"/>
  <c r="AB111" i="10"/>
  <c r="AB96" i="10"/>
  <c r="AB79" i="10"/>
  <c r="AB59" i="10"/>
  <c r="AB51" i="10"/>
  <c r="AB43" i="10"/>
  <c r="AB35" i="10"/>
  <c r="AB56" i="10"/>
  <c r="AB48" i="10"/>
  <c r="AB40" i="10"/>
  <c r="AB32" i="10"/>
  <c r="AB82" i="10"/>
  <c r="AB53" i="10"/>
  <c r="AB58" i="10"/>
  <c r="AB50" i="10"/>
  <c r="AB42" i="10"/>
  <c r="AB34" i="10"/>
  <c r="AB47" i="10"/>
  <c r="AB45" i="10"/>
  <c r="AB44" i="10"/>
  <c r="AB41" i="10"/>
  <c r="AB38" i="10"/>
  <c r="AB29" i="10"/>
  <c r="AB21" i="10"/>
  <c r="AB23" i="10"/>
  <c r="AB25" i="10"/>
  <c r="AB17" i="10"/>
  <c r="AB54" i="10"/>
  <c r="AB22" i="10"/>
  <c r="AB14" i="10"/>
  <c r="AB31" i="10"/>
  <c r="AB27" i="10"/>
  <c r="AB19" i="10"/>
  <c r="AB36" i="10"/>
  <c r="AB30" i="10"/>
  <c r="AB28" i="10"/>
  <c r="AB46" i="10"/>
  <c r="AB57" i="10"/>
  <c r="AB20" i="10"/>
  <c r="AB39" i="10"/>
  <c r="AB37" i="10"/>
  <c r="AB33" i="10"/>
  <c r="AB24" i="10"/>
  <c r="AB55" i="10"/>
  <c r="AB49" i="10"/>
  <c r="AB16" i="10"/>
  <c r="AB13" i="10"/>
  <c r="AB26" i="10"/>
  <c r="AB18" i="10"/>
  <c r="AB15" i="10"/>
  <c r="AX7" i="10"/>
  <c r="AX8" i="10"/>
  <c r="AX9" i="10" s="1"/>
  <c r="V177" i="10"/>
  <c r="V171" i="10"/>
  <c r="V176" i="10"/>
  <c r="V168" i="10"/>
  <c r="V173" i="10"/>
  <c r="V175" i="10"/>
  <c r="V167" i="10"/>
  <c r="V178" i="10"/>
  <c r="V174" i="10"/>
  <c r="V172" i="10"/>
  <c r="V160" i="10"/>
  <c r="V165" i="10"/>
  <c r="V170" i="10"/>
  <c r="V164" i="10"/>
  <c r="V163" i="10"/>
  <c r="V162" i="10"/>
  <c r="V161" i="10"/>
  <c r="V153" i="10"/>
  <c r="V150" i="10"/>
  <c r="V156" i="10"/>
  <c r="V154" i="10"/>
  <c r="V149" i="10"/>
  <c r="V152" i="10"/>
  <c r="V151" i="10"/>
  <c r="V169" i="10"/>
  <c r="V148" i="10"/>
  <c r="V166" i="10"/>
  <c r="V157" i="10"/>
  <c r="V155" i="10"/>
  <c r="V145" i="10"/>
  <c r="V158" i="10"/>
  <c r="V159" i="10"/>
  <c r="V146" i="10"/>
  <c r="V138" i="10"/>
  <c r="V129" i="10"/>
  <c r="V121" i="10"/>
  <c r="V134" i="10"/>
  <c r="V126" i="10"/>
  <c r="V143" i="10"/>
  <c r="V136" i="10"/>
  <c r="V128" i="10"/>
  <c r="V141" i="10"/>
  <c r="V122" i="10"/>
  <c r="V117" i="10"/>
  <c r="V144" i="10"/>
  <c r="V139" i="10"/>
  <c r="V137" i="10"/>
  <c r="V123" i="10"/>
  <c r="V116" i="10"/>
  <c r="V147" i="10"/>
  <c r="V142" i="10"/>
  <c r="V133" i="10"/>
  <c r="V124" i="10"/>
  <c r="V140" i="10"/>
  <c r="V132" i="10"/>
  <c r="V119" i="10"/>
  <c r="V118" i="10"/>
  <c r="V115" i="10"/>
  <c r="V106" i="10"/>
  <c r="V120" i="10"/>
  <c r="V112" i="10"/>
  <c r="V111" i="10"/>
  <c r="V103" i="10"/>
  <c r="V113" i="10"/>
  <c r="V108" i="10"/>
  <c r="V131" i="10"/>
  <c r="V130" i="10"/>
  <c r="V95" i="10"/>
  <c r="V87" i="10"/>
  <c r="V105" i="10"/>
  <c r="V102" i="10"/>
  <c r="V100" i="10"/>
  <c r="V92" i="10"/>
  <c r="V125" i="10"/>
  <c r="V110" i="10"/>
  <c r="V107" i="10"/>
  <c r="V104" i="10"/>
  <c r="V101" i="10"/>
  <c r="V127" i="10"/>
  <c r="V109" i="10"/>
  <c r="V94" i="10"/>
  <c r="V86" i="10"/>
  <c r="V135" i="10"/>
  <c r="V99" i="10"/>
  <c r="V97" i="10"/>
  <c r="V96" i="10"/>
  <c r="V93" i="10"/>
  <c r="V90" i="10"/>
  <c r="V78" i="10"/>
  <c r="V83" i="10"/>
  <c r="V80" i="10"/>
  <c r="V91" i="10"/>
  <c r="V89" i="10"/>
  <c r="V68" i="10"/>
  <c r="V114" i="10"/>
  <c r="V79" i="10"/>
  <c r="V73" i="10"/>
  <c r="V65" i="10"/>
  <c r="V70" i="10"/>
  <c r="V62" i="10"/>
  <c r="V82" i="10"/>
  <c r="V54" i="10"/>
  <c r="V98" i="10"/>
  <c r="V53" i="10"/>
  <c r="V45" i="10"/>
  <c r="V37" i="10"/>
  <c r="V67" i="10"/>
  <c r="V64" i="10"/>
  <c r="V61" i="10"/>
  <c r="V58" i="10"/>
  <c r="V50" i="10"/>
  <c r="V42" i="10"/>
  <c r="V34" i="10"/>
  <c r="V84" i="10"/>
  <c r="V81" i="10"/>
  <c r="V77" i="10"/>
  <c r="V76" i="10"/>
  <c r="V75" i="10"/>
  <c r="V72" i="10"/>
  <c r="V69" i="10"/>
  <c r="V66" i="10"/>
  <c r="V63" i="10"/>
  <c r="V55" i="10"/>
  <c r="V88" i="10"/>
  <c r="V74" i="10"/>
  <c r="V71" i="10"/>
  <c r="V60" i="10"/>
  <c r="V52" i="10"/>
  <c r="V44" i="10"/>
  <c r="V36" i="10"/>
  <c r="V51" i="10"/>
  <c r="V23" i="10"/>
  <c r="V33" i="10"/>
  <c r="V31" i="10"/>
  <c r="V30" i="10"/>
  <c r="V25" i="10"/>
  <c r="V85" i="10"/>
  <c r="V49" i="10"/>
  <c r="V47" i="10"/>
  <c r="V46" i="10"/>
  <c r="V43" i="10"/>
  <c r="V40" i="10"/>
  <c r="V27" i="10"/>
  <c r="V19" i="10"/>
  <c r="V57" i="10"/>
  <c r="V48" i="10"/>
  <c r="V24" i="10"/>
  <c r="V16" i="10"/>
  <c r="V29" i="10"/>
  <c r="V21" i="10"/>
  <c r="V13" i="10"/>
  <c r="V26" i="10"/>
  <c r="V18" i="10"/>
  <c r="V15" i="10"/>
  <c r="V38" i="10"/>
  <c r="V32" i="10"/>
  <c r="V28" i="10"/>
  <c r="V20" i="10"/>
  <c r="V17" i="10"/>
  <c r="V14" i="10"/>
  <c r="V22" i="10"/>
  <c r="V56" i="10"/>
  <c r="V59" i="10"/>
  <c r="V41" i="10"/>
  <c r="V39" i="10"/>
  <c r="V35" i="10"/>
  <c r="AH175" i="10"/>
  <c r="AH167" i="10"/>
  <c r="AH172" i="10"/>
  <c r="AH177" i="10"/>
  <c r="AH169" i="10"/>
  <c r="AH171" i="10"/>
  <c r="AH170" i="10"/>
  <c r="AH162" i="10"/>
  <c r="AH176" i="10"/>
  <c r="AH168" i="10"/>
  <c r="AH164" i="10"/>
  <c r="AH173" i="10"/>
  <c r="AH163" i="10"/>
  <c r="AH156" i="10"/>
  <c r="AH158" i="10"/>
  <c r="AH166" i="10"/>
  <c r="AH165" i="10"/>
  <c r="AH161" i="10"/>
  <c r="AH174" i="10"/>
  <c r="AH159" i="10"/>
  <c r="AH155" i="10"/>
  <c r="AH146" i="10"/>
  <c r="AH154" i="10"/>
  <c r="AH151" i="10"/>
  <c r="AH178" i="10"/>
  <c r="AH150" i="10"/>
  <c r="AH148" i="10"/>
  <c r="AH145" i="10"/>
  <c r="AH140" i="10"/>
  <c r="AH153" i="10"/>
  <c r="AH142" i="10"/>
  <c r="AH157" i="10"/>
  <c r="AH144" i="10"/>
  <c r="AH133" i="10"/>
  <c r="AH125" i="10"/>
  <c r="AH160" i="10"/>
  <c r="AH139" i="10"/>
  <c r="AH130" i="10"/>
  <c r="AH132" i="10"/>
  <c r="AH152" i="10"/>
  <c r="AH113" i="10"/>
  <c r="AH123" i="10"/>
  <c r="AH118" i="10"/>
  <c r="AH137" i="10"/>
  <c r="AH120" i="10"/>
  <c r="AH112" i="10"/>
  <c r="AH136" i="10"/>
  <c r="AH141" i="10"/>
  <c r="AH129" i="10"/>
  <c r="AH127" i="10"/>
  <c r="AH124" i="10"/>
  <c r="AH122" i="10"/>
  <c r="AH143" i="10"/>
  <c r="AH138" i="10"/>
  <c r="AH117" i="10"/>
  <c r="AH115" i="10"/>
  <c r="AH110" i="10"/>
  <c r="AH102" i="10"/>
  <c r="AH119" i="10"/>
  <c r="AH116" i="10"/>
  <c r="AH107" i="10"/>
  <c r="AH149" i="10"/>
  <c r="AH147" i="10"/>
  <c r="AH126" i="10"/>
  <c r="AH121" i="10"/>
  <c r="AH104" i="10"/>
  <c r="AH100" i="10"/>
  <c r="AH134" i="10"/>
  <c r="AH99" i="10"/>
  <c r="AH91" i="10"/>
  <c r="AH83" i="10"/>
  <c r="AH101" i="10"/>
  <c r="AH96" i="10"/>
  <c r="AH88" i="10"/>
  <c r="AH135" i="10"/>
  <c r="AH128" i="10"/>
  <c r="AH109" i="10"/>
  <c r="AH106" i="10"/>
  <c r="AH103" i="10"/>
  <c r="AH111" i="10"/>
  <c r="AH108" i="10"/>
  <c r="AH105" i="10"/>
  <c r="AH98" i="10"/>
  <c r="AH90" i="10"/>
  <c r="AH95" i="10"/>
  <c r="AH93" i="10"/>
  <c r="AH92" i="10"/>
  <c r="AH89" i="10"/>
  <c r="AH82" i="10"/>
  <c r="AH84" i="10"/>
  <c r="AH76" i="10"/>
  <c r="AH97" i="10"/>
  <c r="AH131" i="10"/>
  <c r="AH114" i="10"/>
  <c r="AH79" i="10"/>
  <c r="AH72" i="10"/>
  <c r="AH64" i="10"/>
  <c r="AH85" i="10"/>
  <c r="AH75" i="10"/>
  <c r="AH69" i="10"/>
  <c r="AH61" i="10"/>
  <c r="AH94" i="10"/>
  <c r="AH86" i="10"/>
  <c r="AH74" i="10"/>
  <c r="AH66" i="10"/>
  <c r="AH78" i="10"/>
  <c r="AH77" i="10"/>
  <c r="AH58" i="10"/>
  <c r="AH50" i="10"/>
  <c r="AH60" i="10"/>
  <c r="AH57" i="10"/>
  <c r="AH49" i="10"/>
  <c r="AH41" i="10"/>
  <c r="AH33" i="10"/>
  <c r="AH87" i="10"/>
  <c r="AH80" i="10"/>
  <c r="AH63" i="10"/>
  <c r="AH54" i="10"/>
  <c r="AH46" i="10"/>
  <c r="AH38" i="10"/>
  <c r="AH30" i="10"/>
  <c r="AH71" i="10"/>
  <c r="AH68" i="10"/>
  <c r="AH65" i="10"/>
  <c r="AH62" i="10"/>
  <c r="AH59" i="10"/>
  <c r="AH51" i="10"/>
  <c r="AH73" i="10"/>
  <c r="AH70" i="10"/>
  <c r="AH67" i="10"/>
  <c r="AH56" i="10"/>
  <c r="AH48" i="10"/>
  <c r="AH40" i="10"/>
  <c r="AH32" i="10"/>
  <c r="AH27" i="10"/>
  <c r="AH81" i="10"/>
  <c r="AH45" i="10"/>
  <c r="AH43" i="10"/>
  <c r="AH42" i="10"/>
  <c r="AH39" i="10"/>
  <c r="AH36" i="10"/>
  <c r="AH23" i="10"/>
  <c r="AH15" i="10"/>
  <c r="AH53" i="10"/>
  <c r="AH47" i="10"/>
  <c r="AH44" i="10"/>
  <c r="AH28" i="10"/>
  <c r="AH20" i="10"/>
  <c r="AH25" i="10"/>
  <c r="AH17" i="10"/>
  <c r="AH22" i="10"/>
  <c r="AH14" i="10"/>
  <c r="AH52" i="10"/>
  <c r="AH24" i="10"/>
  <c r="AH19" i="10"/>
  <c r="AH16" i="10"/>
  <c r="AH13" i="10"/>
  <c r="AH37" i="10"/>
  <c r="AH35" i="10"/>
  <c r="AH31" i="10"/>
  <c r="AH29" i="10"/>
  <c r="AH18" i="10"/>
  <c r="AH34" i="10"/>
  <c r="AH55" i="10"/>
  <c r="AH26" i="10"/>
  <c r="AH21" i="10"/>
  <c r="AO176" i="10"/>
  <c r="AO178" i="10"/>
  <c r="AO170" i="10"/>
  <c r="AO175" i="10"/>
  <c r="AO167" i="10"/>
  <c r="AO172" i="10"/>
  <c r="AO174" i="10"/>
  <c r="AO166" i="10"/>
  <c r="AO173" i="10"/>
  <c r="AO171" i="10"/>
  <c r="AO159" i="10"/>
  <c r="AO165" i="10"/>
  <c r="AO164" i="10"/>
  <c r="AO169" i="10"/>
  <c r="AO160" i="10"/>
  <c r="AO158" i="10"/>
  <c r="AO149" i="10"/>
  <c r="AO177" i="10"/>
  <c r="AO155" i="10"/>
  <c r="AO154" i="10"/>
  <c r="AO148" i="10"/>
  <c r="AO156" i="10"/>
  <c r="AO147" i="10"/>
  <c r="AO145" i="10"/>
  <c r="AO168" i="10"/>
  <c r="AO161" i="10"/>
  <c r="AO157" i="10"/>
  <c r="AO143" i="10"/>
  <c r="AO142" i="10"/>
  <c r="AO152" i="10"/>
  <c r="AO146" i="10"/>
  <c r="AO138" i="10"/>
  <c r="AO128" i="10"/>
  <c r="AO163" i="10"/>
  <c r="AO153" i="10"/>
  <c r="AO141" i="10"/>
  <c r="AO136" i="10"/>
  <c r="AO133" i="10"/>
  <c r="AO125" i="10"/>
  <c r="AO139" i="10"/>
  <c r="AO135" i="10"/>
  <c r="AO127" i="10"/>
  <c r="AO116" i="10"/>
  <c r="AO151" i="10"/>
  <c r="AO132" i="10"/>
  <c r="AO130" i="10"/>
  <c r="AO129" i="10"/>
  <c r="AO126" i="10"/>
  <c r="AO162" i="10"/>
  <c r="AO134" i="10"/>
  <c r="AO150" i="10"/>
  <c r="AO123" i="10"/>
  <c r="AO115" i="10"/>
  <c r="AO140" i="10"/>
  <c r="AO131" i="10"/>
  <c r="AO120" i="10"/>
  <c r="AO118" i="10"/>
  <c r="AO117" i="10"/>
  <c r="AO121" i="10"/>
  <c r="AO105" i="10"/>
  <c r="AO144" i="10"/>
  <c r="AO110" i="10"/>
  <c r="AO102" i="10"/>
  <c r="AO112" i="10"/>
  <c r="AO107" i="10"/>
  <c r="AO122" i="10"/>
  <c r="AO104" i="10"/>
  <c r="AO101" i="10"/>
  <c r="AO124" i="10"/>
  <c r="AO94" i="10"/>
  <c r="AO86" i="10"/>
  <c r="AO99" i="10"/>
  <c r="AO91" i="10"/>
  <c r="AO113" i="10"/>
  <c r="AO93" i="10"/>
  <c r="AO85" i="10"/>
  <c r="AO114" i="10"/>
  <c r="AO106" i="10"/>
  <c r="AO100" i="10"/>
  <c r="AO119" i="10"/>
  <c r="AO109" i="10"/>
  <c r="AO103" i="10"/>
  <c r="AO77" i="10"/>
  <c r="AO137" i="10"/>
  <c r="AO111" i="10"/>
  <c r="AO90" i="10"/>
  <c r="AO88" i="10"/>
  <c r="AO87" i="10"/>
  <c r="AO82" i="10"/>
  <c r="AO98" i="10"/>
  <c r="AO96" i="10"/>
  <c r="AO95" i="10"/>
  <c r="AO92" i="10"/>
  <c r="AO89" i="10"/>
  <c r="AO79" i="10"/>
  <c r="AO108" i="10"/>
  <c r="AO67" i="10"/>
  <c r="AO78" i="10"/>
  <c r="AO72" i="10"/>
  <c r="AO64" i="10"/>
  <c r="AO81" i="10"/>
  <c r="AO69" i="10"/>
  <c r="AO61" i="10"/>
  <c r="AO84" i="10"/>
  <c r="AO80" i="10"/>
  <c r="AO66" i="10"/>
  <c r="AO63" i="10"/>
  <c r="AO53" i="10"/>
  <c r="AO74" i="10"/>
  <c r="AO71" i="10"/>
  <c r="AO68" i="10"/>
  <c r="AO65" i="10"/>
  <c r="AO62" i="10"/>
  <c r="AO73" i="10"/>
  <c r="AO70" i="10"/>
  <c r="AO60" i="10"/>
  <c r="AO52" i="10"/>
  <c r="AO44" i="10"/>
  <c r="AO36" i="10"/>
  <c r="AO97" i="10"/>
  <c r="AO76" i="10"/>
  <c r="AO75" i="10"/>
  <c r="AO57" i="10"/>
  <c r="AO49" i="10"/>
  <c r="AO41" i="10"/>
  <c r="AO33" i="10"/>
  <c r="AO54" i="10"/>
  <c r="AO83" i="10"/>
  <c r="AO59" i="10"/>
  <c r="AO51" i="10"/>
  <c r="AO43" i="10"/>
  <c r="AO35" i="10"/>
  <c r="AO48" i="10"/>
  <c r="AO46" i="10"/>
  <c r="AO45" i="10"/>
  <c r="AO42" i="10"/>
  <c r="AO39" i="10"/>
  <c r="AO22" i="10"/>
  <c r="AO24" i="10"/>
  <c r="AO58" i="10"/>
  <c r="AO50" i="10"/>
  <c r="AO26" i="10"/>
  <c r="AO18" i="10"/>
  <c r="AO55" i="10"/>
  <c r="AO23" i="10"/>
  <c r="AO15" i="10"/>
  <c r="AO32" i="10"/>
  <c r="AO30" i="10"/>
  <c r="AO29" i="10"/>
  <c r="AO28" i="10"/>
  <c r="AO20" i="10"/>
  <c r="AO37" i="10"/>
  <c r="AO31" i="10"/>
  <c r="AO21" i="10"/>
  <c r="AO47" i="10"/>
  <c r="AO56" i="10"/>
  <c r="AO25" i="10"/>
  <c r="AO40" i="10"/>
  <c r="AO38" i="10"/>
  <c r="AO34" i="10"/>
  <c r="AO17" i="10"/>
  <c r="AO14" i="10"/>
  <c r="AO27" i="10"/>
  <c r="AO19" i="10"/>
  <c r="AO16" i="10"/>
  <c r="AO13" i="10"/>
  <c r="H8" i="10"/>
  <c r="H9" i="10" s="1"/>
  <c r="H7" i="10"/>
  <c r="S8" i="10"/>
  <c r="S7" i="10"/>
  <c r="AL177" i="10"/>
  <c r="AL171" i="10"/>
  <c r="AL176" i="10"/>
  <c r="AL168" i="10"/>
  <c r="AL173" i="10"/>
  <c r="AL165" i="10"/>
  <c r="AL175" i="10"/>
  <c r="AL167" i="10"/>
  <c r="AL174" i="10"/>
  <c r="AL178" i="10"/>
  <c r="AL172" i="10"/>
  <c r="AL160" i="10"/>
  <c r="AL170" i="10"/>
  <c r="AL166" i="10"/>
  <c r="AL164" i="10"/>
  <c r="AL159" i="10"/>
  <c r="AL169" i="10"/>
  <c r="AL150" i="10"/>
  <c r="AL158" i="10"/>
  <c r="AL157" i="10"/>
  <c r="AL147" i="10"/>
  <c r="AL149" i="10"/>
  <c r="AL163" i="10"/>
  <c r="AL153" i="10"/>
  <c r="AL146" i="10"/>
  <c r="AL136" i="10"/>
  <c r="AL162" i="10"/>
  <c r="AL145" i="10"/>
  <c r="AL152" i="10"/>
  <c r="AL151" i="10"/>
  <c r="AL148" i="10"/>
  <c r="AL129" i="10"/>
  <c r="AL121" i="10"/>
  <c r="AL140" i="10"/>
  <c r="AL134" i="10"/>
  <c r="AL126" i="10"/>
  <c r="AL161" i="10"/>
  <c r="AL156" i="10"/>
  <c r="AL154" i="10"/>
  <c r="AL141" i="10"/>
  <c r="AL128" i="10"/>
  <c r="AL144" i="10"/>
  <c r="AL117" i="10"/>
  <c r="AL142" i="10"/>
  <c r="AL139" i="10"/>
  <c r="AL137" i="10"/>
  <c r="AL124" i="10"/>
  <c r="AL143" i="10"/>
  <c r="AL133" i="10"/>
  <c r="AL131" i="10"/>
  <c r="AL130" i="10"/>
  <c r="AL127" i="10"/>
  <c r="AL116" i="10"/>
  <c r="AL125" i="10"/>
  <c r="AL122" i="10"/>
  <c r="AL155" i="10"/>
  <c r="AL138" i="10"/>
  <c r="AL119" i="10"/>
  <c r="AL118" i="10"/>
  <c r="AL115" i="10"/>
  <c r="AL123" i="10"/>
  <c r="AL114" i="10"/>
  <c r="AL106" i="10"/>
  <c r="AL135" i="10"/>
  <c r="AL132" i="10"/>
  <c r="AL111" i="10"/>
  <c r="AL103" i="10"/>
  <c r="AL108" i="10"/>
  <c r="AL113" i="10"/>
  <c r="AL112" i="10"/>
  <c r="AL110" i="10"/>
  <c r="AL107" i="10"/>
  <c r="AL104" i="10"/>
  <c r="AL101" i="10"/>
  <c r="AL95" i="10"/>
  <c r="AL87" i="10"/>
  <c r="AL109" i="10"/>
  <c r="AL100" i="10"/>
  <c r="AL92" i="10"/>
  <c r="AL94" i="10"/>
  <c r="AL86" i="10"/>
  <c r="AL99" i="10"/>
  <c r="AL97" i="10"/>
  <c r="AL96" i="10"/>
  <c r="AL93" i="10"/>
  <c r="AL90" i="10"/>
  <c r="AL78" i="10"/>
  <c r="AL120" i="10"/>
  <c r="AL105" i="10"/>
  <c r="AL85" i="10"/>
  <c r="AL80" i="10"/>
  <c r="AL88" i="10"/>
  <c r="AL84" i="10"/>
  <c r="AL76" i="10"/>
  <c r="AL68" i="10"/>
  <c r="AL98" i="10"/>
  <c r="AL77" i="10"/>
  <c r="AL73" i="10"/>
  <c r="AL65" i="10"/>
  <c r="AL70" i="10"/>
  <c r="AL62" i="10"/>
  <c r="AL83" i="10"/>
  <c r="AL54" i="10"/>
  <c r="AL82" i="10"/>
  <c r="AL59" i="10"/>
  <c r="AL67" i="10"/>
  <c r="AL64" i="10"/>
  <c r="AL61" i="10"/>
  <c r="AL72" i="10"/>
  <c r="AL69" i="10"/>
  <c r="AL66" i="10"/>
  <c r="AL63" i="10"/>
  <c r="AL53" i="10"/>
  <c r="AL45" i="10"/>
  <c r="AL37" i="10"/>
  <c r="AL29" i="10"/>
  <c r="AL89" i="10"/>
  <c r="AL74" i="10"/>
  <c r="AL71" i="10"/>
  <c r="AL58" i="10"/>
  <c r="AL50" i="10"/>
  <c r="AL42" i="10"/>
  <c r="AL34" i="10"/>
  <c r="AL91" i="10"/>
  <c r="AL55" i="10"/>
  <c r="AL81" i="10"/>
  <c r="AL79" i="10"/>
  <c r="AL75" i="10"/>
  <c r="AL60" i="10"/>
  <c r="AL52" i="10"/>
  <c r="AL44" i="10"/>
  <c r="AL36" i="10"/>
  <c r="AL33" i="10"/>
  <c r="AL31" i="10"/>
  <c r="AL30" i="10"/>
  <c r="AL23" i="10"/>
  <c r="AL51" i="10"/>
  <c r="AL49" i="10"/>
  <c r="AL47" i="10"/>
  <c r="AL46" i="10"/>
  <c r="AL43" i="10"/>
  <c r="AL40" i="10"/>
  <c r="AL25" i="10"/>
  <c r="AL102" i="10"/>
  <c r="AL27" i="10"/>
  <c r="AL19" i="10"/>
  <c r="AL24" i="10"/>
  <c r="AL16" i="10"/>
  <c r="AL21" i="10"/>
  <c r="AL13" i="10"/>
  <c r="AL20" i="10"/>
  <c r="AL17" i="10"/>
  <c r="AL14" i="10"/>
  <c r="AL41" i="10"/>
  <c r="AL39" i="10"/>
  <c r="AL35" i="10"/>
  <c r="AL26" i="10"/>
  <c r="AL15" i="10"/>
  <c r="AL28" i="10"/>
  <c r="AL57" i="10"/>
  <c r="AL56" i="10"/>
  <c r="AL22" i="10"/>
  <c r="AL38" i="10"/>
  <c r="AL32" i="10"/>
  <c r="AL48" i="10"/>
  <c r="AL18" i="10"/>
  <c r="U174" i="10"/>
  <c r="U166" i="10"/>
  <c r="U171" i="10"/>
  <c r="U176" i="10"/>
  <c r="U168" i="10"/>
  <c r="U178" i="10"/>
  <c r="U170" i="10"/>
  <c r="U169" i="10"/>
  <c r="U161" i="10"/>
  <c r="U167" i="10"/>
  <c r="U163" i="10"/>
  <c r="U172" i="10"/>
  <c r="U162" i="10"/>
  <c r="U160" i="10"/>
  <c r="U159" i="10"/>
  <c r="U155" i="10"/>
  <c r="U175" i="10"/>
  <c r="U157" i="10"/>
  <c r="U173" i="10"/>
  <c r="U177" i="10"/>
  <c r="U145" i="10"/>
  <c r="U153" i="10"/>
  <c r="U150" i="10"/>
  <c r="U158" i="10"/>
  <c r="U152" i="10"/>
  <c r="U164" i="10"/>
  <c r="U149" i="10"/>
  <c r="U144" i="10"/>
  <c r="U139" i="10"/>
  <c r="U147" i="10"/>
  <c r="U156" i="10"/>
  <c r="U148" i="10"/>
  <c r="U154" i="10"/>
  <c r="U143" i="10"/>
  <c r="U141" i="10"/>
  <c r="U140" i="10"/>
  <c r="U132" i="10"/>
  <c r="U124" i="10"/>
  <c r="U146" i="10"/>
  <c r="U138" i="10"/>
  <c r="U129" i="10"/>
  <c r="U131" i="10"/>
  <c r="U151" i="10"/>
  <c r="U120" i="10"/>
  <c r="U112" i="10"/>
  <c r="U122" i="10"/>
  <c r="U117" i="10"/>
  <c r="U165" i="10"/>
  <c r="U137" i="10"/>
  <c r="U119" i="10"/>
  <c r="U127" i="10"/>
  <c r="U125" i="10"/>
  <c r="U142" i="10"/>
  <c r="U136" i="10"/>
  <c r="U135" i="10"/>
  <c r="U130" i="10"/>
  <c r="U116" i="10"/>
  <c r="U109" i="10"/>
  <c r="U101" i="10"/>
  <c r="U123" i="10"/>
  <c r="U121" i="10"/>
  <c r="U118" i="10"/>
  <c r="U115" i="10"/>
  <c r="U106" i="10"/>
  <c r="U111" i="10"/>
  <c r="U103" i="10"/>
  <c r="U114" i="10"/>
  <c r="U133" i="10"/>
  <c r="U98" i="10"/>
  <c r="U90" i="10"/>
  <c r="U95" i="10"/>
  <c r="U87" i="10"/>
  <c r="U134" i="10"/>
  <c r="U108" i="10"/>
  <c r="U105" i="10"/>
  <c r="U102" i="10"/>
  <c r="U100" i="10"/>
  <c r="U126" i="10"/>
  <c r="U110" i="10"/>
  <c r="U107" i="10"/>
  <c r="U104" i="10"/>
  <c r="U97" i="10"/>
  <c r="U89" i="10"/>
  <c r="U128" i="10"/>
  <c r="U94" i="10"/>
  <c r="U92" i="10"/>
  <c r="U91" i="10"/>
  <c r="U88" i="10"/>
  <c r="U113" i="10"/>
  <c r="U81" i="10"/>
  <c r="U83" i="10"/>
  <c r="U86" i="10"/>
  <c r="U85" i="10"/>
  <c r="U78" i="10"/>
  <c r="U71" i="10"/>
  <c r="U63" i="10"/>
  <c r="U99" i="10"/>
  <c r="U93" i="10"/>
  <c r="U68" i="10"/>
  <c r="U79" i="10"/>
  <c r="U73" i="10"/>
  <c r="U65" i="10"/>
  <c r="U80" i="10"/>
  <c r="U57" i="10"/>
  <c r="U82" i="10"/>
  <c r="U56" i="10"/>
  <c r="U48" i="10"/>
  <c r="U40" i="10"/>
  <c r="U32" i="10"/>
  <c r="U62" i="10"/>
  <c r="U53" i="10"/>
  <c r="U45" i="10"/>
  <c r="U37" i="10"/>
  <c r="U96" i="10"/>
  <c r="U70" i="10"/>
  <c r="U67" i="10"/>
  <c r="U64" i="10"/>
  <c r="U61" i="10"/>
  <c r="U58" i="10"/>
  <c r="U84" i="10"/>
  <c r="U77" i="10"/>
  <c r="U76" i="10"/>
  <c r="U75" i="10"/>
  <c r="U72" i="10"/>
  <c r="U69" i="10"/>
  <c r="U66" i="10"/>
  <c r="U55" i="10"/>
  <c r="U47" i="10"/>
  <c r="U39" i="10"/>
  <c r="U31" i="10"/>
  <c r="U59" i="10"/>
  <c r="U26" i="10"/>
  <c r="U74" i="10"/>
  <c r="U60" i="10"/>
  <c r="U28" i="10"/>
  <c r="U44" i="10"/>
  <c r="U42" i="10"/>
  <c r="U41" i="10"/>
  <c r="U38" i="10"/>
  <c r="U35" i="10"/>
  <c r="U22" i="10"/>
  <c r="U14" i="10"/>
  <c r="U52" i="10"/>
  <c r="U50" i="10"/>
  <c r="U49" i="10"/>
  <c r="U46" i="10"/>
  <c r="U43" i="10"/>
  <c r="U27" i="10"/>
  <c r="U19" i="10"/>
  <c r="U24" i="10"/>
  <c r="U16" i="10"/>
  <c r="U13" i="10"/>
  <c r="U36" i="10"/>
  <c r="U34" i="10"/>
  <c r="U30" i="10"/>
  <c r="U23" i="10"/>
  <c r="U21" i="10"/>
  <c r="U18" i="10"/>
  <c r="U15" i="10"/>
  <c r="U51" i="10"/>
  <c r="U20" i="10"/>
  <c r="U17" i="10"/>
  <c r="U25" i="10"/>
  <c r="U54" i="10"/>
  <c r="U29" i="10"/>
  <c r="U33" i="10"/>
  <c r="T177" i="10"/>
  <c r="T169" i="10"/>
  <c r="T174" i="10"/>
  <c r="T171" i="10"/>
  <c r="T173" i="10"/>
  <c r="T166" i="10"/>
  <c r="T164" i="10"/>
  <c r="T167" i="10"/>
  <c r="T165" i="10"/>
  <c r="T158" i="10"/>
  <c r="T170" i="10"/>
  <c r="T175" i="10"/>
  <c r="T178" i="10"/>
  <c r="T168" i="10"/>
  <c r="T148" i="10"/>
  <c r="T172" i="10"/>
  <c r="T159" i="10"/>
  <c r="T155" i="10"/>
  <c r="T146" i="10"/>
  <c r="T142" i="10"/>
  <c r="T163" i="10"/>
  <c r="T153" i="10"/>
  <c r="T151" i="10"/>
  <c r="T160" i="10"/>
  <c r="T147" i="10"/>
  <c r="T141" i="10"/>
  <c r="T176" i="10"/>
  <c r="T154" i="10"/>
  <c r="T135" i="10"/>
  <c r="T127" i="10"/>
  <c r="T140" i="10"/>
  <c r="T132" i="10"/>
  <c r="T157" i="10"/>
  <c r="T134" i="10"/>
  <c r="T126" i="10"/>
  <c r="T161" i="10"/>
  <c r="T124" i="10"/>
  <c r="T115" i="10"/>
  <c r="T156" i="10"/>
  <c r="T149" i="10"/>
  <c r="T120" i="10"/>
  <c r="T144" i="10"/>
  <c r="T139" i="10"/>
  <c r="T162" i="10"/>
  <c r="T152" i="10"/>
  <c r="T137" i="10"/>
  <c r="T114" i="10"/>
  <c r="T131" i="10"/>
  <c r="T129" i="10"/>
  <c r="T145" i="10"/>
  <c r="T122" i="10"/>
  <c r="T150" i="10"/>
  <c r="T136" i="10"/>
  <c r="T133" i="10"/>
  <c r="T128" i="10"/>
  <c r="T104" i="10"/>
  <c r="T143" i="10"/>
  <c r="T130" i="10"/>
  <c r="T119" i="10"/>
  <c r="T117" i="10"/>
  <c r="T116" i="10"/>
  <c r="T109" i="10"/>
  <c r="T101" i="10"/>
  <c r="T123" i="10"/>
  <c r="T121" i="10"/>
  <c r="T118" i="10"/>
  <c r="T112" i="10"/>
  <c r="T106" i="10"/>
  <c r="T113" i="10"/>
  <c r="T93" i="10"/>
  <c r="T85" i="10"/>
  <c r="T98" i="10"/>
  <c r="T90" i="10"/>
  <c r="T103" i="10"/>
  <c r="T138" i="10"/>
  <c r="T125" i="10"/>
  <c r="T111" i="10"/>
  <c r="T108" i="10"/>
  <c r="T105" i="10"/>
  <c r="T102" i="10"/>
  <c r="T100" i="10"/>
  <c r="T92" i="10"/>
  <c r="T84" i="10"/>
  <c r="T89" i="10"/>
  <c r="T87" i="10"/>
  <c r="T99" i="10"/>
  <c r="T96" i="10"/>
  <c r="T86" i="10"/>
  <c r="T76" i="10"/>
  <c r="T110" i="10"/>
  <c r="T81" i="10"/>
  <c r="T78" i="10"/>
  <c r="T107" i="10"/>
  <c r="T82" i="10"/>
  <c r="T74" i="10"/>
  <c r="T66" i="10"/>
  <c r="T97" i="10"/>
  <c r="T95" i="10"/>
  <c r="T91" i="10"/>
  <c r="T71" i="10"/>
  <c r="T63" i="10"/>
  <c r="T68" i="10"/>
  <c r="T60" i="10"/>
  <c r="T52" i="10"/>
  <c r="T80" i="10"/>
  <c r="T94" i="10"/>
  <c r="T59" i="10"/>
  <c r="T51" i="10"/>
  <c r="T43" i="10"/>
  <c r="T35" i="10"/>
  <c r="T56" i="10"/>
  <c r="T48" i="10"/>
  <c r="T40" i="10"/>
  <c r="T32" i="10"/>
  <c r="T83" i="10"/>
  <c r="T65" i="10"/>
  <c r="T62" i="10"/>
  <c r="T53" i="10"/>
  <c r="T79" i="10"/>
  <c r="T73" i="10"/>
  <c r="T70" i="10"/>
  <c r="T67" i="10"/>
  <c r="T64" i="10"/>
  <c r="T61" i="10"/>
  <c r="T58" i="10"/>
  <c r="T50" i="10"/>
  <c r="T42" i="10"/>
  <c r="T34" i="10"/>
  <c r="T54" i="10"/>
  <c r="T29" i="10"/>
  <c r="T72" i="10"/>
  <c r="T23" i="10"/>
  <c r="T55" i="10"/>
  <c r="T39" i="10"/>
  <c r="T37" i="10"/>
  <c r="T36" i="10"/>
  <c r="T33" i="10"/>
  <c r="T30" i="10"/>
  <c r="T25" i="10"/>
  <c r="T17" i="10"/>
  <c r="T75" i="10"/>
  <c r="T69" i="10"/>
  <c r="T47" i="10"/>
  <c r="T45" i="10"/>
  <c r="T44" i="10"/>
  <c r="T41" i="10"/>
  <c r="T38" i="10"/>
  <c r="T22" i="10"/>
  <c r="T14" i="10"/>
  <c r="T57" i="10"/>
  <c r="T49" i="10"/>
  <c r="T46" i="10"/>
  <c r="T27" i="10"/>
  <c r="T19" i="10"/>
  <c r="T88" i="10"/>
  <c r="T26" i="10"/>
  <c r="T24" i="10"/>
  <c r="T16" i="10"/>
  <c r="T13" i="10"/>
  <c r="T28" i="10"/>
  <c r="T21" i="10"/>
  <c r="T18" i="10"/>
  <c r="T15" i="10"/>
  <c r="T77" i="10"/>
  <c r="T20" i="10"/>
  <c r="T31" i="10"/>
  <c r="Y176" i="10"/>
  <c r="Y178" i="10"/>
  <c r="Y170" i="10"/>
  <c r="Y175" i="10"/>
  <c r="Y167" i="10"/>
  <c r="Y172" i="10"/>
  <c r="Y174" i="10"/>
  <c r="Y166" i="10"/>
  <c r="Y173" i="10"/>
  <c r="Y165" i="10"/>
  <c r="Y177" i="10"/>
  <c r="Y171" i="10"/>
  <c r="Y159" i="10"/>
  <c r="Y169" i="10"/>
  <c r="Y168" i="10"/>
  <c r="Y158" i="10"/>
  <c r="Y149" i="10"/>
  <c r="Y156" i="10"/>
  <c r="Y154" i="10"/>
  <c r="Y164" i="10"/>
  <c r="Y163" i="10"/>
  <c r="Y162" i="10"/>
  <c r="Y161" i="10"/>
  <c r="Y157" i="10"/>
  <c r="Y145" i="10"/>
  <c r="Y155" i="10"/>
  <c r="Y146" i="10"/>
  <c r="Y142" i="10"/>
  <c r="Y144" i="10"/>
  <c r="Y136" i="10"/>
  <c r="Y128" i="10"/>
  <c r="Y147" i="10"/>
  <c r="Y139" i="10"/>
  <c r="Y133" i="10"/>
  <c r="Y135" i="10"/>
  <c r="Y127" i="10"/>
  <c r="Y150" i="10"/>
  <c r="Y153" i="10"/>
  <c r="Y116" i="10"/>
  <c r="Y160" i="10"/>
  <c r="Y123" i="10"/>
  <c r="Y152" i="10"/>
  <c r="Y148" i="10"/>
  <c r="Y151" i="10"/>
  <c r="Y141" i="10"/>
  <c r="Y140" i="10"/>
  <c r="Y132" i="10"/>
  <c r="Y130" i="10"/>
  <c r="Y129" i="10"/>
  <c r="Y126" i="10"/>
  <c r="Y125" i="10"/>
  <c r="Y115" i="10"/>
  <c r="Y120" i="10"/>
  <c r="Y118" i="10"/>
  <c r="Y117" i="10"/>
  <c r="Y143" i="10"/>
  <c r="Y137" i="10"/>
  <c r="Y113" i="10"/>
  <c r="Y105" i="10"/>
  <c r="Y138" i="10"/>
  <c r="Y110" i="10"/>
  <c r="Y102" i="10"/>
  <c r="Y131" i="10"/>
  <c r="Y114" i="10"/>
  <c r="Y107" i="10"/>
  <c r="Y122" i="10"/>
  <c r="Y109" i="10"/>
  <c r="Y106" i="10"/>
  <c r="Y103" i="10"/>
  <c r="Y94" i="10"/>
  <c r="Y86" i="10"/>
  <c r="Y134" i="10"/>
  <c r="Y111" i="10"/>
  <c r="Y108" i="10"/>
  <c r="Y99" i="10"/>
  <c r="Y91" i="10"/>
  <c r="Y124" i="10"/>
  <c r="Y121" i="10"/>
  <c r="Y119" i="10"/>
  <c r="Y112" i="10"/>
  <c r="Y93" i="10"/>
  <c r="Y85" i="10"/>
  <c r="Y101" i="10"/>
  <c r="Y98" i="10"/>
  <c r="Y96" i="10"/>
  <c r="Y95" i="10"/>
  <c r="Y92" i="10"/>
  <c r="Y89" i="10"/>
  <c r="Y104" i="10"/>
  <c r="Y77" i="10"/>
  <c r="Y84" i="10"/>
  <c r="Y82" i="10"/>
  <c r="Y100" i="10"/>
  <c r="Y79" i="10"/>
  <c r="Y97" i="10"/>
  <c r="Y75" i="10"/>
  <c r="Y67" i="10"/>
  <c r="Y76" i="10"/>
  <c r="Y72" i="10"/>
  <c r="Y64" i="10"/>
  <c r="Y69" i="10"/>
  <c r="Y61" i="10"/>
  <c r="Y53" i="10"/>
  <c r="Y81" i="10"/>
  <c r="Y66" i="10"/>
  <c r="Y63" i="10"/>
  <c r="Y74" i="10"/>
  <c r="Y71" i="10"/>
  <c r="Y68" i="10"/>
  <c r="Y65" i="10"/>
  <c r="Y62" i="10"/>
  <c r="Y60" i="10"/>
  <c r="Y52" i="10"/>
  <c r="Y44" i="10"/>
  <c r="Y36" i="10"/>
  <c r="Y83" i="10"/>
  <c r="Y78" i="10"/>
  <c r="Y73" i="10"/>
  <c r="Y70" i="10"/>
  <c r="Y57" i="10"/>
  <c r="Y49" i="10"/>
  <c r="Y41" i="10"/>
  <c r="Y33" i="10"/>
  <c r="Y88" i="10"/>
  <c r="Y54" i="10"/>
  <c r="Y90" i="10"/>
  <c r="Y87" i="10"/>
  <c r="Y59" i="10"/>
  <c r="Y51" i="10"/>
  <c r="Y43" i="10"/>
  <c r="Y35" i="10"/>
  <c r="Y32" i="10"/>
  <c r="Y30" i="10"/>
  <c r="Y22" i="10"/>
  <c r="Y58" i="10"/>
  <c r="Y48" i="10"/>
  <c r="Y46" i="10"/>
  <c r="Y45" i="10"/>
  <c r="Y42" i="10"/>
  <c r="Y39" i="10"/>
  <c r="Y24" i="10"/>
  <c r="Y26" i="10"/>
  <c r="Y18" i="10"/>
  <c r="Y23" i="10"/>
  <c r="Y15" i="10"/>
  <c r="Y80" i="10"/>
  <c r="Y28" i="10"/>
  <c r="Y20" i="10"/>
  <c r="Y19" i="10"/>
  <c r="Y16" i="10"/>
  <c r="Y13" i="10"/>
  <c r="Y40" i="10"/>
  <c r="Y38" i="10"/>
  <c r="Y34" i="10"/>
  <c r="Y21" i="10"/>
  <c r="Y50" i="10"/>
  <c r="Y25" i="10"/>
  <c r="Y17" i="10"/>
  <c r="Y14" i="10"/>
  <c r="Y27" i="10"/>
  <c r="Y37" i="10"/>
  <c r="Y31" i="10"/>
  <c r="Y56" i="10"/>
  <c r="Y55" i="10"/>
  <c r="Y47" i="10"/>
  <c r="Y29" i="10"/>
  <c r="Z175" i="10"/>
  <c r="Z167" i="10"/>
  <c r="Z172" i="10"/>
  <c r="Z177" i="10"/>
  <c r="Z169" i="10"/>
  <c r="Z171" i="10"/>
  <c r="Z162" i="10"/>
  <c r="Z164" i="10"/>
  <c r="Z176" i="10"/>
  <c r="Z174" i="10"/>
  <c r="Z163" i="10"/>
  <c r="Z161" i="10"/>
  <c r="Z156" i="10"/>
  <c r="Z168" i="10"/>
  <c r="Z158" i="10"/>
  <c r="Z178" i="10"/>
  <c r="Z173" i="10"/>
  <c r="Z166" i="10"/>
  <c r="Z160" i="10"/>
  <c r="Z159" i="10"/>
  <c r="Z154" i="10"/>
  <c r="Z146" i="10"/>
  <c r="Z151" i="10"/>
  <c r="Z165" i="10"/>
  <c r="Z143" i="10"/>
  <c r="Z140" i="10"/>
  <c r="Z142" i="10"/>
  <c r="Z150" i="10"/>
  <c r="Z170" i="10"/>
  <c r="Z147" i="10"/>
  <c r="Z139" i="10"/>
  <c r="Z133" i="10"/>
  <c r="Z125" i="10"/>
  <c r="Z137" i="10"/>
  <c r="Z130" i="10"/>
  <c r="Z144" i="10"/>
  <c r="Z132" i="10"/>
  <c r="Z157" i="10"/>
  <c r="Z123" i="10"/>
  <c r="Z113" i="10"/>
  <c r="Z152" i="10"/>
  <c r="Z148" i="10"/>
  <c r="Z121" i="10"/>
  <c r="Z118" i="10"/>
  <c r="Z145" i="10"/>
  <c r="Z141" i="10"/>
  <c r="Z138" i="10"/>
  <c r="Z135" i="10"/>
  <c r="Z134" i="10"/>
  <c r="Z131" i="10"/>
  <c r="Z128" i="10"/>
  <c r="Z124" i="10"/>
  <c r="Z120" i="10"/>
  <c r="Z112" i="10"/>
  <c r="Z153" i="10"/>
  <c r="Z136" i="10"/>
  <c r="Z155" i="10"/>
  <c r="Z119" i="10"/>
  <c r="Z116" i="10"/>
  <c r="Z110" i="10"/>
  <c r="Z102" i="10"/>
  <c r="Z129" i="10"/>
  <c r="Z127" i="10"/>
  <c r="Z114" i="10"/>
  <c r="Z107" i="10"/>
  <c r="Z122" i="10"/>
  <c r="Z104" i="10"/>
  <c r="Z100" i="10"/>
  <c r="Z111" i="10"/>
  <c r="Z108" i="10"/>
  <c r="Z105" i="10"/>
  <c r="Z99" i="10"/>
  <c r="Z91" i="10"/>
  <c r="Z83" i="10"/>
  <c r="Z149" i="10"/>
  <c r="Z96" i="10"/>
  <c r="Z88" i="10"/>
  <c r="Z126" i="10"/>
  <c r="Z117" i="10"/>
  <c r="Z115" i="10"/>
  <c r="Z98" i="10"/>
  <c r="Z90" i="10"/>
  <c r="Z109" i="10"/>
  <c r="Z103" i="10"/>
  <c r="Z97" i="10"/>
  <c r="Z94" i="10"/>
  <c r="Z106" i="10"/>
  <c r="Z84" i="10"/>
  <c r="Z82" i="10"/>
  <c r="Z87" i="10"/>
  <c r="Z85" i="10"/>
  <c r="Z76" i="10"/>
  <c r="Z101" i="10"/>
  <c r="Z72" i="10"/>
  <c r="Z64" i="10"/>
  <c r="Z69" i="10"/>
  <c r="Z61" i="10"/>
  <c r="Z74" i="10"/>
  <c r="Z66" i="10"/>
  <c r="Z58" i="10"/>
  <c r="Z93" i="10"/>
  <c r="Z81" i="10"/>
  <c r="Z63" i="10"/>
  <c r="Z95" i="10"/>
  <c r="Z71" i="10"/>
  <c r="Z68" i="10"/>
  <c r="Z65" i="10"/>
  <c r="Z62" i="10"/>
  <c r="Z60" i="10"/>
  <c r="Z78" i="10"/>
  <c r="Z77" i="10"/>
  <c r="Z73" i="10"/>
  <c r="Z70" i="10"/>
  <c r="Z67" i="10"/>
  <c r="Z57" i="10"/>
  <c r="Z49" i="10"/>
  <c r="Z41" i="10"/>
  <c r="Z33" i="10"/>
  <c r="Z79" i="10"/>
  <c r="Z75" i="10"/>
  <c r="Z54" i="10"/>
  <c r="Z46" i="10"/>
  <c r="Z38" i="10"/>
  <c r="Z30" i="10"/>
  <c r="Z59" i="10"/>
  <c r="Z51" i="10"/>
  <c r="Z86" i="10"/>
  <c r="Z80" i="10"/>
  <c r="Z56" i="10"/>
  <c r="Z48" i="10"/>
  <c r="Z40" i="10"/>
  <c r="Z32" i="10"/>
  <c r="Z53" i="10"/>
  <c r="Z37" i="10"/>
  <c r="Z35" i="10"/>
  <c r="Z34" i="10"/>
  <c r="Z31" i="10"/>
  <c r="Z27" i="10"/>
  <c r="Z55" i="10"/>
  <c r="Z50" i="10"/>
  <c r="Z47" i="10"/>
  <c r="Z44" i="10"/>
  <c r="Z29" i="10"/>
  <c r="Z92" i="10"/>
  <c r="Z52" i="10"/>
  <c r="Z23" i="10"/>
  <c r="Z15" i="10"/>
  <c r="Z28" i="10"/>
  <c r="Z20" i="10"/>
  <c r="Z89" i="10"/>
  <c r="Z25" i="10"/>
  <c r="Z17" i="10"/>
  <c r="Z21" i="10"/>
  <c r="Z18" i="10"/>
  <c r="Z42" i="10"/>
  <c r="Z36" i="10"/>
  <c r="Z22" i="10"/>
  <c r="Z26" i="10"/>
  <c r="Z16" i="10"/>
  <c r="Z45" i="10"/>
  <c r="Z43" i="10"/>
  <c r="Z39" i="10"/>
  <c r="Z24" i="10"/>
  <c r="Z19" i="10"/>
  <c r="Z13" i="10"/>
  <c r="Z14" i="10"/>
  <c r="AG176" i="10"/>
  <c r="AG178" i="10"/>
  <c r="AG170" i="10"/>
  <c r="AG175" i="10"/>
  <c r="AG167" i="10"/>
  <c r="AG172" i="10"/>
  <c r="AG174" i="10"/>
  <c r="AG166" i="10"/>
  <c r="AG165" i="10"/>
  <c r="AG159" i="10"/>
  <c r="AG168" i="10"/>
  <c r="AG164" i="10"/>
  <c r="AG160" i="10"/>
  <c r="AG171" i="10"/>
  <c r="AG177" i="10"/>
  <c r="AG158" i="10"/>
  <c r="AG169" i="10"/>
  <c r="AG163" i="10"/>
  <c r="AG162" i="10"/>
  <c r="AG161" i="10"/>
  <c r="AG149" i="10"/>
  <c r="AG155" i="10"/>
  <c r="AG173" i="10"/>
  <c r="AG156" i="10"/>
  <c r="AG147" i="10"/>
  <c r="AG152" i="10"/>
  <c r="AG143" i="10"/>
  <c r="AG153" i="10"/>
  <c r="AG142" i="10"/>
  <c r="AG157" i="10"/>
  <c r="AG144" i="10"/>
  <c r="AG136" i="10"/>
  <c r="AG128" i="10"/>
  <c r="AG133" i="10"/>
  <c r="AG125" i="10"/>
  <c r="AG146" i="10"/>
  <c r="AG137" i="10"/>
  <c r="AG135" i="10"/>
  <c r="AG127" i="10"/>
  <c r="AG148" i="10"/>
  <c r="AG145" i="10"/>
  <c r="AG141" i="10"/>
  <c r="AG138" i="10"/>
  <c r="AG116" i="10"/>
  <c r="AG151" i="10"/>
  <c r="AG139" i="10"/>
  <c r="AG121" i="10"/>
  <c r="AG115" i="10"/>
  <c r="AG134" i="10"/>
  <c r="AG150" i="10"/>
  <c r="AG140" i="10"/>
  <c r="AG154" i="10"/>
  <c r="AG131" i="10"/>
  <c r="AG112" i="10"/>
  <c r="AG105" i="10"/>
  <c r="AG120" i="10"/>
  <c r="AG118" i="10"/>
  <c r="AG117" i="10"/>
  <c r="AG110" i="10"/>
  <c r="AG102" i="10"/>
  <c r="AG119" i="10"/>
  <c r="AG113" i="10"/>
  <c r="AG107" i="10"/>
  <c r="AG94" i="10"/>
  <c r="AG86" i="10"/>
  <c r="AG126" i="10"/>
  <c r="AG99" i="10"/>
  <c r="AG91" i="10"/>
  <c r="AG124" i="10"/>
  <c r="AG104" i="10"/>
  <c r="AG101" i="10"/>
  <c r="AG130" i="10"/>
  <c r="AG129" i="10"/>
  <c r="AG109" i="10"/>
  <c r="AG106" i="10"/>
  <c r="AG103" i="10"/>
  <c r="AG93" i="10"/>
  <c r="AG85" i="10"/>
  <c r="AG114" i="10"/>
  <c r="AG108" i="10"/>
  <c r="AG90" i="10"/>
  <c r="AG88" i="10"/>
  <c r="AG87" i="10"/>
  <c r="AG97" i="10"/>
  <c r="AG77" i="10"/>
  <c r="AG83" i="10"/>
  <c r="AG82" i="10"/>
  <c r="AG132" i="10"/>
  <c r="AG122" i="10"/>
  <c r="AG111" i="10"/>
  <c r="AG79" i="10"/>
  <c r="AG95" i="10"/>
  <c r="AG80" i="10"/>
  <c r="AG67" i="10"/>
  <c r="AG123" i="10"/>
  <c r="AG84" i="10"/>
  <c r="AG72" i="10"/>
  <c r="AG64" i="10"/>
  <c r="AG98" i="10"/>
  <c r="AG96" i="10"/>
  <c r="AG92" i="10"/>
  <c r="AG75" i="10"/>
  <c r="AG69" i="10"/>
  <c r="AG61" i="10"/>
  <c r="AG81" i="10"/>
  <c r="AG53" i="10"/>
  <c r="AG78" i="10"/>
  <c r="AG60" i="10"/>
  <c r="AG52" i="10"/>
  <c r="AG44" i="10"/>
  <c r="AG36" i="10"/>
  <c r="AG57" i="10"/>
  <c r="AG49" i="10"/>
  <c r="AG41" i="10"/>
  <c r="AG33" i="10"/>
  <c r="AG100" i="10"/>
  <c r="AG66" i="10"/>
  <c r="AG63" i="10"/>
  <c r="AG54" i="10"/>
  <c r="AG89" i="10"/>
  <c r="AG74" i="10"/>
  <c r="AG71" i="10"/>
  <c r="AG68" i="10"/>
  <c r="AG65" i="10"/>
  <c r="AG62" i="10"/>
  <c r="AG59" i="10"/>
  <c r="AG51" i="10"/>
  <c r="AG43" i="10"/>
  <c r="AG35" i="10"/>
  <c r="AG70" i="10"/>
  <c r="AG55" i="10"/>
  <c r="AG22" i="10"/>
  <c r="AG76" i="10"/>
  <c r="AG24" i="10"/>
  <c r="AG73" i="10"/>
  <c r="AG56" i="10"/>
  <c r="AG40" i="10"/>
  <c r="AG38" i="10"/>
  <c r="AG37" i="10"/>
  <c r="AG34" i="10"/>
  <c r="AG31" i="10"/>
  <c r="AG29" i="10"/>
  <c r="AG26" i="10"/>
  <c r="AG18" i="10"/>
  <c r="AG48" i="10"/>
  <c r="AG46" i="10"/>
  <c r="AG45" i="10"/>
  <c r="AG42" i="10"/>
  <c r="AG39" i="10"/>
  <c r="AG23" i="10"/>
  <c r="AG15" i="10"/>
  <c r="AG58" i="10"/>
  <c r="AG47" i="10"/>
  <c r="AG28" i="10"/>
  <c r="AG20" i="10"/>
  <c r="AG50" i="10"/>
  <c r="AG25" i="10"/>
  <c r="AG27" i="10"/>
  <c r="AG17" i="10"/>
  <c r="AG14" i="10"/>
  <c r="AG19" i="10"/>
  <c r="AG16" i="10"/>
  <c r="AG13" i="10"/>
  <c r="AG32" i="10"/>
  <c r="AG30" i="10"/>
  <c r="AG21" i="10"/>
  <c r="AU176" i="10"/>
  <c r="AU168" i="10"/>
  <c r="AU173" i="10"/>
  <c r="AU178" i="10"/>
  <c r="AU170" i="10"/>
  <c r="AU172" i="10"/>
  <c r="AU171" i="10"/>
  <c r="AU163" i="10"/>
  <c r="AU177" i="10"/>
  <c r="AU169" i="10"/>
  <c r="AU174" i="10"/>
  <c r="AU167" i="10"/>
  <c r="AU164" i="10"/>
  <c r="AU157" i="10"/>
  <c r="AU162" i="10"/>
  <c r="AU161" i="10"/>
  <c r="AU159" i="10"/>
  <c r="AU175" i="10"/>
  <c r="AU160" i="10"/>
  <c r="AU156" i="10"/>
  <c r="AU147" i="10"/>
  <c r="AU152" i="10"/>
  <c r="AU166" i="10"/>
  <c r="AU155" i="10"/>
  <c r="AU151" i="10"/>
  <c r="AU149" i="10"/>
  <c r="AU148" i="10"/>
  <c r="AU146" i="10"/>
  <c r="AU141" i="10"/>
  <c r="AU153" i="10"/>
  <c r="AU140" i="10"/>
  <c r="AU165" i="10"/>
  <c r="AU158" i="10"/>
  <c r="AU145" i="10"/>
  <c r="AU142" i="10"/>
  <c r="AU143" i="10"/>
  <c r="AU134" i="10"/>
  <c r="AU126" i="10"/>
  <c r="AU154" i="10"/>
  <c r="AU131" i="10"/>
  <c r="AU133" i="10"/>
  <c r="AU125" i="10"/>
  <c r="AU114" i="10"/>
  <c r="AU124" i="10"/>
  <c r="AU119" i="10"/>
  <c r="AU150" i="10"/>
  <c r="AU144" i="10"/>
  <c r="AU113" i="10"/>
  <c r="AU138" i="10"/>
  <c r="AU121" i="10"/>
  <c r="AU139" i="10"/>
  <c r="AU136" i="10"/>
  <c r="AU118" i="10"/>
  <c r="AU116" i="10"/>
  <c r="AU115" i="10"/>
  <c r="AU111" i="10"/>
  <c r="AU103" i="10"/>
  <c r="AU137" i="10"/>
  <c r="AU127" i="10"/>
  <c r="AU120" i="10"/>
  <c r="AU117" i="10"/>
  <c r="AU108" i="10"/>
  <c r="AU100" i="10"/>
  <c r="AU129" i="10"/>
  <c r="AU105" i="10"/>
  <c r="AU128" i="10"/>
  <c r="AU92" i="10"/>
  <c r="AU84" i="10"/>
  <c r="AU135" i="10"/>
  <c r="AU130" i="10"/>
  <c r="AU123" i="10"/>
  <c r="AU112" i="10"/>
  <c r="AU102" i="10"/>
  <c r="AU97" i="10"/>
  <c r="AU89" i="10"/>
  <c r="AU110" i="10"/>
  <c r="AU107" i="10"/>
  <c r="AU104" i="10"/>
  <c r="AU101" i="10"/>
  <c r="AU132" i="10"/>
  <c r="AU109" i="10"/>
  <c r="AU106" i="10"/>
  <c r="AU99" i="10"/>
  <c r="AU91" i="10"/>
  <c r="AU83" i="10"/>
  <c r="AU96" i="10"/>
  <c r="AU94" i="10"/>
  <c r="AU93" i="10"/>
  <c r="AU90" i="10"/>
  <c r="AU87" i="10"/>
  <c r="AU122" i="10"/>
  <c r="AU75" i="10"/>
  <c r="AU80" i="10"/>
  <c r="AU85" i="10"/>
  <c r="AU77" i="10"/>
  <c r="AU73" i="10"/>
  <c r="AU65" i="10"/>
  <c r="AU76" i="10"/>
  <c r="AU70" i="10"/>
  <c r="AU62" i="10"/>
  <c r="AU67" i="10"/>
  <c r="AU59" i="10"/>
  <c r="AU51" i="10"/>
  <c r="AU86" i="10"/>
  <c r="AU79" i="10"/>
  <c r="AU78" i="10"/>
  <c r="AU88" i="10"/>
  <c r="AU81" i="10"/>
  <c r="AU58" i="10"/>
  <c r="AU50" i="10"/>
  <c r="AU42" i="10"/>
  <c r="AU34" i="10"/>
  <c r="AU64" i="10"/>
  <c r="AU61" i="10"/>
  <c r="AU55" i="10"/>
  <c r="AU47" i="10"/>
  <c r="AU39" i="10"/>
  <c r="AU31" i="10"/>
  <c r="AU72" i="10"/>
  <c r="AU69" i="10"/>
  <c r="AU66" i="10"/>
  <c r="AU63" i="10"/>
  <c r="AU52" i="10"/>
  <c r="AU98" i="10"/>
  <c r="AU82" i="10"/>
  <c r="AU74" i="10"/>
  <c r="AU71" i="10"/>
  <c r="AU68" i="10"/>
  <c r="AU57" i="10"/>
  <c r="AU49" i="10"/>
  <c r="AU41" i="10"/>
  <c r="AU33" i="10"/>
  <c r="AU95" i="10"/>
  <c r="AU28" i="10"/>
  <c r="AU30" i="10"/>
  <c r="AU22" i="10"/>
  <c r="AU46" i="10"/>
  <c r="AU44" i="10"/>
  <c r="AU43" i="10"/>
  <c r="AU40" i="10"/>
  <c r="AU37" i="10"/>
  <c r="AU24" i="10"/>
  <c r="AU16" i="10"/>
  <c r="AU54" i="10"/>
  <c r="AU48" i="10"/>
  <c r="AU45" i="10"/>
  <c r="AU21" i="10"/>
  <c r="AU13" i="10"/>
  <c r="AU26" i="10"/>
  <c r="AU18" i="10"/>
  <c r="AU35" i="10"/>
  <c r="AU29" i="10"/>
  <c r="AU23" i="10"/>
  <c r="AU53" i="10"/>
  <c r="AU15" i="10"/>
  <c r="AU25" i="10"/>
  <c r="AU20" i="10"/>
  <c r="AU17" i="10"/>
  <c r="AU14" i="10"/>
  <c r="AU56" i="10"/>
  <c r="AU19" i="10"/>
  <c r="AU60" i="10"/>
  <c r="AU38" i="10"/>
  <c r="AU36" i="10"/>
  <c r="AU32" i="10"/>
  <c r="AU27" i="10"/>
  <c r="AD177" i="10"/>
  <c r="AD171" i="10"/>
  <c r="AD176" i="10"/>
  <c r="AD168" i="10"/>
  <c r="AD173" i="10"/>
  <c r="AD175" i="10"/>
  <c r="AD167" i="10"/>
  <c r="AD166" i="10"/>
  <c r="AD160" i="10"/>
  <c r="AD169" i="10"/>
  <c r="AD165" i="10"/>
  <c r="AD178" i="10"/>
  <c r="AD170" i="10"/>
  <c r="AD159" i="10"/>
  <c r="AD174" i="10"/>
  <c r="AD150" i="10"/>
  <c r="AD164" i="10"/>
  <c r="AD163" i="10"/>
  <c r="AD162" i="10"/>
  <c r="AD161" i="10"/>
  <c r="AD153" i="10"/>
  <c r="AD149" i="10"/>
  <c r="AD172" i="10"/>
  <c r="AD157" i="10"/>
  <c r="AD154" i="10"/>
  <c r="AD144" i="10"/>
  <c r="AD158" i="10"/>
  <c r="AD147" i="10"/>
  <c r="AD152" i="10"/>
  <c r="AD151" i="10"/>
  <c r="AD143" i="10"/>
  <c r="AD142" i="10"/>
  <c r="AD140" i="10"/>
  <c r="AD129" i="10"/>
  <c r="AD121" i="10"/>
  <c r="AD155" i="10"/>
  <c r="AD141" i="10"/>
  <c r="AD138" i="10"/>
  <c r="AD134" i="10"/>
  <c r="AD126" i="10"/>
  <c r="AD148" i="10"/>
  <c r="AD145" i="10"/>
  <c r="AD136" i="10"/>
  <c r="AD128" i="10"/>
  <c r="AD133" i="10"/>
  <c r="AD131" i="10"/>
  <c r="AD130" i="10"/>
  <c r="AD127" i="10"/>
  <c r="AD124" i="10"/>
  <c r="AD117" i="10"/>
  <c r="AD135" i="10"/>
  <c r="AD132" i="10"/>
  <c r="AD122" i="10"/>
  <c r="AD146" i="10"/>
  <c r="AD116" i="10"/>
  <c r="AD123" i="10"/>
  <c r="AD120" i="10"/>
  <c r="AD137" i="10"/>
  <c r="AD125" i="10"/>
  <c r="AD106" i="10"/>
  <c r="AD111" i="10"/>
  <c r="AD103" i="10"/>
  <c r="AD139" i="10"/>
  <c r="AD108" i="10"/>
  <c r="AD118" i="10"/>
  <c r="AD110" i="10"/>
  <c r="AD107" i="10"/>
  <c r="AD104" i="10"/>
  <c r="AD101" i="10"/>
  <c r="AD113" i="10"/>
  <c r="AD112" i="10"/>
  <c r="AD95" i="10"/>
  <c r="AD87" i="10"/>
  <c r="AD119" i="10"/>
  <c r="AD115" i="10"/>
  <c r="AD114" i="10"/>
  <c r="AD100" i="10"/>
  <c r="AD92" i="10"/>
  <c r="AD94" i="10"/>
  <c r="AD86" i="10"/>
  <c r="AD156" i="10"/>
  <c r="AD102" i="10"/>
  <c r="AD91" i="10"/>
  <c r="AD89" i="10"/>
  <c r="AD88" i="10"/>
  <c r="AD78" i="10"/>
  <c r="AD99" i="10"/>
  <c r="AD97" i="10"/>
  <c r="AD96" i="10"/>
  <c r="AD93" i="10"/>
  <c r="AD90" i="10"/>
  <c r="AD105" i="10"/>
  <c r="AD98" i="10"/>
  <c r="AD80" i="10"/>
  <c r="AD68" i="10"/>
  <c r="AD82" i="10"/>
  <c r="AD73" i="10"/>
  <c r="AD65" i="10"/>
  <c r="AD83" i="10"/>
  <c r="AD81" i="10"/>
  <c r="AD70" i="10"/>
  <c r="AD62" i="10"/>
  <c r="AD109" i="10"/>
  <c r="AD72" i="10"/>
  <c r="AD69" i="10"/>
  <c r="AD66" i="10"/>
  <c r="AD63" i="10"/>
  <c r="AD54" i="10"/>
  <c r="AD79" i="10"/>
  <c r="AD75" i="10"/>
  <c r="AD74" i="10"/>
  <c r="AD71" i="10"/>
  <c r="AD84" i="10"/>
  <c r="AD77" i="10"/>
  <c r="AD76" i="10"/>
  <c r="AD53" i="10"/>
  <c r="AD45" i="10"/>
  <c r="AD37" i="10"/>
  <c r="AD29" i="10"/>
  <c r="AD85" i="10"/>
  <c r="AD58" i="10"/>
  <c r="AD50" i="10"/>
  <c r="AD42" i="10"/>
  <c r="AD34" i="10"/>
  <c r="AD55" i="10"/>
  <c r="AD60" i="10"/>
  <c r="AD52" i="10"/>
  <c r="AD44" i="10"/>
  <c r="AD36" i="10"/>
  <c r="AD64" i="10"/>
  <c r="AD48" i="10"/>
  <c r="AD23" i="10"/>
  <c r="AD57" i="10"/>
  <c r="AD25" i="10"/>
  <c r="AD67" i="10"/>
  <c r="AD61" i="10"/>
  <c r="AD59" i="10"/>
  <c r="AD27" i="10"/>
  <c r="AD19" i="10"/>
  <c r="AD51" i="10"/>
  <c r="AD33" i="10"/>
  <c r="AD31" i="10"/>
  <c r="AD30" i="10"/>
  <c r="AD24" i="10"/>
  <c r="AD16" i="10"/>
  <c r="AD56" i="10"/>
  <c r="AD41" i="10"/>
  <c r="AD39" i="10"/>
  <c r="AD38" i="10"/>
  <c r="AD35" i="10"/>
  <c r="AD32" i="10"/>
  <c r="AD21" i="10"/>
  <c r="AD13" i="10"/>
  <c r="AD46" i="10"/>
  <c r="AD40" i="10"/>
  <c r="AD22" i="10"/>
  <c r="AD28" i="10"/>
  <c r="AD49" i="10"/>
  <c r="AD47" i="10"/>
  <c r="AD43" i="10"/>
  <c r="AD18" i="10"/>
  <c r="AD15" i="10"/>
  <c r="AD26" i="10"/>
  <c r="AD20" i="10"/>
  <c r="AD17" i="10"/>
  <c r="AD14" i="10"/>
  <c r="M174" i="10"/>
  <c r="M166" i="10"/>
  <c r="M171" i="10"/>
  <c r="M176" i="10"/>
  <c r="M168" i="10"/>
  <c r="M178" i="10"/>
  <c r="M170" i="10"/>
  <c r="M161" i="10"/>
  <c r="M175" i="10"/>
  <c r="M163" i="10"/>
  <c r="M173" i="10"/>
  <c r="M162" i="10"/>
  <c r="M155" i="10"/>
  <c r="M167" i="10"/>
  <c r="M157" i="10"/>
  <c r="M172" i="10"/>
  <c r="M165" i="10"/>
  <c r="M169" i="10"/>
  <c r="M158" i="10"/>
  <c r="M153" i="10"/>
  <c r="M145" i="10"/>
  <c r="M160" i="10"/>
  <c r="M150" i="10"/>
  <c r="M177" i="10"/>
  <c r="M154" i="10"/>
  <c r="M152" i="10"/>
  <c r="M139" i="10"/>
  <c r="M164" i="10"/>
  <c r="M149" i="10"/>
  <c r="M151" i="10"/>
  <c r="M138" i="10"/>
  <c r="M132" i="10"/>
  <c r="M124" i="10"/>
  <c r="M156" i="10"/>
  <c r="M144" i="10"/>
  <c r="M142" i="10"/>
  <c r="M129" i="10"/>
  <c r="M131" i="10"/>
  <c r="M148" i="10"/>
  <c r="M122" i="10"/>
  <c r="M120" i="10"/>
  <c r="M112" i="10"/>
  <c r="M141" i="10"/>
  <c r="M117" i="10"/>
  <c r="M147" i="10"/>
  <c r="M143" i="10"/>
  <c r="M140" i="10"/>
  <c r="M136" i="10"/>
  <c r="M134" i="10"/>
  <c r="M133" i="10"/>
  <c r="M130" i="10"/>
  <c r="M127" i="10"/>
  <c r="M123" i="10"/>
  <c r="M119" i="10"/>
  <c r="M159" i="10"/>
  <c r="M121" i="10"/>
  <c r="M118" i="10"/>
  <c r="M115" i="10"/>
  <c r="M109" i="10"/>
  <c r="M101" i="10"/>
  <c r="M135" i="10"/>
  <c r="M113" i="10"/>
  <c r="M106" i="10"/>
  <c r="M146" i="10"/>
  <c r="M128" i="10"/>
  <c r="M126" i="10"/>
  <c r="M111" i="10"/>
  <c r="M103" i="10"/>
  <c r="M137" i="10"/>
  <c r="M114" i="10"/>
  <c r="M110" i="10"/>
  <c r="M107" i="10"/>
  <c r="M104" i="10"/>
  <c r="M98" i="10"/>
  <c r="M90" i="10"/>
  <c r="M116" i="10"/>
  <c r="M95" i="10"/>
  <c r="M87" i="10"/>
  <c r="M100" i="10"/>
  <c r="M97" i="10"/>
  <c r="M89" i="10"/>
  <c r="M99" i="10"/>
  <c r="M96" i="10"/>
  <c r="M93" i="10"/>
  <c r="M81" i="10"/>
  <c r="M84" i="10"/>
  <c r="M83" i="10"/>
  <c r="M105" i="10"/>
  <c r="M79" i="10"/>
  <c r="M71" i="10"/>
  <c r="M63" i="10"/>
  <c r="M68" i="10"/>
  <c r="M108" i="10"/>
  <c r="M91" i="10"/>
  <c r="M73" i="10"/>
  <c r="M65" i="10"/>
  <c r="M88" i="10"/>
  <c r="M85" i="10"/>
  <c r="M57" i="10"/>
  <c r="M102" i="10"/>
  <c r="M86" i="10"/>
  <c r="M77" i="10"/>
  <c r="M76" i="10"/>
  <c r="M62" i="10"/>
  <c r="M92" i="10"/>
  <c r="M80" i="10"/>
  <c r="M78" i="10"/>
  <c r="M70" i="10"/>
  <c r="M67" i="10"/>
  <c r="M64" i="10"/>
  <c r="M61" i="10"/>
  <c r="M94" i="10"/>
  <c r="M82" i="10"/>
  <c r="M75" i="10"/>
  <c r="M72" i="10"/>
  <c r="M69" i="10"/>
  <c r="M66" i="10"/>
  <c r="M56" i="10"/>
  <c r="M48" i="10"/>
  <c r="M40" i="10"/>
  <c r="M32" i="10"/>
  <c r="M74" i="10"/>
  <c r="M53" i="10"/>
  <c r="M45" i="10"/>
  <c r="M37" i="10"/>
  <c r="M58" i="10"/>
  <c r="M125" i="10"/>
  <c r="M55" i="10"/>
  <c r="M47" i="10"/>
  <c r="M39" i="10"/>
  <c r="M31" i="10"/>
  <c r="M52" i="10"/>
  <c r="M36" i="10"/>
  <c r="M34" i="10"/>
  <c r="M33" i="10"/>
  <c r="M30" i="10"/>
  <c r="M26" i="10"/>
  <c r="M54" i="10"/>
  <c r="M50" i="10"/>
  <c r="M49" i="10"/>
  <c r="M46" i="10"/>
  <c r="M43" i="10"/>
  <c r="M28" i="10"/>
  <c r="M60" i="10"/>
  <c r="M59" i="10"/>
  <c r="M51" i="10"/>
  <c r="M22" i="10"/>
  <c r="M14" i="10"/>
  <c r="M27" i="10"/>
  <c r="M19" i="10"/>
  <c r="M24" i="10"/>
  <c r="M16" i="10"/>
  <c r="M41" i="10"/>
  <c r="M35" i="10"/>
  <c r="M20" i="10"/>
  <c r="M17" i="10"/>
  <c r="M29" i="10"/>
  <c r="M15" i="10"/>
  <c r="M25" i="10"/>
  <c r="M44" i="10"/>
  <c r="M42" i="10"/>
  <c r="M38" i="10"/>
  <c r="M23" i="10"/>
  <c r="M18" i="10"/>
  <c r="M13" i="10"/>
  <c r="M21" i="10"/>
  <c r="L177" i="10"/>
  <c r="L169" i="10"/>
  <c r="L174" i="10"/>
  <c r="L171" i="10"/>
  <c r="L173" i="10"/>
  <c r="L172" i="10"/>
  <c r="L164" i="10"/>
  <c r="L176" i="10"/>
  <c r="L170" i="10"/>
  <c r="L175" i="10"/>
  <c r="L168" i="10"/>
  <c r="L166" i="10"/>
  <c r="L165" i="10"/>
  <c r="L159" i="10"/>
  <c r="L158" i="10"/>
  <c r="L167" i="10"/>
  <c r="L178" i="10"/>
  <c r="L148" i="10"/>
  <c r="L155" i="10"/>
  <c r="L153" i="10"/>
  <c r="L156" i="10"/>
  <c r="L144" i="10"/>
  <c r="L142" i="10"/>
  <c r="L154" i="10"/>
  <c r="L147" i="10"/>
  <c r="L145" i="10"/>
  <c r="L141" i="10"/>
  <c r="L163" i="10"/>
  <c r="L143" i="10"/>
  <c r="L152" i="10"/>
  <c r="L150" i="10"/>
  <c r="L149" i="10"/>
  <c r="L140" i="10"/>
  <c r="L135" i="10"/>
  <c r="L127" i="10"/>
  <c r="L162" i="10"/>
  <c r="L151" i="10"/>
  <c r="L138" i="10"/>
  <c r="L132" i="10"/>
  <c r="L160" i="10"/>
  <c r="L134" i="10"/>
  <c r="L126" i="10"/>
  <c r="L146" i="10"/>
  <c r="L115" i="10"/>
  <c r="L122" i="10"/>
  <c r="L120" i="10"/>
  <c r="L157" i="10"/>
  <c r="L131" i="10"/>
  <c r="L129" i="10"/>
  <c r="L128" i="10"/>
  <c r="L114" i="10"/>
  <c r="L137" i="10"/>
  <c r="L123" i="10"/>
  <c r="L119" i="10"/>
  <c r="L117" i="10"/>
  <c r="L116" i="10"/>
  <c r="L139" i="10"/>
  <c r="L125" i="10"/>
  <c r="L112" i="10"/>
  <c r="L104" i="10"/>
  <c r="L136" i="10"/>
  <c r="L133" i="10"/>
  <c r="L109" i="10"/>
  <c r="L101" i="10"/>
  <c r="L161" i="10"/>
  <c r="L113" i="10"/>
  <c r="L106" i="10"/>
  <c r="L111" i="10"/>
  <c r="L108" i="10"/>
  <c r="L105" i="10"/>
  <c r="L102" i="10"/>
  <c r="L93" i="10"/>
  <c r="L85" i="10"/>
  <c r="L110" i="10"/>
  <c r="L107" i="10"/>
  <c r="L98" i="10"/>
  <c r="L90" i="10"/>
  <c r="L118" i="10"/>
  <c r="L100" i="10"/>
  <c r="L92" i="10"/>
  <c r="L84" i="10"/>
  <c r="L97" i="10"/>
  <c r="L95" i="10"/>
  <c r="L94" i="10"/>
  <c r="L91" i="10"/>
  <c r="L88" i="10"/>
  <c r="L76" i="10"/>
  <c r="L130" i="10"/>
  <c r="L81" i="10"/>
  <c r="L78" i="10"/>
  <c r="L124" i="10"/>
  <c r="L74" i="10"/>
  <c r="L66" i="10"/>
  <c r="L103" i="10"/>
  <c r="L79" i="10"/>
  <c r="L71" i="10"/>
  <c r="L63" i="10"/>
  <c r="L89" i="10"/>
  <c r="L87" i="10"/>
  <c r="L68" i="10"/>
  <c r="L60" i="10"/>
  <c r="L52" i="10"/>
  <c r="L121" i="10"/>
  <c r="L86" i="10"/>
  <c r="L77" i="10"/>
  <c r="L65" i="10"/>
  <c r="L62" i="10"/>
  <c r="L99" i="10"/>
  <c r="L80" i="10"/>
  <c r="L73" i="10"/>
  <c r="L70" i="10"/>
  <c r="L67" i="10"/>
  <c r="L64" i="10"/>
  <c r="L61" i="10"/>
  <c r="L59" i="10"/>
  <c r="L51" i="10"/>
  <c r="L43" i="10"/>
  <c r="L35" i="10"/>
  <c r="L82" i="10"/>
  <c r="L75" i="10"/>
  <c r="L72" i="10"/>
  <c r="L69" i="10"/>
  <c r="L56" i="10"/>
  <c r="L48" i="10"/>
  <c r="L40" i="10"/>
  <c r="L32" i="10"/>
  <c r="L53" i="10"/>
  <c r="L96" i="10"/>
  <c r="L58" i="10"/>
  <c r="L50" i="10"/>
  <c r="L42" i="10"/>
  <c r="L34" i="10"/>
  <c r="L31" i="10"/>
  <c r="L29" i="10"/>
  <c r="L47" i="10"/>
  <c r="L45" i="10"/>
  <c r="L44" i="10"/>
  <c r="L41" i="10"/>
  <c r="L38" i="10"/>
  <c r="L23" i="10"/>
  <c r="L25" i="10"/>
  <c r="L17" i="10"/>
  <c r="L22" i="10"/>
  <c r="L14" i="10"/>
  <c r="L27" i="10"/>
  <c r="L19" i="10"/>
  <c r="L39" i="10"/>
  <c r="L37" i="10"/>
  <c r="L33" i="10"/>
  <c r="L21" i="10"/>
  <c r="L18" i="10"/>
  <c r="L15" i="10"/>
  <c r="L13" i="10"/>
  <c r="L57" i="10"/>
  <c r="L49" i="10"/>
  <c r="L20" i="10"/>
  <c r="L83" i="10"/>
  <c r="L24" i="10"/>
  <c r="L36" i="10"/>
  <c r="L30" i="10"/>
  <c r="L26" i="10"/>
  <c r="L46" i="10"/>
  <c r="L16" i="10"/>
  <c r="L28" i="10"/>
  <c r="L55" i="10"/>
  <c r="L54" i="10"/>
  <c r="AA166" i="3"/>
  <c r="AA160" i="3"/>
  <c r="AA17" i="3"/>
  <c r="AA140" i="3"/>
  <c r="AA78" i="3"/>
  <c r="AI174" i="3"/>
  <c r="AA13" i="3"/>
  <c r="AI44" i="3"/>
  <c r="AA144" i="3"/>
  <c r="AI100" i="3"/>
  <c r="AI156" i="3"/>
  <c r="AI93" i="3"/>
  <c r="AI55" i="3"/>
  <c r="AI16" i="3"/>
  <c r="AI144" i="3"/>
  <c r="AI105" i="3"/>
  <c r="AI66" i="3"/>
  <c r="AI27" i="3"/>
  <c r="AI155" i="3"/>
  <c r="AA156" i="3"/>
  <c r="AA88" i="3"/>
  <c r="AA147" i="3"/>
  <c r="AA75" i="3"/>
  <c r="AA35" i="3"/>
  <c r="AA110" i="3"/>
  <c r="AI60" i="3"/>
  <c r="AI117" i="3"/>
  <c r="AI79" i="3"/>
  <c r="AI40" i="3"/>
  <c r="AI168" i="3"/>
  <c r="AI129" i="3"/>
  <c r="AI90" i="3"/>
  <c r="AI51" i="3"/>
  <c r="AA82" i="3"/>
  <c r="AA109" i="3"/>
  <c r="AA48" i="3"/>
  <c r="AA101" i="3"/>
  <c r="AA64" i="3"/>
  <c r="AA33" i="3"/>
  <c r="AA121" i="3"/>
  <c r="AI29" i="3"/>
  <c r="AI157" i="3"/>
  <c r="AI119" i="3"/>
  <c r="AI80" i="3"/>
  <c r="AI41" i="3"/>
  <c r="AI169" i="3"/>
  <c r="AI130" i="3"/>
  <c r="AI91" i="3"/>
  <c r="AA98" i="3"/>
  <c r="AA23" i="3"/>
  <c r="AI52" i="3"/>
  <c r="AA51" i="3"/>
  <c r="AI166" i="3"/>
  <c r="AA20" i="3"/>
  <c r="AA107" i="3"/>
  <c r="AI37" i="3"/>
  <c r="AI165" i="3"/>
  <c r="AI127" i="3"/>
  <c r="AI88" i="3"/>
  <c r="AI49" i="3"/>
  <c r="AI177" i="3"/>
  <c r="AI138" i="3"/>
  <c r="AI99" i="3"/>
  <c r="AA106" i="3"/>
  <c r="AA63" i="3"/>
  <c r="AA52" i="3"/>
  <c r="AA163" i="3"/>
  <c r="AA126" i="3"/>
  <c r="AI20" i="3"/>
  <c r="AA38" i="3"/>
  <c r="AI108" i="3"/>
  <c r="AA176" i="3"/>
  <c r="AI164" i="3"/>
  <c r="AA94" i="3"/>
  <c r="AI45" i="3"/>
  <c r="AI173" i="3"/>
  <c r="AI135" i="3"/>
  <c r="AI96" i="3"/>
  <c r="AI57" i="3"/>
  <c r="AI18" i="3"/>
  <c r="AI146" i="3"/>
  <c r="AI107" i="3"/>
  <c r="AA132" i="3"/>
  <c r="AA71" i="3"/>
  <c r="AA40" i="3"/>
  <c r="AA62" i="3"/>
  <c r="AA97" i="3"/>
  <c r="AA122" i="3"/>
  <c r="AA87" i="3"/>
  <c r="E104" i="3"/>
  <c r="E110" i="3"/>
  <c r="AA134" i="3"/>
  <c r="AA27" i="3"/>
  <c r="AI142" i="3"/>
  <c r="AA115" i="3"/>
  <c r="AA161" i="3"/>
  <c r="AA49" i="3"/>
  <c r="E82" i="3"/>
  <c r="AI134" i="3"/>
  <c r="AA112" i="3"/>
  <c r="AI68" i="3"/>
  <c r="AA84" i="3"/>
  <c r="S97" i="3"/>
  <c r="AI28" i="3"/>
  <c r="AA68" i="3"/>
  <c r="S47" i="3"/>
  <c r="AI61" i="3"/>
  <c r="AI125" i="3"/>
  <c r="AI23" i="3"/>
  <c r="AI87" i="3"/>
  <c r="AI151" i="3"/>
  <c r="AI48" i="3"/>
  <c r="AI112" i="3"/>
  <c r="AI176" i="3"/>
  <c r="AI73" i="3"/>
  <c r="AI137" i="3"/>
  <c r="AI34" i="3"/>
  <c r="AI98" i="3"/>
  <c r="AI162" i="3"/>
  <c r="AI59" i="3"/>
  <c r="AI123" i="3"/>
  <c r="AA26" i="3"/>
  <c r="AA146" i="3"/>
  <c r="AA21" i="3"/>
  <c r="AA133" i="3"/>
  <c r="AA95" i="3"/>
  <c r="AA150" i="3"/>
  <c r="AA25" i="3"/>
  <c r="AA128" i="3"/>
  <c r="S140" i="3"/>
  <c r="S55" i="3"/>
  <c r="AA164" i="3"/>
  <c r="E68" i="3"/>
  <c r="E13" i="3"/>
  <c r="E96" i="3"/>
  <c r="E102" i="3"/>
  <c r="AI148" i="3"/>
  <c r="AA118" i="3"/>
  <c r="AA14" i="3"/>
  <c r="AI110" i="3"/>
  <c r="AA102" i="3"/>
  <c r="S144" i="3"/>
  <c r="AA145" i="3"/>
  <c r="AA36" i="3"/>
  <c r="E61" i="3"/>
  <c r="AI102" i="3"/>
  <c r="AA99" i="3"/>
  <c r="S82" i="3"/>
  <c r="AI36" i="3"/>
  <c r="AA72" i="3"/>
  <c r="E98" i="3"/>
  <c r="AA169" i="3"/>
  <c r="AA56" i="3"/>
  <c r="AI69" i="3"/>
  <c r="AI133" i="3"/>
  <c r="AI31" i="3"/>
  <c r="AI95" i="3"/>
  <c r="AI159" i="3"/>
  <c r="AI56" i="3"/>
  <c r="AI120" i="3"/>
  <c r="AI17" i="3"/>
  <c r="AI81" i="3"/>
  <c r="AI145" i="3"/>
  <c r="AI42" i="3"/>
  <c r="AI106" i="3"/>
  <c r="AI170" i="3"/>
  <c r="AI67" i="3"/>
  <c r="AI131" i="3"/>
  <c r="AA34" i="3"/>
  <c r="AA154" i="3"/>
  <c r="AA45" i="3"/>
  <c r="AA149" i="3"/>
  <c r="AA127" i="3"/>
  <c r="AA131" i="3"/>
  <c r="AA177" i="3"/>
  <c r="AA22" i="3"/>
  <c r="AA18" i="3"/>
  <c r="AA125" i="3"/>
  <c r="E60" i="3"/>
  <c r="AS72" i="3"/>
  <c r="AI116" i="3"/>
  <c r="AA104" i="3"/>
  <c r="AI78" i="3"/>
  <c r="AA89" i="3"/>
  <c r="S135" i="3"/>
  <c r="AI172" i="3"/>
  <c r="AA129" i="3"/>
  <c r="AA24" i="3"/>
  <c r="AI70" i="3"/>
  <c r="AA86" i="3"/>
  <c r="S74" i="3"/>
  <c r="AA174" i="3"/>
  <c r="AA59" i="3"/>
  <c r="AI13" i="3"/>
  <c r="AA153" i="3"/>
  <c r="AA43" i="3"/>
  <c r="AI77" i="3"/>
  <c r="AI141" i="3"/>
  <c r="AI39" i="3"/>
  <c r="AI103" i="3"/>
  <c r="AI167" i="3"/>
  <c r="AI64" i="3"/>
  <c r="AI128" i="3"/>
  <c r="AI25" i="3"/>
  <c r="AI89" i="3"/>
  <c r="AI153" i="3"/>
  <c r="AI50" i="3"/>
  <c r="AI114" i="3"/>
  <c r="AI178" i="3"/>
  <c r="AI75" i="3"/>
  <c r="AI139" i="3"/>
  <c r="AA58" i="3"/>
  <c r="AA162" i="3"/>
  <c r="AA53" i="3"/>
  <c r="AA173" i="3"/>
  <c r="AA151" i="3"/>
  <c r="K160" i="3"/>
  <c r="AA81" i="3"/>
  <c r="AI84" i="3"/>
  <c r="AA91" i="3"/>
  <c r="AI46" i="3"/>
  <c r="AA76" i="3"/>
  <c r="E85" i="3"/>
  <c r="AI140" i="3"/>
  <c r="AA113" i="3"/>
  <c r="AI38" i="3"/>
  <c r="AA73" i="3"/>
  <c r="E39" i="3"/>
  <c r="AA158" i="3"/>
  <c r="AA46" i="3"/>
  <c r="AA137" i="3"/>
  <c r="AA30" i="3"/>
  <c r="AI21" i="3"/>
  <c r="AI85" i="3"/>
  <c r="AI149" i="3"/>
  <c r="AI47" i="3"/>
  <c r="AI111" i="3"/>
  <c r="AI175" i="3"/>
  <c r="AI72" i="3"/>
  <c r="AI136" i="3"/>
  <c r="AI33" i="3"/>
  <c r="AI97" i="3"/>
  <c r="AI161" i="3"/>
  <c r="AI58" i="3"/>
  <c r="AI122" i="3"/>
  <c r="AI19" i="3"/>
  <c r="AI83" i="3"/>
  <c r="AA74" i="3"/>
  <c r="AA116" i="3"/>
  <c r="AA61" i="3"/>
  <c r="AA15" i="3"/>
  <c r="AA159" i="3"/>
  <c r="AK8" i="3"/>
  <c r="AK7" i="3"/>
  <c r="M80" i="3"/>
  <c r="AS89" i="3"/>
  <c r="AC23" i="3"/>
  <c r="AC34" i="3"/>
  <c r="AS106" i="3"/>
  <c r="AS110" i="3"/>
  <c r="K169" i="3"/>
  <c r="AS83" i="3"/>
  <c r="AC151" i="3"/>
  <c r="AC162" i="3"/>
  <c r="M78" i="3"/>
  <c r="K170" i="3"/>
  <c r="K25" i="3"/>
  <c r="K174" i="3"/>
  <c r="AA90" i="3"/>
  <c r="AA170" i="3"/>
  <c r="AA37" i="3"/>
  <c r="AA117" i="3"/>
  <c r="AA31" i="3"/>
  <c r="AA135" i="3"/>
  <c r="AC28" i="3"/>
  <c r="AC48" i="3"/>
  <c r="AC59" i="3"/>
  <c r="M14" i="3"/>
  <c r="K26" i="3"/>
  <c r="K95" i="3"/>
  <c r="K30" i="3"/>
  <c r="AA47" i="3"/>
  <c r="AA143" i="3"/>
  <c r="AS52" i="3"/>
  <c r="K68" i="3"/>
  <c r="AS77" i="3"/>
  <c r="AS95" i="3"/>
  <c r="AC61" i="3"/>
  <c r="AC73" i="3"/>
  <c r="AA42" i="3"/>
  <c r="AA138" i="3"/>
  <c r="AA148" i="3"/>
  <c r="AA69" i="3"/>
  <c r="AA165" i="3"/>
  <c r="S117" i="3"/>
  <c r="E6" i="6"/>
  <c r="E9" i="6"/>
  <c r="F9" i="6" s="1"/>
  <c r="E16" i="6"/>
  <c r="F16" i="6" s="1"/>
  <c r="E30" i="6"/>
  <c r="F30" i="6" s="1"/>
  <c r="E125" i="6"/>
  <c r="F125" i="6" s="1"/>
  <c r="E4" i="6"/>
  <c r="F4" i="6" s="1"/>
  <c r="E3" i="6"/>
  <c r="F3" i="6" s="1"/>
  <c r="I2" i="6"/>
  <c r="J2" i="6" s="1"/>
  <c r="F6" i="6"/>
  <c r="E115" i="6"/>
  <c r="F115" i="6" s="1"/>
  <c r="E96" i="6"/>
  <c r="F96" i="6" s="1"/>
  <c r="E150" i="6"/>
  <c r="F150" i="6" s="1"/>
  <c r="E148" i="6"/>
  <c r="F148" i="6" s="1"/>
  <c r="E84" i="6"/>
  <c r="F84" i="6" s="1"/>
  <c r="E20" i="6"/>
  <c r="F20" i="6" s="1"/>
  <c r="E21" i="6"/>
  <c r="F21" i="6" s="1"/>
  <c r="E107" i="6"/>
  <c r="F107" i="6" s="1"/>
  <c r="E43" i="6"/>
  <c r="F43" i="6" s="1"/>
  <c r="E162" i="6"/>
  <c r="F162" i="6" s="1"/>
  <c r="E98" i="6"/>
  <c r="F98" i="6" s="1"/>
  <c r="E34" i="6"/>
  <c r="F34" i="6" s="1"/>
  <c r="E72" i="6"/>
  <c r="F72" i="6" s="1"/>
  <c r="E129" i="6"/>
  <c r="F129" i="6" s="1"/>
  <c r="E65" i="6"/>
  <c r="F65" i="6" s="1"/>
  <c r="E160" i="6"/>
  <c r="F160" i="6" s="1"/>
  <c r="E159" i="6"/>
  <c r="F159" i="6" s="1"/>
  <c r="E95" i="6"/>
  <c r="F95" i="6" s="1"/>
  <c r="E31" i="6"/>
  <c r="F31" i="6" s="1"/>
  <c r="E142" i="6"/>
  <c r="F142" i="6" s="1"/>
  <c r="E78" i="6"/>
  <c r="F78" i="6" s="1"/>
  <c r="E14" i="6"/>
  <c r="F14" i="6" s="1"/>
  <c r="E109" i="6"/>
  <c r="F109" i="6" s="1"/>
  <c r="E45" i="6"/>
  <c r="F45" i="6" s="1"/>
  <c r="E140" i="6"/>
  <c r="F140" i="6" s="1"/>
  <c r="E76" i="6"/>
  <c r="F76" i="6" s="1"/>
  <c r="E12" i="6"/>
  <c r="F12" i="6" s="1"/>
  <c r="E163" i="6"/>
  <c r="F163" i="6" s="1"/>
  <c r="E99" i="6"/>
  <c r="F99" i="6" s="1"/>
  <c r="E35" i="6"/>
  <c r="F35" i="6" s="1"/>
  <c r="E154" i="6"/>
  <c r="F154" i="6" s="1"/>
  <c r="E90" i="6"/>
  <c r="F90" i="6" s="1"/>
  <c r="E26" i="6"/>
  <c r="F26" i="6" s="1"/>
  <c r="E56" i="6"/>
  <c r="F56" i="6" s="1"/>
  <c r="E121" i="6"/>
  <c r="F121" i="6" s="1"/>
  <c r="E57" i="6"/>
  <c r="F57" i="6" s="1"/>
  <c r="E112" i="6"/>
  <c r="F112" i="6" s="1"/>
  <c r="E151" i="6"/>
  <c r="F151" i="6" s="1"/>
  <c r="E87" i="6"/>
  <c r="F87" i="6" s="1"/>
  <c r="E23" i="6"/>
  <c r="F23" i="6" s="1"/>
  <c r="E134" i="6"/>
  <c r="F134" i="6" s="1"/>
  <c r="E70" i="6"/>
  <c r="F70" i="6" s="1"/>
  <c r="E101" i="6"/>
  <c r="F101" i="6" s="1"/>
  <c r="E37" i="6"/>
  <c r="F37" i="6" s="1"/>
  <c r="E156" i="6"/>
  <c r="F156" i="6" s="1"/>
  <c r="E51" i="6"/>
  <c r="F51" i="6" s="1"/>
  <c r="E137" i="6"/>
  <c r="F137" i="6" s="1"/>
  <c r="E39" i="6"/>
  <c r="F39" i="6" s="1"/>
  <c r="E132" i="6"/>
  <c r="F132" i="6" s="1"/>
  <c r="E68" i="6"/>
  <c r="F68" i="6" s="1"/>
  <c r="E155" i="6"/>
  <c r="F155" i="6" s="1"/>
  <c r="E91" i="6"/>
  <c r="F91" i="6" s="1"/>
  <c r="E27" i="6"/>
  <c r="F27" i="6" s="1"/>
  <c r="E146" i="6"/>
  <c r="F146" i="6" s="1"/>
  <c r="E82" i="6"/>
  <c r="F82" i="6" s="1"/>
  <c r="E18" i="6"/>
  <c r="F18" i="6" s="1"/>
  <c r="E32" i="6"/>
  <c r="F32" i="6" s="1"/>
  <c r="E113" i="6"/>
  <c r="F113" i="6" s="1"/>
  <c r="E49" i="6"/>
  <c r="F49" i="6" s="1"/>
  <c r="E88" i="6"/>
  <c r="F88" i="6" s="1"/>
  <c r="E143" i="6"/>
  <c r="F143" i="6" s="1"/>
  <c r="E79" i="6"/>
  <c r="F79" i="6" s="1"/>
  <c r="E15" i="6"/>
  <c r="F15" i="6" s="1"/>
  <c r="E126" i="6"/>
  <c r="F126" i="6" s="1"/>
  <c r="E62" i="6"/>
  <c r="F62" i="6" s="1"/>
  <c r="E165" i="6"/>
  <c r="F165" i="6" s="1"/>
  <c r="E93" i="6"/>
  <c r="F93" i="6" s="1"/>
  <c r="E13" i="6"/>
  <c r="F13" i="6" s="1"/>
  <c r="E24" i="6"/>
  <c r="F24" i="6" s="1"/>
  <c r="E86" i="6"/>
  <c r="F86" i="6" s="1"/>
  <c r="E124" i="6"/>
  <c r="F124" i="6" s="1"/>
  <c r="E60" i="6"/>
  <c r="F60" i="6" s="1"/>
  <c r="E128" i="6"/>
  <c r="F128" i="6" s="1"/>
  <c r="E147" i="6"/>
  <c r="F147" i="6" s="1"/>
  <c r="E83" i="6"/>
  <c r="F83" i="6" s="1"/>
  <c r="E19" i="6"/>
  <c r="F19" i="6" s="1"/>
  <c r="E138" i="6"/>
  <c r="F138" i="6" s="1"/>
  <c r="E74" i="6"/>
  <c r="F74" i="6" s="1"/>
  <c r="E10" i="6"/>
  <c r="F10" i="6" s="1"/>
  <c r="E29" i="6"/>
  <c r="F29" i="6" s="1"/>
  <c r="E105" i="6"/>
  <c r="F105" i="6" s="1"/>
  <c r="E41" i="6"/>
  <c r="F41" i="6" s="1"/>
  <c r="E64" i="6"/>
  <c r="F64" i="6" s="1"/>
  <c r="E135" i="6"/>
  <c r="F135" i="6" s="1"/>
  <c r="E71" i="6"/>
  <c r="E7" i="6"/>
  <c r="F7" i="6" s="1"/>
  <c r="E118" i="6"/>
  <c r="F118" i="6" s="1"/>
  <c r="E54" i="6"/>
  <c r="F54" i="6" s="1"/>
  <c r="E157" i="6"/>
  <c r="F157" i="6" s="1"/>
  <c r="E85" i="6"/>
  <c r="F85" i="6" s="1"/>
  <c r="E92" i="6"/>
  <c r="F92" i="6" s="1"/>
  <c r="E106" i="6"/>
  <c r="F106" i="6" s="1"/>
  <c r="E103" i="6"/>
  <c r="F103" i="6" s="1"/>
  <c r="E53" i="6"/>
  <c r="F53" i="6" s="1"/>
  <c r="E116" i="6"/>
  <c r="F116" i="6" s="1"/>
  <c r="E52" i="6"/>
  <c r="F52" i="6" s="1"/>
  <c r="E104" i="6"/>
  <c r="F104" i="6" s="1"/>
  <c r="E139" i="6"/>
  <c r="F139" i="6" s="1"/>
  <c r="E75" i="6"/>
  <c r="F75" i="6" s="1"/>
  <c r="E11" i="6"/>
  <c r="F11" i="6" s="1"/>
  <c r="E130" i="6"/>
  <c r="F130" i="6" s="1"/>
  <c r="E66" i="6"/>
  <c r="F66" i="6" s="1"/>
  <c r="E161" i="6"/>
  <c r="F161" i="6" s="1"/>
  <c r="E97" i="6"/>
  <c r="F97" i="6" s="1"/>
  <c r="E33" i="6"/>
  <c r="F33" i="6" s="1"/>
  <c r="E40" i="6"/>
  <c r="F40" i="6" s="1"/>
  <c r="E127" i="6"/>
  <c r="F127" i="6" s="1"/>
  <c r="E63" i="6"/>
  <c r="F63" i="6" s="1"/>
  <c r="E117" i="6"/>
  <c r="F117" i="6" s="1"/>
  <c r="E110" i="6"/>
  <c r="F110" i="6" s="1"/>
  <c r="E46" i="6"/>
  <c r="F46" i="6" s="1"/>
  <c r="E149" i="6"/>
  <c r="F149" i="6" s="1"/>
  <c r="E77" i="6"/>
  <c r="E144" i="6"/>
  <c r="F144" i="6" s="1"/>
  <c r="E73" i="6"/>
  <c r="F73" i="6" s="1"/>
  <c r="E22" i="6"/>
  <c r="F22" i="6" s="1"/>
  <c r="E108" i="6"/>
  <c r="F108" i="6" s="1"/>
  <c r="E44" i="6"/>
  <c r="F44" i="6" s="1"/>
  <c r="E80" i="6"/>
  <c r="F80" i="6" s="1"/>
  <c r="E131" i="6"/>
  <c r="F131" i="6" s="1"/>
  <c r="E67" i="6"/>
  <c r="F67" i="6" s="1"/>
  <c r="E122" i="6"/>
  <c r="F122" i="6" s="1"/>
  <c r="E58" i="6"/>
  <c r="F58" i="6" s="1"/>
  <c r="E152" i="6"/>
  <c r="F152" i="6" s="1"/>
  <c r="E153" i="6"/>
  <c r="F153" i="6" s="1"/>
  <c r="E89" i="6"/>
  <c r="F89" i="6" s="1"/>
  <c r="E25" i="6"/>
  <c r="F25" i="6" s="1"/>
  <c r="E8" i="6"/>
  <c r="F8" i="6" s="1"/>
  <c r="E119" i="6"/>
  <c r="F119" i="6" s="1"/>
  <c r="E55" i="6"/>
  <c r="F55" i="6" s="1"/>
  <c r="E166" i="6"/>
  <c r="F166" i="6" s="1"/>
  <c r="E102" i="6"/>
  <c r="F102" i="6" s="1"/>
  <c r="E38" i="6"/>
  <c r="F38" i="6" s="1"/>
  <c r="E141" i="6"/>
  <c r="F141" i="6" s="1"/>
  <c r="E69" i="6"/>
  <c r="F69" i="6" s="1"/>
  <c r="E164" i="6"/>
  <c r="F164" i="6" s="1"/>
  <c r="E28" i="6"/>
  <c r="F28" i="6" s="1"/>
  <c r="E42" i="6"/>
  <c r="F42" i="6" s="1"/>
  <c r="E167" i="6"/>
  <c r="F167" i="6" s="1"/>
  <c r="E100" i="6"/>
  <c r="F100" i="6" s="1"/>
  <c r="E36" i="6"/>
  <c r="F36" i="6" s="1"/>
  <c r="E48" i="6"/>
  <c r="F48" i="6" s="1"/>
  <c r="E123" i="6"/>
  <c r="F123" i="6" s="1"/>
  <c r="E59" i="6"/>
  <c r="F59" i="6" s="1"/>
  <c r="E136" i="6"/>
  <c r="F136" i="6" s="1"/>
  <c r="E114" i="6"/>
  <c r="F114" i="6" s="1"/>
  <c r="E50" i="6"/>
  <c r="F50" i="6" s="1"/>
  <c r="E120" i="6"/>
  <c r="F120" i="6" s="1"/>
  <c r="E145" i="6"/>
  <c r="F145" i="6" s="1"/>
  <c r="E81" i="6"/>
  <c r="F81" i="6" s="1"/>
  <c r="E17" i="6"/>
  <c r="F17" i="6" s="1"/>
  <c r="E111" i="6"/>
  <c r="F111" i="6" s="1"/>
  <c r="E47" i="6"/>
  <c r="F47" i="6" s="1"/>
  <c r="E158" i="6"/>
  <c r="F158" i="6" s="1"/>
  <c r="E94" i="6"/>
  <c r="F94" i="6" s="1"/>
  <c r="E133" i="6"/>
  <c r="F133" i="6" s="1"/>
  <c r="E61" i="6"/>
  <c r="F61" i="6" s="1"/>
  <c r="F71" i="6"/>
  <c r="F77" i="6"/>
  <c r="F5" i="6"/>
  <c r="AC150" i="3"/>
  <c r="AC36" i="3"/>
  <c r="AC100" i="3"/>
  <c r="AC164" i="3"/>
  <c r="AC69" i="3"/>
  <c r="AC133" i="3"/>
  <c r="AC31" i="3"/>
  <c r="AC95" i="3"/>
  <c r="AC159" i="3"/>
  <c r="AC56" i="3"/>
  <c r="AC120" i="3"/>
  <c r="AC17" i="3"/>
  <c r="AC81" i="3"/>
  <c r="AC145" i="3"/>
  <c r="AC42" i="3"/>
  <c r="AC106" i="3"/>
  <c r="AC170" i="3"/>
  <c r="AC67" i="3"/>
  <c r="AC131" i="3"/>
  <c r="C116" i="3"/>
  <c r="C86" i="3"/>
  <c r="AC13" i="3"/>
  <c r="AC44" i="3"/>
  <c r="AC108" i="3"/>
  <c r="AC172" i="3"/>
  <c r="AC77" i="3"/>
  <c r="AC141" i="3"/>
  <c r="AC39" i="3"/>
  <c r="AC103" i="3"/>
  <c r="AC167" i="3"/>
  <c r="AC64" i="3"/>
  <c r="AC128" i="3"/>
  <c r="AC25" i="3"/>
  <c r="AC89" i="3"/>
  <c r="AC153" i="3"/>
  <c r="AC50" i="3"/>
  <c r="AC114" i="3"/>
  <c r="AC178" i="3"/>
  <c r="AC75" i="3"/>
  <c r="AC139" i="3"/>
  <c r="AC118" i="3"/>
  <c r="AC54" i="3"/>
  <c r="AC22" i="3"/>
  <c r="AC142" i="3"/>
  <c r="AC52" i="3"/>
  <c r="AC116" i="3"/>
  <c r="AC21" i="3"/>
  <c r="AC85" i="3"/>
  <c r="AC149" i="3"/>
  <c r="AC47" i="3"/>
  <c r="AC111" i="3"/>
  <c r="AC175" i="3"/>
  <c r="AC72" i="3"/>
  <c r="AC136" i="3"/>
  <c r="AC33" i="3"/>
  <c r="AC97" i="3"/>
  <c r="AC161" i="3"/>
  <c r="AC58" i="3"/>
  <c r="AC122" i="3"/>
  <c r="AC19" i="3"/>
  <c r="AC83" i="3"/>
  <c r="AC147" i="3"/>
  <c r="C35" i="3"/>
  <c r="C22" i="3"/>
  <c r="AC86" i="3"/>
  <c r="AC158" i="3"/>
  <c r="AC78" i="3"/>
  <c r="AC60" i="3"/>
  <c r="AC124" i="3"/>
  <c r="AC29" i="3"/>
  <c r="AC93" i="3"/>
  <c r="AC157" i="3"/>
  <c r="AC55" i="3"/>
  <c r="AC119" i="3"/>
  <c r="AC16" i="3"/>
  <c r="AC80" i="3"/>
  <c r="AC144" i="3"/>
  <c r="AC41" i="3"/>
  <c r="AC105" i="3"/>
  <c r="AC169" i="3"/>
  <c r="AC66" i="3"/>
  <c r="AC130" i="3"/>
  <c r="AC27" i="3"/>
  <c r="AC91" i="3"/>
  <c r="AC155" i="3"/>
  <c r="AC166" i="3"/>
  <c r="C20" i="3"/>
  <c r="C149" i="3"/>
  <c r="AC94" i="3"/>
  <c r="AC14" i="3"/>
  <c r="AC68" i="3"/>
  <c r="AC132" i="3"/>
  <c r="AC37" i="3"/>
  <c r="AC101" i="3"/>
  <c r="AC165" i="3"/>
  <c r="AC63" i="3"/>
  <c r="AC127" i="3"/>
  <c r="AC24" i="3"/>
  <c r="AC88" i="3"/>
  <c r="AC152" i="3"/>
  <c r="AC49" i="3"/>
  <c r="AC113" i="3"/>
  <c r="AC177" i="3"/>
  <c r="AC74" i="3"/>
  <c r="AC138" i="3"/>
  <c r="AC35" i="3"/>
  <c r="AC99" i="3"/>
  <c r="AC163" i="3"/>
  <c r="AC102" i="3"/>
  <c r="C28" i="3"/>
  <c r="C172" i="3"/>
  <c r="AC30" i="3"/>
  <c r="AC126" i="3"/>
  <c r="AC76" i="3"/>
  <c r="AC140" i="3"/>
  <c r="AC45" i="3"/>
  <c r="AC109" i="3"/>
  <c r="AC173" i="3"/>
  <c r="AC71" i="3"/>
  <c r="AC135" i="3"/>
  <c r="AC32" i="3"/>
  <c r="AC96" i="3"/>
  <c r="AC160" i="3"/>
  <c r="AC57" i="3"/>
  <c r="AC121" i="3"/>
  <c r="AC18" i="3"/>
  <c r="AC82" i="3"/>
  <c r="AC146" i="3"/>
  <c r="AC43" i="3"/>
  <c r="AC107" i="3"/>
  <c r="AC171" i="3"/>
  <c r="AC38" i="3"/>
  <c r="C36" i="3"/>
  <c r="C15" i="3"/>
  <c r="AC134" i="3"/>
  <c r="AC62" i="3"/>
  <c r="AC20" i="3"/>
  <c r="AC84" i="3"/>
  <c r="AC148" i="3"/>
  <c r="AC53" i="3"/>
  <c r="AC117" i="3"/>
  <c r="AC15" i="3"/>
  <c r="AC79" i="3"/>
  <c r="AC143" i="3"/>
  <c r="AC40" i="3"/>
  <c r="AC104" i="3"/>
  <c r="AC168" i="3"/>
  <c r="AC65" i="3"/>
  <c r="AC129" i="3"/>
  <c r="AC26" i="3"/>
  <c r="AC90" i="3"/>
  <c r="AC154" i="3"/>
  <c r="AC51" i="3"/>
  <c r="AC115" i="3"/>
  <c r="AC110" i="3"/>
  <c r="C101" i="3"/>
  <c r="C60" i="3"/>
  <c r="AS120" i="3"/>
  <c r="E116" i="3"/>
  <c r="E51" i="3"/>
  <c r="E121" i="3"/>
  <c r="E120" i="3"/>
  <c r="AS36" i="3"/>
  <c r="AS21" i="3"/>
  <c r="AS39" i="3"/>
  <c r="AS56" i="3"/>
  <c r="AS33" i="3"/>
  <c r="AS50" i="3"/>
  <c r="AS67" i="3"/>
  <c r="E158" i="3"/>
  <c r="E30" i="3"/>
  <c r="S166" i="3"/>
  <c r="S29" i="3"/>
  <c r="K42" i="3"/>
  <c r="S60" i="3"/>
  <c r="K41" i="3"/>
  <c r="S152" i="3"/>
  <c r="S19" i="3"/>
  <c r="K32" i="3"/>
  <c r="S132" i="3"/>
  <c r="K151" i="3"/>
  <c r="E165" i="3"/>
  <c r="S160" i="3"/>
  <c r="S25" i="3"/>
  <c r="K46" i="3"/>
  <c r="S71" i="3"/>
  <c r="K84" i="3"/>
  <c r="E18" i="3"/>
  <c r="AS114" i="3"/>
  <c r="K162" i="3"/>
  <c r="K152" i="3"/>
  <c r="E108" i="3"/>
  <c r="E171" i="3"/>
  <c r="E43" i="3"/>
  <c r="E113" i="3"/>
  <c r="E112" i="3"/>
  <c r="AS44" i="3"/>
  <c r="AS69" i="3"/>
  <c r="AS47" i="3"/>
  <c r="AS64" i="3"/>
  <c r="AS81" i="3"/>
  <c r="AS58" i="3"/>
  <c r="AS75" i="3"/>
  <c r="E118" i="3"/>
  <c r="AS38" i="3"/>
  <c r="S154" i="3"/>
  <c r="S21" i="3"/>
  <c r="K34" i="3"/>
  <c r="S153" i="3"/>
  <c r="S20" i="3"/>
  <c r="K33" i="3"/>
  <c r="S143" i="3"/>
  <c r="K168" i="3"/>
  <c r="K24" i="3"/>
  <c r="S123" i="3"/>
  <c r="K143" i="3"/>
  <c r="E58" i="3"/>
  <c r="S150" i="3"/>
  <c r="S17" i="3"/>
  <c r="K38" i="3"/>
  <c r="S63" i="3"/>
  <c r="K76" i="3"/>
  <c r="S163" i="3"/>
  <c r="AS97" i="3"/>
  <c r="K20" i="3"/>
  <c r="E52" i="3"/>
  <c r="E115" i="3"/>
  <c r="E57" i="3"/>
  <c r="E56" i="3"/>
  <c r="AS108" i="3"/>
  <c r="AS133" i="3"/>
  <c r="AS111" i="3"/>
  <c r="AS128" i="3"/>
  <c r="AS145" i="3"/>
  <c r="AS122" i="3"/>
  <c r="AS139" i="3"/>
  <c r="E94" i="3"/>
  <c r="S93" i="3"/>
  <c r="K154" i="3"/>
  <c r="E66" i="3"/>
  <c r="S126" i="3"/>
  <c r="K153" i="3"/>
  <c r="E63" i="3"/>
  <c r="S83" i="3"/>
  <c r="K104" i="3"/>
  <c r="E42" i="3"/>
  <c r="S66" i="3"/>
  <c r="K79" i="3"/>
  <c r="S89" i="3"/>
  <c r="K158" i="3"/>
  <c r="E77" i="3"/>
  <c r="S138" i="3"/>
  <c r="E178" i="3"/>
  <c r="S165" i="3"/>
  <c r="C43" i="3"/>
  <c r="C124" i="3"/>
  <c r="C30" i="3"/>
  <c r="C76" i="3"/>
  <c r="AS103" i="3"/>
  <c r="K161" i="3"/>
  <c r="E107" i="3"/>
  <c r="E177" i="3"/>
  <c r="E49" i="3"/>
  <c r="E176" i="3"/>
  <c r="E48" i="3"/>
  <c r="AS116" i="3"/>
  <c r="AS141" i="3"/>
  <c r="AS159" i="3"/>
  <c r="AS136" i="3"/>
  <c r="AS153" i="3"/>
  <c r="AS170" i="3"/>
  <c r="AS147" i="3"/>
  <c r="E54" i="3"/>
  <c r="S85" i="3"/>
  <c r="K106" i="3"/>
  <c r="E45" i="3"/>
  <c r="S84" i="3"/>
  <c r="K105" i="3"/>
  <c r="E44" i="3"/>
  <c r="S75" i="3"/>
  <c r="K96" i="3"/>
  <c r="E26" i="3"/>
  <c r="S58" i="3"/>
  <c r="K31" i="3"/>
  <c r="S81" i="3"/>
  <c r="K110" i="3"/>
  <c r="E55" i="3"/>
  <c r="S129" i="3"/>
  <c r="K148" i="3"/>
  <c r="E157" i="3"/>
  <c r="C17" i="3"/>
  <c r="C53" i="3"/>
  <c r="C142" i="3"/>
  <c r="C38" i="3"/>
  <c r="C92" i="3"/>
  <c r="AS100" i="3"/>
  <c r="AS131" i="3"/>
  <c r="K166" i="3"/>
  <c r="E132" i="3"/>
  <c r="E67" i="3"/>
  <c r="E169" i="3"/>
  <c r="E41" i="3"/>
  <c r="E168" i="3"/>
  <c r="E40" i="3"/>
  <c r="AS164" i="3"/>
  <c r="AS149" i="3"/>
  <c r="AS167" i="3"/>
  <c r="AS17" i="3"/>
  <c r="AS161" i="3"/>
  <c r="AS178" i="3"/>
  <c r="E174" i="3"/>
  <c r="E46" i="3"/>
  <c r="S77" i="3"/>
  <c r="K98" i="3"/>
  <c r="E29" i="3"/>
  <c r="S76" i="3"/>
  <c r="K97" i="3"/>
  <c r="E28" i="3"/>
  <c r="S67" i="3"/>
  <c r="K88" i="3"/>
  <c r="S151" i="3"/>
  <c r="S18" i="3"/>
  <c r="K23" i="3"/>
  <c r="S73" i="3"/>
  <c r="K102" i="3"/>
  <c r="E37" i="3"/>
  <c r="S120" i="3"/>
  <c r="K140" i="3"/>
  <c r="E135" i="3"/>
  <c r="C25" i="3"/>
  <c r="C68" i="3"/>
  <c r="C165" i="3"/>
  <c r="C46" i="3"/>
  <c r="C109" i="3"/>
  <c r="AS85" i="3"/>
  <c r="K87" i="3"/>
  <c r="E124" i="3"/>
  <c r="E59" i="3"/>
  <c r="E161" i="3"/>
  <c r="E33" i="3"/>
  <c r="E160" i="3"/>
  <c r="E32" i="3"/>
  <c r="AS172" i="3"/>
  <c r="AS31" i="3"/>
  <c r="AS175" i="3"/>
  <c r="AS25" i="3"/>
  <c r="AS42" i="3"/>
  <c r="AS19" i="3"/>
  <c r="E166" i="3"/>
  <c r="E38" i="3"/>
  <c r="S176" i="3"/>
  <c r="S37" i="3"/>
  <c r="K90" i="3"/>
  <c r="S68" i="3"/>
  <c r="K89" i="3"/>
  <c r="S59" i="3"/>
  <c r="K40" i="3"/>
  <c r="S142" i="3"/>
  <c r="K159" i="3"/>
  <c r="K15" i="3"/>
  <c r="S170" i="3"/>
  <c r="S33" i="3"/>
  <c r="K94" i="3"/>
  <c r="S111" i="3"/>
  <c r="K132" i="3"/>
  <c r="C78" i="3"/>
  <c r="C164" i="3"/>
  <c r="C55" i="3"/>
  <c r="S171" i="3"/>
  <c r="U152" i="3"/>
  <c r="U135" i="3"/>
  <c r="U111" i="3"/>
  <c r="U47" i="3"/>
  <c r="U23" i="3"/>
  <c r="W171" i="3"/>
  <c r="W163" i="3"/>
  <c r="W155" i="3"/>
  <c r="W147" i="3"/>
  <c r="W139" i="3"/>
  <c r="W131" i="3"/>
  <c r="W123" i="3"/>
  <c r="W115" i="3"/>
  <c r="W107" i="3"/>
  <c r="W99" i="3"/>
  <c r="W91" i="3"/>
  <c r="W83" i="3"/>
  <c r="W75" i="3"/>
  <c r="W67" i="3"/>
  <c r="W59" i="3"/>
  <c r="W51" i="3"/>
  <c r="W43" i="3"/>
  <c r="W35" i="3"/>
  <c r="W27" i="3"/>
  <c r="W19" i="3"/>
  <c r="W178" i="3"/>
  <c r="W170" i="3"/>
  <c r="W162" i="3"/>
  <c r="W154" i="3"/>
  <c r="W146" i="3"/>
  <c r="W138" i="3"/>
  <c r="W130" i="3"/>
  <c r="W122" i="3"/>
  <c r="W114" i="3"/>
  <c r="W106" i="3"/>
  <c r="W98" i="3"/>
  <c r="W90" i="3"/>
  <c r="W82" i="3"/>
  <c r="W74" i="3"/>
  <c r="W66" i="3"/>
  <c r="W58" i="3"/>
  <c r="W50" i="3"/>
  <c r="W42" i="3"/>
  <c r="W34" i="3"/>
  <c r="W26" i="3"/>
  <c r="W18" i="3"/>
  <c r="W177" i="3"/>
  <c r="W169" i="3"/>
  <c r="W161" i="3"/>
  <c r="W153" i="3"/>
  <c r="W145" i="3"/>
  <c r="W137" i="3"/>
  <c r="W129" i="3"/>
  <c r="W121" i="3"/>
  <c r="W113" i="3"/>
  <c r="W105" i="3"/>
  <c r="W97" i="3"/>
  <c r="W89" i="3"/>
  <c r="W81" i="3"/>
  <c r="W73" i="3"/>
  <c r="W65" i="3"/>
  <c r="W57" i="3"/>
  <c r="W49" i="3"/>
  <c r="W41" i="3"/>
  <c r="W33" i="3"/>
  <c r="W25" i="3"/>
  <c r="W17" i="3"/>
  <c r="W176" i="3"/>
  <c r="W168" i="3"/>
  <c r="W160" i="3"/>
  <c r="W152" i="3"/>
  <c r="W144" i="3"/>
  <c r="W136" i="3"/>
  <c r="W128" i="3"/>
  <c r="W120" i="3"/>
  <c r="W112" i="3"/>
  <c r="W104" i="3"/>
  <c r="W96" i="3"/>
  <c r="W88" i="3"/>
  <c r="W80" i="3"/>
  <c r="W72" i="3"/>
  <c r="W64" i="3"/>
  <c r="W56" i="3"/>
  <c r="W48" i="3"/>
  <c r="W40" i="3"/>
  <c r="W32" i="3"/>
  <c r="W24" i="3"/>
  <c r="W16" i="3"/>
  <c r="W175" i="3"/>
  <c r="W167" i="3"/>
  <c r="W159" i="3"/>
  <c r="W151" i="3"/>
  <c r="W143" i="3"/>
  <c r="W135" i="3"/>
  <c r="W127" i="3"/>
  <c r="W119" i="3"/>
  <c r="W111" i="3"/>
  <c r="W103" i="3"/>
  <c r="W95" i="3"/>
  <c r="W87" i="3"/>
  <c r="W79" i="3"/>
  <c r="W71" i="3"/>
  <c r="W63" i="3"/>
  <c r="W55" i="3"/>
  <c r="W47" i="3"/>
  <c r="W39" i="3"/>
  <c r="W31" i="3"/>
  <c r="W23" i="3"/>
  <c r="W15" i="3"/>
  <c r="W173" i="3"/>
  <c r="W165" i="3"/>
  <c r="W157" i="3"/>
  <c r="W149" i="3"/>
  <c r="W141" i="3"/>
  <c r="W133" i="3"/>
  <c r="W125" i="3"/>
  <c r="W117" i="3"/>
  <c r="W109" i="3"/>
  <c r="W101" i="3"/>
  <c r="W93" i="3"/>
  <c r="W85" i="3"/>
  <c r="W77" i="3"/>
  <c r="W69" i="3"/>
  <c r="W61" i="3"/>
  <c r="W53" i="3"/>
  <c r="W45" i="3"/>
  <c r="W37" i="3"/>
  <c r="W29" i="3"/>
  <c r="W21" i="3"/>
  <c r="W174" i="3"/>
  <c r="W142" i="3"/>
  <c r="W110" i="3"/>
  <c r="W78" i="3"/>
  <c r="W46" i="3"/>
  <c r="W14" i="3"/>
  <c r="W172" i="3"/>
  <c r="W140" i="3"/>
  <c r="W108" i="3"/>
  <c r="W76" i="3"/>
  <c r="W44" i="3"/>
  <c r="W166" i="3"/>
  <c r="W134" i="3"/>
  <c r="W102" i="3"/>
  <c r="W70" i="3"/>
  <c r="W38" i="3"/>
  <c r="W164" i="3"/>
  <c r="W132" i="3"/>
  <c r="W100" i="3"/>
  <c r="W68" i="3"/>
  <c r="W36" i="3"/>
  <c r="W158" i="3"/>
  <c r="W126" i="3"/>
  <c r="W94" i="3"/>
  <c r="W62" i="3"/>
  <c r="W30" i="3"/>
  <c r="W150" i="3"/>
  <c r="W118" i="3"/>
  <c r="W86" i="3"/>
  <c r="W54" i="3"/>
  <c r="W22" i="3"/>
  <c r="W124" i="3"/>
  <c r="W116" i="3"/>
  <c r="W92" i="3"/>
  <c r="W84" i="3"/>
  <c r="W60" i="3"/>
  <c r="W52" i="3"/>
  <c r="W156" i="3"/>
  <c r="W28" i="3"/>
  <c r="W148" i="3"/>
  <c r="W20" i="3"/>
  <c r="W13" i="3"/>
  <c r="C110" i="3"/>
  <c r="C48" i="3"/>
  <c r="C16" i="3"/>
  <c r="C13" i="3"/>
  <c r="T177" i="3"/>
  <c r="T169" i="3"/>
  <c r="T161" i="3"/>
  <c r="T153" i="3"/>
  <c r="T145" i="3"/>
  <c r="T137" i="3"/>
  <c r="T129" i="3"/>
  <c r="T121" i="3"/>
  <c r="T113" i="3"/>
  <c r="T105" i="3"/>
  <c r="T97" i="3"/>
  <c r="T89" i="3"/>
  <c r="T81" i="3"/>
  <c r="T73" i="3"/>
  <c r="T65" i="3"/>
  <c r="T57" i="3"/>
  <c r="T49" i="3"/>
  <c r="T41" i="3"/>
  <c r="T33" i="3"/>
  <c r="T25" i="3"/>
  <c r="T176" i="3"/>
  <c r="T168" i="3"/>
  <c r="T160" i="3"/>
  <c r="T152" i="3"/>
  <c r="T144" i="3"/>
  <c r="T136" i="3"/>
  <c r="T128" i="3"/>
  <c r="T120" i="3"/>
  <c r="T112" i="3"/>
  <c r="T104" i="3"/>
  <c r="T96" i="3"/>
  <c r="T88" i="3"/>
  <c r="T80" i="3"/>
  <c r="T72" i="3"/>
  <c r="T64" i="3"/>
  <c r="T56" i="3"/>
  <c r="T48" i="3"/>
  <c r="T40" i="3"/>
  <c r="T32" i="3"/>
  <c r="T24" i="3"/>
  <c r="T175" i="3"/>
  <c r="T167" i="3"/>
  <c r="T159" i="3"/>
  <c r="T151" i="3"/>
  <c r="T143" i="3"/>
  <c r="T135" i="3"/>
  <c r="T127" i="3"/>
  <c r="T119" i="3"/>
  <c r="T111" i="3"/>
  <c r="T103" i="3"/>
  <c r="T95" i="3"/>
  <c r="T87" i="3"/>
  <c r="T79" i="3"/>
  <c r="T71" i="3"/>
  <c r="T63" i="3"/>
  <c r="T55" i="3"/>
  <c r="T47" i="3"/>
  <c r="T39" i="3"/>
  <c r="T31" i="3"/>
  <c r="T23" i="3"/>
  <c r="T174" i="3"/>
  <c r="T166" i="3"/>
  <c r="T158" i="3"/>
  <c r="T150" i="3"/>
  <c r="T142" i="3"/>
  <c r="T134" i="3"/>
  <c r="T126" i="3"/>
  <c r="T118" i="3"/>
  <c r="T110" i="3"/>
  <c r="T102" i="3"/>
  <c r="T94" i="3"/>
  <c r="T86" i="3"/>
  <c r="T78" i="3"/>
  <c r="T70" i="3"/>
  <c r="T62" i="3"/>
  <c r="T54" i="3"/>
  <c r="T46" i="3"/>
  <c r="T38" i="3"/>
  <c r="T30" i="3"/>
  <c r="T22" i="3"/>
  <c r="T173" i="3"/>
  <c r="T165" i="3"/>
  <c r="T157" i="3"/>
  <c r="T149" i="3"/>
  <c r="T141" i="3"/>
  <c r="T133" i="3"/>
  <c r="T125" i="3"/>
  <c r="T117" i="3"/>
  <c r="T109" i="3"/>
  <c r="T101" i="3"/>
  <c r="T93" i="3"/>
  <c r="T85" i="3"/>
  <c r="T77" i="3"/>
  <c r="T69" i="3"/>
  <c r="T61" i="3"/>
  <c r="T53" i="3"/>
  <c r="T45" i="3"/>
  <c r="T37" i="3"/>
  <c r="T162" i="3"/>
  <c r="T139" i="3"/>
  <c r="T116" i="3"/>
  <c r="T98" i="3"/>
  <c r="T75" i="3"/>
  <c r="T52" i="3"/>
  <c r="T34" i="3"/>
  <c r="T18" i="3"/>
  <c r="T156" i="3"/>
  <c r="T138" i="3"/>
  <c r="T115" i="3"/>
  <c r="T92" i="3"/>
  <c r="T74" i="3"/>
  <c r="T51" i="3"/>
  <c r="T29" i="3"/>
  <c r="T17" i="3"/>
  <c r="T178" i="3"/>
  <c r="T155" i="3"/>
  <c r="T132" i="3"/>
  <c r="T114" i="3"/>
  <c r="T91" i="3"/>
  <c r="T68" i="3"/>
  <c r="T50" i="3"/>
  <c r="T28" i="3"/>
  <c r="T16" i="3"/>
  <c r="T172" i="3"/>
  <c r="T154" i="3"/>
  <c r="T131" i="3"/>
  <c r="T108" i="3"/>
  <c r="T90" i="3"/>
  <c r="T67" i="3"/>
  <c r="T44" i="3"/>
  <c r="T27" i="3"/>
  <c r="T15" i="3"/>
  <c r="T171" i="3"/>
  <c r="T148" i="3"/>
  <c r="T130" i="3"/>
  <c r="T107" i="3"/>
  <c r="T84" i="3"/>
  <c r="T66" i="3"/>
  <c r="T43" i="3"/>
  <c r="T26" i="3"/>
  <c r="T14" i="3"/>
  <c r="T164" i="3"/>
  <c r="T146" i="3"/>
  <c r="T123" i="3"/>
  <c r="T100" i="3"/>
  <c r="T82" i="3"/>
  <c r="T59" i="3"/>
  <c r="T36" i="3"/>
  <c r="T20" i="3"/>
  <c r="T124" i="3"/>
  <c r="T42" i="3"/>
  <c r="T122" i="3"/>
  <c r="T35" i="3"/>
  <c r="T106" i="3"/>
  <c r="T21" i="3"/>
  <c r="T99" i="3"/>
  <c r="T19" i="3"/>
  <c r="T170" i="3"/>
  <c r="T83" i="3"/>
  <c r="T163" i="3"/>
  <c r="T76" i="3"/>
  <c r="T147" i="3"/>
  <c r="T60" i="3"/>
  <c r="T13" i="3"/>
  <c r="T140" i="3"/>
  <c r="T58" i="3"/>
  <c r="AL173" i="3"/>
  <c r="AL165" i="3"/>
  <c r="AL157" i="3"/>
  <c r="AL149" i="3"/>
  <c r="AL141" i="3"/>
  <c r="AL133" i="3"/>
  <c r="AL125" i="3"/>
  <c r="AL117" i="3"/>
  <c r="AL109" i="3"/>
  <c r="AL101" i="3"/>
  <c r="AL93" i="3"/>
  <c r="AL85" i="3"/>
  <c r="AL77" i="3"/>
  <c r="AL69" i="3"/>
  <c r="AL61" i="3"/>
  <c r="AL53" i="3"/>
  <c r="AL45" i="3"/>
  <c r="AL37" i="3"/>
  <c r="AL29" i="3"/>
  <c r="AL21" i="3"/>
  <c r="AL172" i="3"/>
  <c r="AL164" i="3"/>
  <c r="AL156" i="3"/>
  <c r="AL148" i="3"/>
  <c r="AL140" i="3"/>
  <c r="AL132" i="3"/>
  <c r="AL124" i="3"/>
  <c r="AL116" i="3"/>
  <c r="AL108" i="3"/>
  <c r="AL100" i="3"/>
  <c r="AL92" i="3"/>
  <c r="AL84" i="3"/>
  <c r="AL76" i="3"/>
  <c r="AL68" i="3"/>
  <c r="AL60" i="3"/>
  <c r="AL52" i="3"/>
  <c r="AL44" i="3"/>
  <c r="AL36" i="3"/>
  <c r="AL28" i="3"/>
  <c r="AL20" i="3"/>
  <c r="AL171" i="3"/>
  <c r="AL163" i="3"/>
  <c r="AL155" i="3"/>
  <c r="AL147" i="3"/>
  <c r="AL139" i="3"/>
  <c r="AL131" i="3"/>
  <c r="AL123" i="3"/>
  <c r="AL115" i="3"/>
  <c r="AL107" i="3"/>
  <c r="AL99" i="3"/>
  <c r="AL91" i="3"/>
  <c r="AL83" i="3"/>
  <c r="AL75" i="3"/>
  <c r="AL67" i="3"/>
  <c r="AL59" i="3"/>
  <c r="AL51" i="3"/>
  <c r="AL43" i="3"/>
  <c r="AL35" i="3"/>
  <c r="AL27" i="3"/>
  <c r="AL19" i="3"/>
  <c r="AL178" i="3"/>
  <c r="AL170" i="3"/>
  <c r="AL162" i="3"/>
  <c r="AL154" i="3"/>
  <c r="AL146" i="3"/>
  <c r="AL138" i="3"/>
  <c r="AL130" i="3"/>
  <c r="AL122" i="3"/>
  <c r="AL114" i="3"/>
  <c r="AL106" i="3"/>
  <c r="AL98" i="3"/>
  <c r="AL90" i="3"/>
  <c r="AL82" i="3"/>
  <c r="AL74" i="3"/>
  <c r="AL66" i="3"/>
  <c r="AL58" i="3"/>
  <c r="AL50" i="3"/>
  <c r="AL42" i="3"/>
  <c r="AL34" i="3"/>
  <c r="AL26" i="3"/>
  <c r="AL18" i="3"/>
  <c r="AL177" i="3"/>
  <c r="AL169" i="3"/>
  <c r="AL161" i="3"/>
  <c r="AL153" i="3"/>
  <c r="AL145" i="3"/>
  <c r="AL137" i="3"/>
  <c r="AL129" i="3"/>
  <c r="AL121" i="3"/>
  <c r="AL113" i="3"/>
  <c r="AL105" i="3"/>
  <c r="AL97" i="3"/>
  <c r="AL89" i="3"/>
  <c r="AL81" i="3"/>
  <c r="AL73" i="3"/>
  <c r="AL65" i="3"/>
  <c r="AL57" i="3"/>
  <c r="AL49" i="3"/>
  <c r="AL41" i="3"/>
  <c r="AL33" i="3"/>
  <c r="AL25" i="3"/>
  <c r="AL17" i="3"/>
  <c r="AL175" i="3"/>
  <c r="AL167" i="3"/>
  <c r="AL159" i="3"/>
  <c r="AL151" i="3"/>
  <c r="AL143" i="3"/>
  <c r="AL135" i="3"/>
  <c r="AL127" i="3"/>
  <c r="AL119" i="3"/>
  <c r="AL111" i="3"/>
  <c r="AL103" i="3"/>
  <c r="AL95" i="3"/>
  <c r="AL87" i="3"/>
  <c r="AL79" i="3"/>
  <c r="AL71" i="3"/>
  <c r="AL63" i="3"/>
  <c r="AL55" i="3"/>
  <c r="AL47" i="3"/>
  <c r="AL39" i="3"/>
  <c r="AL31" i="3"/>
  <c r="AL23" i="3"/>
  <c r="AL15" i="3"/>
  <c r="AL176" i="3"/>
  <c r="AL144" i="3"/>
  <c r="AL112" i="3"/>
  <c r="AL80" i="3"/>
  <c r="AL48" i="3"/>
  <c r="AL16" i="3"/>
  <c r="AL174" i="3"/>
  <c r="AL142" i="3"/>
  <c r="AL110" i="3"/>
  <c r="AL78" i="3"/>
  <c r="AL46" i="3"/>
  <c r="AL14" i="3"/>
  <c r="AL168" i="3"/>
  <c r="AL136" i="3"/>
  <c r="AL104" i="3"/>
  <c r="AL72" i="3"/>
  <c r="AL40" i="3"/>
  <c r="AL166" i="3"/>
  <c r="AL134" i="3"/>
  <c r="AL102" i="3"/>
  <c r="AL70" i="3"/>
  <c r="AL38" i="3"/>
  <c r="AL152" i="3"/>
  <c r="AL120" i="3"/>
  <c r="AL88" i="3"/>
  <c r="AL56" i="3"/>
  <c r="AL24" i="3"/>
  <c r="AL128" i="3"/>
  <c r="AL54" i="3"/>
  <c r="AL126" i="3"/>
  <c r="AL32" i="3"/>
  <c r="AL118" i="3"/>
  <c r="AL30" i="3"/>
  <c r="AL96" i="3"/>
  <c r="AL22" i="3"/>
  <c r="AL94" i="3"/>
  <c r="AL158" i="3"/>
  <c r="AL64" i="3"/>
  <c r="AL160" i="3"/>
  <c r="AL150" i="3"/>
  <c r="AL86" i="3"/>
  <c r="AL62" i="3"/>
  <c r="AL13" i="3"/>
  <c r="B175" i="3"/>
  <c r="B171" i="3"/>
  <c r="B163" i="3"/>
  <c r="B155" i="3"/>
  <c r="B147" i="3"/>
  <c r="B139" i="3"/>
  <c r="B131" i="3"/>
  <c r="B123" i="3"/>
  <c r="B115" i="3"/>
  <c r="B107" i="3"/>
  <c r="B99" i="3"/>
  <c r="B91" i="3"/>
  <c r="B83" i="3"/>
  <c r="B75" i="3"/>
  <c r="B67" i="3"/>
  <c r="B59" i="3"/>
  <c r="B51" i="3"/>
  <c r="B43" i="3"/>
  <c r="B35" i="3"/>
  <c r="B27" i="3"/>
  <c r="B19" i="3"/>
  <c r="B170" i="3"/>
  <c r="B162" i="3"/>
  <c r="B154" i="3"/>
  <c r="B146" i="3"/>
  <c r="B138" i="3"/>
  <c r="B130" i="3"/>
  <c r="B122" i="3"/>
  <c r="B114" i="3"/>
  <c r="B106" i="3"/>
  <c r="B98" i="3"/>
  <c r="B90" i="3"/>
  <c r="B82" i="3"/>
  <c r="B74" i="3"/>
  <c r="B66" i="3"/>
  <c r="B58" i="3"/>
  <c r="B50" i="3"/>
  <c r="B42" i="3"/>
  <c r="B34" i="3"/>
  <c r="B26" i="3"/>
  <c r="B18" i="3"/>
  <c r="B178" i="3"/>
  <c r="B167" i="3"/>
  <c r="B159" i="3"/>
  <c r="B151" i="3"/>
  <c r="B143" i="3"/>
  <c r="B135" i="3"/>
  <c r="B127" i="3"/>
  <c r="B119" i="3"/>
  <c r="B111" i="3"/>
  <c r="B103" i="3"/>
  <c r="B95" i="3"/>
  <c r="B87" i="3"/>
  <c r="B79" i="3"/>
  <c r="B71" i="3"/>
  <c r="B63" i="3"/>
  <c r="B55" i="3"/>
  <c r="B47" i="3"/>
  <c r="B39" i="3"/>
  <c r="B31" i="3"/>
  <c r="B23" i="3"/>
  <c r="B15" i="3"/>
  <c r="B176" i="3"/>
  <c r="B165" i="3"/>
  <c r="B157" i="3"/>
  <c r="B149" i="3"/>
  <c r="B141" i="3"/>
  <c r="B133" i="3"/>
  <c r="B125" i="3"/>
  <c r="B117" i="3"/>
  <c r="B109" i="3"/>
  <c r="B101" i="3"/>
  <c r="B93" i="3"/>
  <c r="B85" i="3"/>
  <c r="B77" i="3"/>
  <c r="B69" i="3"/>
  <c r="B61" i="3"/>
  <c r="B53" i="3"/>
  <c r="B45" i="3"/>
  <c r="B37" i="3"/>
  <c r="B29" i="3"/>
  <c r="B21" i="3"/>
  <c r="B172" i="3"/>
  <c r="B164" i="3"/>
  <c r="B156" i="3"/>
  <c r="B148" i="3"/>
  <c r="B140" i="3"/>
  <c r="B132" i="3"/>
  <c r="B124" i="3"/>
  <c r="B116" i="3"/>
  <c r="B108" i="3"/>
  <c r="B100" i="3"/>
  <c r="B92" i="3"/>
  <c r="B84" i="3"/>
  <c r="B76" i="3"/>
  <c r="B68" i="3"/>
  <c r="B60" i="3"/>
  <c r="B52" i="3"/>
  <c r="B44" i="3"/>
  <c r="B36" i="3"/>
  <c r="B28" i="3"/>
  <c r="B20" i="3"/>
  <c r="B161" i="3"/>
  <c r="B142" i="3"/>
  <c r="B120" i="3"/>
  <c r="B97" i="3"/>
  <c r="B78" i="3"/>
  <c r="B56" i="3"/>
  <c r="B33" i="3"/>
  <c r="B14" i="3"/>
  <c r="B160" i="3"/>
  <c r="B137" i="3"/>
  <c r="B118" i="3"/>
  <c r="B96" i="3"/>
  <c r="B73" i="3"/>
  <c r="B54" i="3"/>
  <c r="B32" i="3"/>
  <c r="B158" i="3"/>
  <c r="B136" i="3"/>
  <c r="B113" i="3"/>
  <c r="B94" i="3"/>
  <c r="B72" i="3"/>
  <c r="B49" i="3"/>
  <c r="B30" i="3"/>
  <c r="B177" i="3"/>
  <c r="B152" i="3"/>
  <c r="B129" i="3"/>
  <c r="B110" i="3"/>
  <c r="B88" i="3"/>
  <c r="B65" i="3"/>
  <c r="B46" i="3"/>
  <c r="B24" i="3"/>
  <c r="B169" i="3"/>
  <c r="B150" i="3"/>
  <c r="B128" i="3"/>
  <c r="B105" i="3"/>
  <c r="B86" i="3"/>
  <c r="B64" i="3"/>
  <c r="B41" i="3"/>
  <c r="B22" i="3"/>
  <c r="B166" i="3"/>
  <c r="B104" i="3"/>
  <c r="B48" i="3"/>
  <c r="B153" i="3"/>
  <c r="B102" i="3"/>
  <c r="B40" i="3"/>
  <c r="B145" i="3"/>
  <c r="B89" i="3"/>
  <c r="B38" i="3"/>
  <c r="B144" i="3"/>
  <c r="B81" i="3"/>
  <c r="B25" i="3"/>
  <c r="B134" i="3"/>
  <c r="B80" i="3"/>
  <c r="B17" i="3"/>
  <c r="B121" i="3"/>
  <c r="B62" i="3"/>
  <c r="B168" i="3"/>
  <c r="B126" i="3"/>
  <c r="B112" i="3"/>
  <c r="B70" i="3"/>
  <c r="B16" i="3"/>
  <c r="B57" i="3"/>
  <c r="L177" i="3"/>
  <c r="L169" i="3"/>
  <c r="L161" i="3"/>
  <c r="L153" i="3"/>
  <c r="L145" i="3"/>
  <c r="L137" i="3"/>
  <c r="L129" i="3"/>
  <c r="L121" i="3"/>
  <c r="L113" i="3"/>
  <c r="L105" i="3"/>
  <c r="L97" i="3"/>
  <c r="L89" i="3"/>
  <c r="L81" i="3"/>
  <c r="L73" i="3"/>
  <c r="L176" i="3"/>
  <c r="L168" i="3"/>
  <c r="L160" i="3"/>
  <c r="L152" i="3"/>
  <c r="L144" i="3"/>
  <c r="L136" i="3"/>
  <c r="L128" i="3"/>
  <c r="L120" i="3"/>
  <c r="L112" i="3"/>
  <c r="L104" i="3"/>
  <c r="L96" i="3"/>
  <c r="L88" i="3"/>
  <c r="L80" i="3"/>
  <c r="L72" i="3"/>
  <c r="L64" i="3"/>
  <c r="L174" i="3"/>
  <c r="L166" i="3"/>
  <c r="L158" i="3"/>
  <c r="L150" i="3"/>
  <c r="L142" i="3"/>
  <c r="L134" i="3"/>
  <c r="L126" i="3"/>
  <c r="L118" i="3"/>
  <c r="L110" i="3"/>
  <c r="L102" i="3"/>
  <c r="L94" i="3"/>
  <c r="L86" i="3"/>
  <c r="L78" i="3"/>
  <c r="L70" i="3"/>
  <c r="L170" i="3"/>
  <c r="L156" i="3"/>
  <c r="L143" i="3"/>
  <c r="L131" i="3"/>
  <c r="L117" i="3"/>
  <c r="L106" i="3"/>
  <c r="L92" i="3"/>
  <c r="L79" i="3"/>
  <c r="L67" i="3"/>
  <c r="L58" i="3"/>
  <c r="L50" i="3"/>
  <c r="L42" i="3"/>
  <c r="L34" i="3"/>
  <c r="L26" i="3"/>
  <c r="L18" i="3"/>
  <c r="L165" i="3"/>
  <c r="L154" i="3"/>
  <c r="L140" i="3"/>
  <c r="L127" i="3"/>
  <c r="L115" i="3"/>
  <c r="L101" i="3"/>
  <c r="L90" i="3"/>
  <c r="L76" i="3"/>
  <c r="L65" i="3"/>
  <c r="L56" i="3"/>
  <c r="L48" i="3"/>
  <c r="L40" i="3"/>
  <c r="L32" i="3"/>
  <c r="L24" i="3"/>
  <c r="L16" i="3"/>
  <c r="L178" i="3"/>
  <c r="L164" i="3"/>
  <c r="L151" i="3"/>
  <c r="L139" i="3"/>
  <c r="L125" i="3"/>
  <c r="L114" i="3"/>
  <c r="L100" i="3"/>
  <c r="L87" i="3"/>
  <c r="L75" i="3"/>
  <c r="L63" i="3"/>
  <c r="L55" i="3"/>
  <c r="L47" i="3"/>
  <c r="L39" i="3"/>
  <c r="L31" i="3"/>
  <c r="L23" i="3"/>
  <c r="L15" i="3"/>
  <c r="L173" i="3"/>
  <c r="L162" i="3"/>
  <c r="L148" i="3"/>
  <c r="L135" i="3"/>
  <c r="L123" i="3"/>
  <c r="L109" i="3"/>
  <c r="L98" i="3"/>
  <c r="L84" i="3"/>
  <c r="L71" i="3"/>
  <c r="L61" i="3"/>
  <c r="L53" i="3"/>
  <c r="L45" i="3"/>
  <c r="L37" i="3"/>
  <c r="L29" i="3"/>
  <c r="L21" i="3"/>
  <c r="L172" i="3"/>
  <c r="L159" i="3"/>
  <c r="L147" i="3"/>
  <c r="L133" i="3"/>
  <c r="L122" i="3"/>
  <c r="L108" i="3"/>
  <c r="L95" i="3"/>
  <c r="L83" i="3"/>
  <c r="L69" i="3"/>
  <c r="L60" i="3"/>
  <c r="L52" i="3"/>
  <c r="L44" i="3"/>
  <c r="L36" i="3"/>
  <c r="L28" i="3"/>
  <c r="L20" i="3"/>
  <c r="L175" i="3"/>
  <c r="L141" i="3"/>
  <c r="L107" i="3"/>
  <c r="L74" i="3"/>
  <c r="L49" i="3"/>
  <c r="L27" i="3"/>
  <c r="L13" i="3"/>
  <c r="L111" i="3"/>
  <c r="L171" i="3"/>
  <c r="L138" i="3"/>
  <c r="L103" i="3"/>
  <c r="L68" i="3"/>
  <c r="L46" i="3"/>
  <c r="L25" i="3"/>
  <c r="L149" i="3"/>
  <c r="L77" i="3"/>
  <c r="L167" i="3"/>
  <c r="L132" i="3"/>
  <c r="L99" i="3"/>
  <c r="L66" i="3"/>
  <c r="L43" i="3"/>
  <c r="L22" i="3"/>
  <c r="L116" i="3"/>
  <c r="L146" i="3"/>
  <c r="L163" i="3"/>
  <c r="L130" i="3"/>
  <c r="L93" i="3"/>
  <c r="L62" i="3"/>
  <c r="L41" i="3"/>
  <c r="L19" i="3"/>
  <c r="L54" i="3"/>
  <c r="L157" i="3"/>
  <c r="L124" i="3"/>
  <c r="L91" i="3"/>
  <c r="L59" i="3"/>
  <c r="L38" i="3"/>
  <c r="L17" i="3"/>
  <c r="L33" i="3"/>
  <c r="L51" i="3"/>
  <c r="L155" i="3"/>
  <c r="L119" i="3"/>
  <c r="L85" i="3"/>
  <c r="L57" i="3"/>
  <c r="L35" i="3"/>
  <c r="L14" i="3"/>
  <c r="L82" i="3"/>
  <c r="L30" i="3"/>
  <c r="M100" i="3"/>
  <c r="M27" i="3"/>
  <c r="M73" i="3"/>
  <c r="M136" i="3"/>
  <c r="M178" i="3"/>
  <c r="M127" i="3"/>
  <c r="M156" i="3"/>
  <c r="M19" i="3"/>
  <c r="M65" i="3"/>
  <c r="M13" i="3"/>
  <c r="M64" i="3"/>
  <c r="M173" i="3"/>
  <c r="M45" i="3"/>
  <c r="M138" i="3"/>
  <c r="M95" i="3"/>
  <c r="AE176" i="3"/>
  <c r="AE168" i="3"/>
  <c r="AE160" i="3"/>
  <c r="AE152" i="3"/>
  <c r="AE144" i="3"/>
  <c r="AE136" i="3"/>
  <c r="AE128" i="3"/>
  <c r="AE120" i="3"/>
  <c r="AE112" i="3"/>
  <c r="AE104" i="3"/>
  <c r="AE96" i="3"/>
  <c r="AE88" i="3"/>
  <c r="AE80" i="3"/>
  <c r="AE72" i="3"/>
  <c r="AE64" i="3"/>
  <c r="AE56" i="3"/>
  <c r="AE48" i="3"/>
  <c r="AE40" i="3"/>
  <c r="AE32" i="3"/>
  <c r="AE24" i="3"/>
  <c r="AE16" i="3"/>
  <c r="AE175" i="3"/>
  <c r="AE167" i="3"/>
  <c r="AE159" i="3"/>
  <c r="AE151" i="3"/>
  <c r="AE143" i="3"/>
  <c r="AE135" i="3"/>
  <c r="AE127" i="3"/>
  <c r="AE119" i="3"/>
  <c r="AE111" i="3"/>
  <c r="AE103" i="3"/>
  <c r="AE95" i="3"/>
  <c r="AE87" i="3"/>
  <c r="AE79" i="3"/>
  <c r="AE71" i="3"/>
  <c r="AE63" i="3"/>
  <c r="AE55" i="3"/>
  <c r="AE47" i="3"/>
  <c r="AE39" i="3"/>
  <c r="AE31" i="3"/>
  <c r="AE23" i="3"/>
  <c r="AE15" i="3"/>
  <c r="AE174" i="3"/>
  <c r="AE166" i="3"/>
  <c r="AE158" i="3"/>
  <c r="AE150" i="3"/>
  <c r="AE142" i="3"/>
  <c r="AE134" i="3"/>
  <c r="AE126" i="3"/>
  <c r="AE118" i="3"/>
  <c r="AE110" i="3"/>
  <c r="AE102" i="3"/>
  <c r="AE94" i="3"/>
  <c r="AE86" i="3"/>
  <c r="AE78" i="3"/>
  <c r="AE70" i="3"/>
  <c r="AE62" i="3"/>
  <c r="AE54" i="3"/>
  <c r="AE46" i="3"/>
  <c r="AE38" i="3"/>
  <c r="AE30" i="3"/>
  <c r="AE22" i="3"/>
  <c r="AE14" i="3"/>
  <c r="AE173" i="3"/>
  <c r="AE165" i="3"/>
  <c r="AE157" i="3"/>
  <c r="AE149" i="3"/>
  <c r="AE141" i="3"/>
  <c r="AE133" i="3"/>
  <c r="AE125" i="3"/>
  <c r="AE117" i="3"/>
  <c r="AE109" i="3"/>
  <c r="AE101" i="3"/>
  <c r="AE93" i="3"/>
  <c r="AE85" i="3"/>
  <c r="AE77" i="3"/>
  <c r="AE69" i="3"/>
  <c r="AE61" i="3"/>
  <c r="AE53" i="3"/>
  <c r="AE45" i="3"/>
  <c r="AE37" i="3"/>
  <c r="AE29" i="3"/>
  <c r="AE21" i="3"/>
  <c r="AE178" i="3"/>
  <c r="AE170" i="3"/>
  <c r="AE162" i="3"/>
  <c r="AE154" i="3"/>
  <c r="AE146" i="3"/>
  <c r="AE138" i="3"/>
  <c r="AE130" i="3"/>
  <c r="AE122" i="3"/>
  <c r="AE114" i="3"/>
  <c r="AE106" i="3"/>
  <c r="AE98" i="3"/>
  <c r="AE90" i="3"/>
  <c r="AE82" i="3"/>
  <c r="AE74" i="3"/>
  <c r="AE66" i="3"/>
  <c r="AE58" i="3"/>
  <c r="AE50" i="3"/>
  <c r="AE42" i="3"/>
  <c r="AE34" i="3"/>
  <c r="AE26" i="3"/>
  <c r="AE18" i="3"/>
  <c r="AE156" i="3"/>
  <c r="AE137" i="3"/>
  <c r="AE115" i="3"/>
  <c r="AE92" i="3"/>
  <c r="AE73" i="3"/>
  <c r="AE51" i="3"/>
  <c r="AE28" i="3"/>
  <c r="AE177" i="3"/>
  <c r="AE155" i="3"/>
  <c r="AE132" i="3"/>
  <c r="AE113" i="3"/>
  <c r="AE91" i="3"/>
  <c r="AE68" i="3"/>
  <c r="AE49" i="3"/>
  <c r="AE27" i="3"/>
  <c r="AE172" i="3"/>
  <c r="AE153" i="3"/>
  <c r="AE131" i="3"/>
  <c r="AE108" i="3"/>
  <c r="AE89" i="3"/>
  <c r="AE67" i="3"/>
  <c r="AE44" i="3"/>
  <c r="AE25" i="3"/>
  <c r="AE171" i="3"/>
  <c r="AE148" i="3"/>
  <c r="AE129" i="3"/>
  <c r="AE107" i="3"/>
  <c r="AE84" i="3"/>
  <c r="AE65" i="3"/>
  <c r="AE43" i="3"/>
  <c r="AE20" i="3"/>
  <c r="AE169" i="3"/>
  <c r="AE147" i="3"/>
  <c r="AE124" i="3"/>
  <c r="AE105" i="3"/>
  <c r="AE83" i="3"/>
  <c r="AE60" i="3"/>
  <c r="AE41" i="3"/>
  <c r="AE19" i="3"/>
  <c r="AE163" i="3"/>
  <c r="AE140" i="3"/>
  <c r="AE121" i="3"/>
  <c r="AE99" i="3"/>
  <c r="AE76" i="3"/>
  <c r="AE57" i="3"/>
  <c r="AE35" i="3"/>
  <c r="AE145" i="3"/>
  <c r="AE59" i="3"/>
  <c r="AE139" i="3"/>
  <c r="AE52" i="3"/>
  <c r="AE123" i="3"/>
  <c r="AE36" i="3"/>
  <c r="AE116" i="3"/>
  <c r="AE33" i="3"/>
  <c r="AE100" i="3"/>
  <c r="AE17" i="3"/>
  <c r="AE164" i="3"/>
  <c r="AE81" i="3"/>
  <c r="AE97" i="3"/>
  <c r="AE75" i="3"/>
  <c r="AE13" i="3"/>
  <c r="AE161" i="3"/>
  <c r="AB178" i="3"/>
  <c r="AB170" i="3"/>
  <c r="AB162" i="3"/>
  <c r="AB154" i="3"/>
  <c r="AB146" i="3"/>
  <c r="AB138" i="3"/>
  <c r="AB130" i="3"/>
  <c r="AB122" i="3"/>
  <c r="AB114" i="3"/>
  <c r="AB106" i="3"/>
  <c r="AB98" i="3"/>
  <c r="AB90" i="3"/>
  <c r="AB82" i="3"/>
  <c r="AB74" i="3"/>
  <c r="AB66" i="3"/>
  <c r="AB58" i="3"/>
  <c r="AB50" i="3"/>
  <c r="AB42" i="3"/>
  <c r="AB34" i="3"/>
  <c r="AB26" i="3"/>
  <c r="AB18" i="3"/>
  <c r="AB177" i="3"/>
  <c r="AB169" i="3"/>
  <c r="AB161" i="3"/>
  <c r="AB153" i="3"/>
  <c r="AB145" i="3"/>
  <c r="AB137" i="3"/>
  <c r="AB129" i="3"/>
  <c r="AB121" i="3"/>
  <c r="AB113" i="3"/>
  <c r="AB105" i="3"/>
  <c r="AB97" i="3"/>
  <c r="AB89" i="3"/>
  <c r="AB81" i="3"/>
  <c r="AB73" i="3"/>
  <c r="AB65" i="3"/>
  <c r="AB57" i="3"/>
  <c r="AB49" i="3"/>
  <c r="AB41" i="3"/>
  <c r="AB33" i="3"/>
  <c r="AB25" i="3"/>
  <c r="AB17" i="3"/>
  <c r="AB176" i="3"/>
  <c r="AB168" i="3"/>
  <c r="AB160" i="3"/>
  <c r="AB152" i="3"/>
  <c r="AB144" i="3"/>
  <c r="AB136" i="3"/>
  <c r="AB128" i="3"/>
  <c r="AB120" i="3"/>
  <c r="AB112" i="3"/>
  <c r="AB104" i="3"/>
  <c r="AB96" i="3"/>
  <c r="AB88" i="3"/>
  <c r="AB80" i="3"/>
  <c r="AB72" i="3"/>
  <c r="AB64" i="3"/>
  <c r="AB56" i="3"/>
  <c r="AB48" i="3"/>
  <c r="AB40" i="3"/>
  <c r="AB32" i="3"/>
  <c r="AB24" i="3"/>
  <c r="AB16" i="3"/>
  <c r="AB175" i="3"/>
  <c r="AB167" i="3"/>
  <c r="AB159" i="3"/>
  <c r="AB151" i="3"/>
  <c r="AB143" i="3"/>
  <c r="AB135" i="3"/>
  <c r="AB127" i="3"/>
  <c r="AB119" i="3"/>
  <c r="AB111" i="3"/>
  <c r="AB103" i="3"/>
  <c r="AB95" i="3"/>
  <c r="AB87" i="3"/>
  <c r="AB79" i="3"/>
  <c r="AB71" i="3"/>
  <c r="AB63" i="3"/>
  <c r="AB55" i="3"/>
  <c r="AB47" i="3"/>
  <c r="AB39" i="3"/>
  <c r="AB31" i="3"/>
  <c r="AB23" i="3"/>
  <c r="AB15" i="3"/>
  <c r="AB172" i="3"/>
  <c r="AB164" i="3"/>
  <c r="AB156" i="3"/>
  <c r="AB148" i="3"/>
  <c r="AB140" i="3"/>
  <c r="AB132" i="3"/>
  <c r="AB124" i="3"/>
  <c r="AB116" i="3"/>
  <c r="AB108" i="3"/>
  <c r="AB100" i="3"/>
  <c r="AB92" i="3"/>
  <c r="AB84" i="3"/>
  <c r="AB76" i="3"/>
  <c r="AB68" i="3"/>
  <c r="AB60" i="3"/>
  <c r="AB52" i="3"/>
  <c r="AB44" i="3"/>
  <c r="AB36" i="3"/>
  <c r="AB28" i="3"/>
  <c r="AB20" i="3"/>
  <c r="AB166" i="3"/>
  <c r="AB147" i="3"/>
  <c r="AB125" i="3"/>
  <c r="AB102" i="3"/>
  <c r="AB83" i="3"/>
  <c r="AB61" i="3"/>
  <c r="AB38" i="3"/>
  <c r="AB19" i="3"/>
  <c r="AB165" i="3"/>
  <c r="AB142" i="3"/>
  <c r="AB123" i="3"/>
  <c r="AB101" i="3"/>
  <c r="AB78" i="3"/>
  <c r="AB59" i="3"/>
  <c r="AB37" i="3"/>
  <c r="AB14" i="3"/>
  <c r="AB163" i="3"/>
  <c r="AB141" i="3"/>
  <c r="AB118" i="3"/>
  <c r="AB99" i="3"/>
  <c r="AB77" i="3"/>
  <c r="AB54" i="3"/>
  <c r="AB35" i="3"/>
  <c r="AB158" i="3"/>
  <c r="AB139" i="3"/>
  <c r="AB117" i="3"/>
  <c r="AB94" i="3"/>
  <c r="AB75" i="3"/>
  <c r="AB53" i="3"/>
  <c r="AB30" i="3"/>
  <c r="AB157" i="3"/>
  <c r="AB134" i="3"/>
  <c r="AB115" i="3"/>
  <c r="AB93" i="3"/>
  <c r="AB70" i="3"/>
  <c r="AB51" i="3"/>
  <c r="AB29" i="3"/>
  <c r="AB173" i="3"/>
  <c r="AB150" i="3"/>
  <c r="AB131" i="3"/>
  <c r="AB109" i="3"/>
  <c r="AB86" i="3"/>
  <c r="AB67" i="3"/>
  <c r="AB45" i="3"/>
  <c r="AB22" i="3"/>
  <c r="AB133" i="3"/>
  <c r="AB46" i="3"/>
  <c r="AB126" i="3"/>
  <c r="AB43" i="3"/>
  <c r="AB110" i="3"/>
  <c r="AB27" i="3"/>
  <c r="AB107" i="3"/>
  <c r="AB21" i="3"/>
  <c r="AB174" i="3"/>
  <c r="AB91" i="3"/>
  <c r="AB155" i="3"/>
  <c r="AB69" i="3"/>
  <c r="AB85" i="3"/>
  <c r="AB13" i="3"/>
  <c r="AB62" i="3"/>
  <c r="AB171" i="3"/>
  <c r="AB149" i="3"/>
  <c r="M148" i="3"/>
  <c r="M75" i="3"/>
  <c r="AS142" i="3"/>
  <c r="M120" i="3"/>
  <c r="AS124" i="3"/>
  <c r="AS157" i="3"/>
  <c r="AS16" i="3"/>
  <c r="AS41" i="3"/>
  <c r="AS66" i="3"/>
  <c r="AS91" i="3"/>
  <c r="M118" i="3"/>
  <c r="M101" i="3"/>
  <c r="K82" i="3"/>
  <c r="K81" i="3"/>
  <c r="M111" i="3"/>
  <c r="K16" i="3"/>
  <c r="K71" i="3"/>
  <c r="K22" i="3"/>
  <c r="AF171" i="3"/>
  <c r="AF163" i="3"/>
  <c r="AF155" i="3"/>
  <c r="AF147" i="3"/>
  <c r="AF139" i="3"/>
  <c r="AF131" i="3"/>
  <c r="AF123" i="3"/>
  <c r="AF115" i="3"/>
  <c r="AF107" i="3"/>
  <c r="AF99" i="3"/>
  <c r="AF91" i="3"/>
  <c r="AF83" i="3"/>
  <c r="AF75" i="3"/>
  <c r="AF67" i="3"/>
  <c r="AF59" i="3"/>
  <c r="AF51" i="3"/>
  <c r="AF43" i="3"/>
  <c r="AF35" i="3"/>
  <c r="AF27" i="3"/>
  <c r="AF19" i="3"/>
  <c r="AF178" i="3"/>
  <c r="AF170" i="3"/>
  <c r="AF162" i="3"/>
  <c r="AF154" i="3"/>
  <c r="AF146" i="3"/>
  <c r="AF138" i="3"/>
  <c r="AF130" i="3"/>
  <c r="AF122" i="3"/>
  <c r="AF114" i="3"/>
  <c r="AF106" i="3"/>
  <c r="AF98" i="3"/>
  <c r="AF90" i="3"/>
  <c r="AF82" i="3"/>
  <c r="AF74" i="3"/>
  <c r="AF66" i="3"/>
  <c r="AF58" i="3"/>
  <c r="AF50" i="3"/>
  <c r="AF42" i="3"/>
  <c r="AF34" i="3"/>
  <c r="AF26" i="3"/>
  <c r="AF18" i="3"/>
  <c r="AF177" i="3"/>
  <c r="AF169" i="3"/>
  <c r="AF161" i="3"/>
  <c r="AF153" i="3"/>
  <c r="AF145" i="3"/>
  <c r="AF137" i="3"/>
  <c r="AF129" i="3"/>
  <c r="AF121" i="3"/>
  <c r="AF113" i="3"/>
  <c r="AF105" i="3"/>
  <c r="AF97" i="3"/>
  <c r="AF89" i="3"/>
  <c r="AF81" i="3"/>
  <c r="AF73" i="3"/>
  <c r="AF65" i="3"/>
  <c r="AF57" i="3"/>
  <c r="AF49" i="3"/>
  <c r="AF41" i="3"/>
  <c r="AF33" i="3"/>
  <c r="AF25" i="3"/>
  <c r="AF17" i="3"/>
  <c r="AF176" i="3"/>
  <c r="AF168" i="3"/>
  <c r="AF160" i="3"/>
  <c r="AF152" i="3"/>
  <c r="AF144" i="3"/>
  <c r="AF136" i="3"/>
  <c r="AF128" i="3"/>
  <c r="AF120" i="3"/>
  <c r="AF112" i="3"/>
  <c r="AF104" i="3"/>
  <c r="AF96" i="3"/>
  <c r="AF88" i="3"/>
  <c r="AF80" i="3"/>
  <c r="AF72" i="3"/>
  <c r="AF64" i="3"/>
  <c r="AF56" i="3"/>
  <c r="AF48" i="3"/>
  <c r="AF40" i="3"/>
  <c r="AF32" i="3"/>
  <c r="AF24" i="3"/>
  <c r="AF16" i="3"/>
  <c r="AF173" i="3"/>
  <c r="AF165" i="3"/>
  <c r="AF157" i="3"/>
  <c r="AF149" i="3"/>
  <c r="AF141" i="3"/>
  <c r="AF133" i="3"/>
  <c r="AF125" i="3"/>
  <c r="AF117" i="3"/>
  <c r="AF109" i="3"/>
  <c r="AF101" i="3"/>
  <c r="AF93" i="3"/>
  <c r="AF85" i="3"/>
  <c r="AF77" i="3"/>
  <c r="AF69" i="3"/>
  <c r="AF61" i="3"/>
  <c r="AF53" i="3"/>
  <c r="AF45" i="3"/>
  <c r="AF37" i="3"/>
  <c r="AF29" i="3"/>
  <c r="AF21" i="3"/>
  <c r="AF164" i="3"/>
  <c r="AF142" i="3"/>
  <c r="AF119" i="3"/>
  <c r="AF100" i="3"/>
  <c r="AF78" i="3"/>
  <c r="AF55" i="3"/>
  <c r="AF36" i="3"/>
  <c r="AF14" i="3"/>
  <c r="AF159" i="3"/>
  <c r="AF140" i="3"/>
  <c r="AF118" i="3"/>
  <c r="AF95" i="3"/>
  <c r="AF76" i="3"/>
  <c r="AF54" i="3"/>
  <c r="AF31" i="3"/>
  <c r="AF158" i="3"/>
  <c r="AF135" i="3"/>
  <c r="AF116" i="3"/>
  <c r="AF94" i="3"/>
  <c r="AF71" i="3"/>
  <c r="AF52" i="3"/>
  <c r="AF30" i="3"/>
  <c r="AF175" i="3"/>
  <c r="AF156" i="3"/>
  <c r="AF134" i="3"/>
  <c r="AF111" i="3"/>
  <c r="AF92" i="3"/>
  <c r="AF70" i="3"/>
  <c r="AF47" i="3"/>
  <c r="AF28" i="3"/>
  <c r="AF174" i="3"/>
  <c r="AF151" i="3"/>
  <c r="AF132" i="3"/>
  <c r="AF110" i="3"/>
  <c r="AF87" i="3"/>
  <c r="AF68" i="3"/>
  <c r="AF46" i="3"/>
  <c r="AF23" i="3"/>
  <c r="AF167" i="3"/>
  <c r="AF148" i="3"/>
  <c r="AF126" i="3"/>
  <c r="AF103" i="3"/>
  <c r="AF84" i="3"/>
  <c r="AF62" i="3"/>
  <c r="AF39" i="3"/>
  <c r="AF20" i="3"/>
  <c r="AF150" i="3"/>
  <c r="AF63" i="3"/>
  <c r="AF143" i="3"/>
  <c r="AF60" i="3"/>
  <c r="AF127" i="3"/>
  <c r="AF44" i="3"/>
  <c r="AF124" i="3"/>
  <c r="AF38" i="3"/>
  <c r="AF108" i="3"/>
  <c r="AF22" i="3"/>
  <c r="AF172" i="3"/>
  <c r="AF86" i="3"/>
  <c r="AF102" i="3"/>
  <c r="AF166" i="3"/>
  <c r="AF79" i="3"/>
  <c r="AF15" i="3"/>
  <c r="AF13" i="3"/>
  <c r="E172" i="3"/>
  <c r="E154" i="3"/>
  <c r="E69" i="3"/>
  <c r="E133" i="3"/>
  <c r="E47" i="3"/>
  <c r="E117" i="3"/>
  <c r="E36" i="3"/>
  <c r="E175" i="3"/>
  <c r="E90" i="3"/>
  <c r="E15" i="3"/>
  <c r="E74" i="3"/>
  <c r="E53" i="3"/>
  <c r="E31" i="3"/>
  <c r="E20" i="3"/>
  <c r="E111" i="3"/>
  <c r="E159" i="3"/>
  <c r="E138" i="3"/>
  <c r="E95" i="3"/>
  <c r="S159" i="3"/>
  <c r="S121" i="3"/>
  <c r="S88" i="3"/>
  <c r="S56" i="3"/>
  <c r="S24" i="3"/>
  <c r="S156" i="3"/>
  <c r="S119" i="3"/>
  <c r="S86" i="3"/>
  <c r="S54" i="3"/>
  <c r="S22" i="3"/>
  <c r="S148" i="3"/>
  <c r="S112" i="3"/>
  <c r="S80" i="3"/>
  <c r="S48" i="3"/>
  <c r="S16" i="3"/>
  <c r="S146" i="3"/>
  <c r="S110" i="3"/>
  <c r="S78" i="3"/>
  <c r="S46" i="3"/>
  <c r="S14" i="3"/>
  <c r="S139" i="3"/>
  <c r="S104" i="3"/>
  <c r="S72" i="3"/>
  <c r="S40" i="3"/>
  <c r="S169" i="3"/>
  <c r="S130" i="3"/>
  <c r="S96" i="3"/>
  <c r="S64" i="3"/>
  <c r="S32" i="3"/>
  <c r="S102" i="3"/>
  <c r="S94" i="3"/>
  <c r="S70" i="3"/>
  <c r="S62" i="3"/>
  <c r="S167" i="3"/>
  <c r="S30" i="3"/>
  <c r="S137" i="3"/>
  <c r="S177" i="3"/>
  <c r="S128" i="3"/>
  <c r="S38" i="3"/>
  <c r="AJ178" i="3"/>
  <c r="AJ170" i="3"/>
  <c r="AJ162" i="3"/>
  <c r="AJ154" i="3"/>
  <c r="AJ146" i="3"/>
  <c r="AJ138" i="3"/>
  <c r="AJ130" i="3"/>
  <c r="AJ122" i="3"/>
  <c r="AJ114" i="3"/>
  <c r="AJ106" i="3"/>
  <c r="AJ98" i="3"/>
  <c r="AJ90" i="3"/>
  <c r="AJ82" i="3"/>
  <c r="AJ74" i="3"/>
  <c r="AJ66" i="3"/>
  <c r="AJ58" i="3"/>
  <c r="AJ50" i="3"/>
  <c r="AJ42" i="3"/>
  <c r="AJ34" i="3"/>
  <c r="AJ26" i="3"/>
  <c r="AJ18" i="3"/>
  <c r="AJ177" i="3"/>
  <c r="AJ169" i="3"/>
  <c r="AJ161" i="3"/>
  <c r="AJ153" i="3"/>
  <c r="AJ145" i="3"/>
  <c r="AJ137" i="3"/>
  <c r="AJ129" i="3"/>
  <c r="AJ121" i="3"/>
  <c r="AJ113" i="3"/>
  <c r="AJ105" i="3"/>
  <c r="AJ97" i="3"/>
  <c r="AJ89" i="3"/>
  <c r="AJ81" i="3"/>
  <c r="AJ73" i="3"/>
  <c r="AJ65" i="3"/>
  <c r="AJ57" i="3"/>
  <c r="AJ49" i="3"/>
  <c r="AJ41" i="3"/>
  <c r="AJ33" i="3"/>
  <c r="AJ25" i="3"/>
  <c r="AJ17" i="3"/>
  <c r="AJ176" i="3"/>
  <c r="AJ168" i="3"/>
  <c r="AJ160" i="3"/>
  <c r="AJ152" i="3"/>
  <c r="AJ144" i="3"/>
  <c r="AJ136" i="3"/>
  <c r="AJ128" i="3"/>
  <c r="AJ120" i="3"/>
  <c r="AJ112" i="3"/>
  <c r="AJ104" i="3"/>
  <c r="AJ96" i="3"/>
  <c r="AJ88" i="3"/>
  <c r="AJ80" i="3"/>
  <c r="AJ72" i="3"/>
  <c r="AJ64" i="3"/>
  <c r="AJ56" i="3"/>
  <c r="AJ48" i="3"/>
  <c r="AJ40" i="3"/>
  <c r="AJ32" i="3"/>
  <c r="AJ24" i="3"/>
  <c r="AJ16" i="3"/>
  <c r="AJ175" i="3"/>
  <c r="AJ167" i="3"/>
  <c r="AJ159" i="3"/>
  <c r="AJ151" i="3"/>
  <c r="AJ143" i="3"/>
  <c r="AJ135" i="3"/>
  <c r="AJ127" i="3"/>
  <c r="AJ119" i="3"/>
  <c r="AJ111" i="3"/>
  <c r="AJ103" i="3"/>
  <c r="AJ95" i="3"/>
  <c r="AJ87" i="3"/>
  <c r="AJ79" i="3"/>
  <c r="AJ71" i="3"/>
  <c r="AJ63" i="3"/>
  <c r="AJ55" i="3"/>
  <c r="AJ47" i="3"/>
  <c r="AJ39" i="3"/>
  <c r="AJ31" i="3"/>
  <c r="AJ23" i="3"/>
  <c r="AJ15" i="3"/>
  <c r="AJ174" i="3"/>
  <c r="AJ166" i="3"/>
  <c r="AJ158" i="3"/>
  <c r="AJ150" i="3"/>
  <c r="AJ142" i="3"/>
  <c r="AJ134" i="3"/>
  <c r="AJ126" i="3"/>
  <c r="AJ118" i="3"/>
  <c r="AJ110" i="3"/>
  <c r="AJ102" i="3"/>
  <c r="AJ94" i="3"/>
  <c r="AJ86" i="3"/>
  <c r="AJ78" i="3"/>
  <c r="AJ70" i="3"/>
  <c r="AJ62" i="3"/>
  <c r="AJ54" i="3"/>
  <c r="AJ46" i="3"/>
  <c r="AJ38" i="3"/>
  <c r="AJ30" i="3"/>
  <c r="AJ22" i="3"/>
  <c r="AJ14" i="3"/>
  <c r="AJ172" i="3"/>
  <c r="AJ164" i="3"/>
  <c r="AJ156" i="3"/>
  <c r="AJ148" i="3"/>
  <c r="AJ140" i="3"/>
  <c r="AJ132" i="3"/>
  <c r="AJ124" i="3"/>
  <c r="AJ116" i="3"/>
  <c r="AJ149" i="3"/>
  <c r="AJ117" i="3"/>
  <c r="AJ93" i="3"/>
  <c r="AJ75" i="3"/>
  <c r="AJ52" i="3"/>
  <c r="AJ29" i="3"/>
  <c r="AJ147" i="3"/>
  <c r="AJ115" i="3"/>
  <c r="AJ92" i="3"/>
  <c r="AJ69" i="3"/>
  <c r="AJ51" i="3"/>
  <c r="AJ28" i="3"/>
  <c r="AJ173" i="3"/>
  <c r="AJ141" i="3"/>
  <c r="AJ109" i="3"/>
  <c r="AJ91" i="3"/>
  <c r="AJ68" i="3"/>
  <c r="AJ45" i="3"/>
  <c r="AJ27" i="3"/>
  <c r="AJ171" i="3"/>
  <c r="AJ139" i="3"/>
  <c r="AJ108" i="3"/>
  <c r="AJ85" i="3"/>
  <c r="AJ67" i="3"/>
  <c r="AJ44" i="3"/>
  <c r="AJ21" i="3"/>
  <c r="AJ157" i="3"/>
  <c r="AJ125" i="3"/>
  <c r="AJ100" i="3"/>
  <c r="AJ77" i="3"/>
  <c r="AJ59" i="3"/>
  <c r="AJ36" i="3"/>
  <c r="AJ131" i="3"/>
  <c r="AJ61" i="3"/>
  <c r="AJ123" i="3"/>
  <c r="AJ60" i="3"/>
  <c r="AJ107" i="3"/>
  <c r="AJ53" i="3"/>
  <c r="AJ101" i="3"/>
  <c r="AJ43" i="3"/>
  <c r="AJ165" i="3"/>
  <c r="AJ99" i="3"/>
  <c r="AJ37" i="3"/>
  <c r="AJ155" i="3"/>
  <c r="AJ83" i="3"/>
  <c r="AJ20" i="3"/>
  <c r="AJ35" i="3"/>
  <c r="AJ19" i="3"/>
  <c r="AJ163" i="3"/>
  <c r="AJ84" i="3"/>
  <c r="AJ133" i="3"/>
  <c r="AJ13" i="3"/>
  <c r="AJ76" i="3"/>
  <c r="I172" i="3"/>
  <c r="I164" i="3"/>
  <c r="I156" i="3"/>
  <c r="I148" i="3"/>
  <c r="I140" i="3"/>
  <c r="I132" i="3"/>
  <c r="I124" i="3"/>
  <c r="I116" i="3"/>
  <c r="I108" i="3"/>
  <c r="I100" i="3"/>
  <c r="I92" i="3"/>
  <c r="I84" i="3"/>
  <c r="I76" i="3"/>
  <c r="I68" i="3"/>
  <c r="I60" i="3"/>
  <c r="I52" i="3"/>
  <c r="I44" i="3"/>
  <c r="I36" i="3"/>
  <c r="I28" i="3"/>
  <c r="I20" i="3"/>
  <c r="I178" i="3"/>
  <c r="I170" i="3"/>
  <c r="I162" i="3"/>
  <c r="I154" i="3"/>
  <c r="I146" i="3"/>
  <c r="I138" i="3"/>
  <c r="I130" i="3"/>
  <c r="I122" i="3"/>
  <c r="I114" i="3"/>
  <c r="I106" i="3"/>
  <c r="I98" i="3"/>
  <c r="I90" i="3"/>
  <c r="I82" i="3"/>
  <c r="I74" i="3"/>
  <c r="I66" i="3"/>
  <c r="I58" i="3"/>
  <c r="I50" i="3"/>
  <c r="I42" i="3"/>
  <c r="I34" i="3"/>
  <c r="I26" i="3"/>
  <c r="I18" i="3"/>
  <c r="I177" i="3"/>
  <c r="I169" i="3"/>
  <c r="I161" i="3"/>
  <c r="I153" i="3"/>
  <c r="I145" i="3"/>
  <c r="I137" i="3"/>
  <c r="I129" i="3"/>
  <c r="I121" i="3"/>
  <c r="I113" i="3"/>
  <c r="I105" i="3"/>
  <c r="I97" i="3"/>
  <c r="I89" i="3"/>
  <c r="I81" i="3"/>
  <c r="I73" i="3"/>
  <c r="I65" i="3"/>
  <c r="I57" i="3"/>
  <c r="I49" i="3"/>
  <c r="I41" i="3"/>
  <c r="I33" i="3"/>
  <c r="I25" i="3"/>
  <c r="I17" i="3"/>
  <c r="I175" i="3"/>
  <c r="I174" i="3"/>
  <c r="I166" i="3"/>
  <c r="I158" i="3"/>
  <c r="I150" i="3"/>
  <c r="I142" i="3"/>
  <c r="I134" i="3"/>
  <c r="I126" i="3"/>
  <c r="I118" i="3"/>
  <c r="I110" i="3"/>
  <c r="I102" i="3"/>
  <c r="I94" i="3"/>
  <c r="I86" i="3"/>
  <c r="I78" i="3"/>
  <c r="I70" i="3"/>
  <c r="I62" i="3"/>
  <c r="I54" i="3"/>
  <c r="I46" i="3"/>
  <c r="I38" i="3"/>
  <c r="I30" i="3"/>
  <c r="I22" i="3"/>
  <c r="I14" i="3"/>
  <c r="I13" i="3"/>
  <c r="I165" i="3"/>
  <c r="I149" i="3"/>
  <c r="I133" i="3"/>
  <c r="I117" i="3"/>
  <c r="I101" i="3"/>
  <c r="I85" i="3"/>
  <c r="I69" i="3"/>
  <c r="I53" i="3"/>
  <c r="I37" i="3"/>
  <c r="I21" i="3"/>
  <c r="I152" i="3"/>
  <c r="I56" i="3"/>
  <c r="I135" i="3"/>
  <c r="I71" i="3"/>
  <c r="I163" i="3"/>
  <c r="I147" i="3"/>
  <c r="I131" i="3"/>
  <c r="I115" i="3"/>
  <c r="I99" i="3"/>
  <c r="I83" i="3"/>
  <c r="I67" i="3"/>
  <c r="I51" i="3"/>
  <c r="I35" i="3"/>
  <c r="I19" i="3"/>
  <c r="I168" i="3"/>
  <c r="I104" i="3"/>
  <c r="I119" i="3"/>
  <c r="I39" i="3"/>
  <c r="I160" i="3"/>
  <c r="I144" i="3"/>
  <c r="I128" i="3"/>
  <c r="I112" i="3"/>
  <c r="I96" i="3"/>
  <c r="I80" i="3"/>
  <c r="I64" i="3"/>
  <c r="I48" i="3"/>
  <c r="I32" i="3"/>
  <c r="I16" i="3"/>
  <c r="I120" i="3"/>
  <c r="I55" i="3"/>
  <c r="I176" i="3"/>
  <c r="I159" i="3"/>
  <c r="I143" i="3"/>
  <c r="I127" i="3"/>
  <c r="I111" i="3"/>
  <c r="I95" i="3"/>
  <c r="I79" i="3"/>
  <c r="I63" i="3"/>
  <c r="I47" i="3"/>
  <c r="I31" i="3"/>
  <c r="I15" i="3"/>
  <c r="I136" i="3"/>
  <c r="I40" i="3"/>
  <c r="I151" i="3"/>
  <c r="I87" i="3"/>
  <c r="I173" i="3"/>
  <c r="I157" i="3"/>
  <c r="I141" i="3"/>
  <c r="I125" i="3"/>
  <c r="I109" i="3"/>
  <c r="I93" i="3"/>
  <c r="I77" i="3"/>
  <c r="I61" i="3"/>
  <c r="I45" i="3"/>
  <c r="I29" i="3"/>
  <c r="I88" i="3"/>
  <c r="I24" i="3"/>
  <c r="I167" i="3"/>
  <c r="I103" i="3"/>
  <c r="I171" i="3"/>
  <c r="I155" i="3"/>
  <c r="I139" i="3"/>
  <c r="I123" i="3"/>
  <c r="I107" i="3"/>
  <c r="I91" i="3"/>
  <c r="I75" i="3"/>
  <c r="I59" i="3"/>
  <c r="I43" i="3"/>
  <c r="I27" i="3"/>
  <c r="I72" i="3"/>
  <c r="I23" i="3"/>
  <c r="R174" i="3"/>
  <c r="R166" i="3"/>
  <c r="R158" i="3"/>
  <c r="R150" i="3"/>
  <c r="R142" i="3"/>
  <c r="R134" i="3"/>
  <c r="R126" i="3"/>
  <c r="R118" i="3"/>
  <c r="R110" i="3"/>
  <c r="R102" i="3"/>
  <c r="R94" i="3"/>
  <c r="R86" i="3"/>
  <c r="R78" i="3"/>
  <c r="R70" i="3"/>
  <c r="R62" i="3"/>
  <c r="R54" i="3"/>
  <c r="R46" i="3"/>
  <c r="R38" i="3"/>
  <c r="R30" i="3"/>
  <c r="R22" i="3"/>
  <c r="R14" i="3"/>
  <c r="R173" i="3"/>
  <c r="R165" i="3"/>
  <c r="R157" i="3"/>
  <c r="R149" i="3"/>
  <c r="R141" i="3"/>
  <c r="R133" i="3"/>
  <c r="R125" i="3"/>
  <c r="R117" i="3"/>
  <c r="R109" i="3"/>
  <c r="R101" i="3"/>
  <c r="R93" i="3"/>
  <c r="R85" i="3"/>
  <c r="R77" i="3"/>
  <c r="R69" i="3"/>
  <c r="R61" i="3"/>
  <c r="R53" i="3"/>
  <c r="R45" i="3"/>
  <c r="R37" i="3"/>
  <c r="R29" i="3"/>
  <c r="R21" i="3"/>
  <c r="R172" i="3"/>
  <c r="R164" i="3"/>
  <c r="R156" i="3"/>
  <c r="R148" i="3"/>
  <c r="R140" i="3"/>
  <c r="R132" i="3"/>
  <c r="R124" i="3"/>
  <c r="R116" i="3"/>
  <c r="R108" i="3"/>
  <c r="R100" i="3"/>
  <c r="R92" i="3"/>
  <c r="R84" i="3"/>
  <c r="R76" i="3"/>
  <c r="R68" i="3"/>
  <c r="R60" i="3"/>
  <c r="R52" i="3"/>
  <c r="R44" i="3"/>
  <c r="R36" i="3"/>
  <c r="R28" i="3"/>
  <c r="R20" i="3"/>
  <c r="R171" i="3"/>
  <c r="R163" i="3"/>
  <c r="R155" i="3"/>
  <c r="R147" i="3"/>
  <c r="R139" i="3"/>
  <c r="R131" i="3"/>
  <c r="R123" i="3"/>
  <c r="R115" i="3"/>
  <c r="R107" i="3"/>
  <c r="R99" i="3"/>
  <c r="R91" i="3"/>
  <c r="R83" i="3"/>
  <c r="R75" i="3"/>
  <c r="R67" i="3"/>
  <c r="R59" i="3"/>
  <c r="R51" i="3"/>
  <c r="R43" i="3"/>
  <c r="R35" i="3"/>
  <c r="R27" i="3"/>
  <c r="R19" i="3"/>
  <c r="R178" i="3"/>
  <c r="R170" i="3"/>
  <c r="R162" i="3"/>
  <c r="R154" i="3"/>
  <c r="R146" i="3"/>
  <c r="R138" i="3"/>
  <c r="R130" i="3"/>
  <c r="R122" i="3"/>
  <c r="R114" i="3"/>
  <c r="R106" i="3"/>
  <c r="R98" i="3"/>
  <c r="R90" i="3"/>
  <c r="R82" i="3"/>
  <c r="R74" i="3"/>
  <c r="R66" i="3"/>
  <c r="R58" i="3"/>
  <c r="R50" i="3"/>
  <c r="R42" i="3"/>
  <c r="R34" i="3"/>
  <c r="R26" i="3"/>
  <c r="R18" i="3"/>
  <c r="R176" i="3"/>
  <c r="R168" i="3"/>
  <c r="R160" i="3"/>
  <c r="R152" i="3"/>
  <c r="R144" i="3"/>
  <c r="R136" i="3"/>
  <c r="R128" i="3"/>
  <c r="R120" i="3"/>
  <c r="R112" i="3"/>
  <c r="R104" i="3"/>
  <c r="R96" i="3"/>
  <c r="R88" i="3"/>
  <c r="R80" i="3"/>
  <c r="R72" i="3"/>
  <c r="R64" i="3"/>
  <c r="R56" i="3"/>
  <c r="R48" i="3"/>
  <c r="R40" i="3"/>
  <c r="R32" i="3"/>
  <c r="R24" i="3"/>
  <c r="R16" i="3"/>
  <c r="R169" i="3"/>
  <c r="R137" i="3"/>
  <c r="R105" i="3"/>
  <c r="R73" i="3"/>
  <c r="R41" i="3"/>
  <c r="R167" i="3"/>
  <c r="R161" i="3"/>
  <c r="R129" i="3"/>
  <c r="R97" i="3"/>
  <c r="R65" i="3"/>
  <c r="R33" i="3"/>
  <c r="R159" i="3"/>
  <c r="R127" i="3"/>
  <c r="R95" i="3"/>
  <c r="R63" i="3"/>
  <c r="R31" i="3"/>
  <c r="R151" i="3"/>
  <c r="R119" i="3"/>
  <c r="R87" i="3"/>
  <c r="R55" i="3"/>
  <c r="R23" i="3"/>
  <c r="R177" i="3"/>
  <c r="R145" i="3"/>
  <c r="R113" i="3"/>
  <c r="R81" i="3"/>
  <c r="R49" i="3"/>
  <c r="R17" i="3"/>
  <c r="R135" i="3"/>
  <c r="R47" i="3"/>
  <c r="R153" i="3"/>
  <c r="R121" i="3"/>
  <c r="R39" i="3"/>
  <c r="R143" i="3"/>
  <c r="R111" i="3"/>
  <c r="R25" i="3"/>
  <c r="R103" i="3"/>
  <c r="R15" i="3"/>
  <c r="R57" i="3"/>
  <c r="R89" i="3"/>
  <c r="R13" i="3"/>
  <c r="R71" i="3"/>
  <c r="R175" i="3"/>
  <c r="R79" i="3"/>
  <c r="M140" i="3"/>
  <c r="M76" i="3"/>
  <c r="E164" i="3"/>
  <c r="E100" i="3"/>
  <c r="AS86" i="3"/>
  <c r="M131" i="3"/>
  <c r="M67" i="3"/>
  <c r="E163" i="3"/>
  <c r="E99" i="3"/>
  <c r="E35" i="3"/>
  <c r="AS78" i="3"/>
  <c r="AS70" i="3"/>
  <c r="M177" i="3"/>
  <c r="M113" i="3"/>
  <c r="M49" i="3"/>
  <c r="E153" i="3"/>
  <c r="E89" i="3"/>
  <c r="E25" i="3"/>
  <c r="AS126" i="3"/>
  <c r="M176" i="3"/>
  <c r="M112" i="3"/>
  <c r="M48" i="3"/>
  <c r="E152" i="3"/>
  <c r="E88" i="3"/>
  <c r="E24" i="3"/>
  <c r="AS68" i="3"/>
  <c r="AS132" i="3"/>
  <c r="AS37" i="3"/>
  <c r="AS101" i="3"/>
  <c r="AS165" i="3"/>
  <c r="AS63" i="3"/>
  <c r="AS127" i="3"/>
  <c r="AS24" i="3"/>
  <c r="AS88" i="3"/>
  <c r="AS152" i="3"/>
  <c r="AS49" i="3"/>
  <c r="AS113" i="3"/>
  <c r="AS177" i="3"/>
  <c r="AS74" i="3"/>
  <c r="AS138" i="3"/>
  <c r="AS35" i="3"/>
  <c r="AS99" i="3"/>
  <c r="AS163" i="3"/>
  <c r="M174" i="3"/>
  <c r="M110" i="3"/>
  <c r="M46" i="3"/>
  <c r="E150" i="3"/>
  <c r="E86" i="3"/>
  <c r="E22" i="3"/>
  <c r="M157" i="3"/>
  <c r="M93" i="3"/>
  <c r="M29" i="3"/>
  <c r="S136" i="3"/>
  <c r="S69" i="3"/>
  <c r="M119" i="3"/>
  <c r="K138" i="3"/>
  <c r="K74" i="3"/>
  <c r="E173" i="3"/>
  <c r="S116" i="3"/>
  <c r="S52" i="3"/>
  <c r="M82" i="3"/>
  <c r="K137" i="3"/>
  <c r="K73" i="3"/>
  <c r="E170" i="3"/>
  <c r="K13" i="3"/>
  <c r="S115" i="3"/>
  <c r="S51" i="3"/>
  <c r="M79" i="3"/>
  <c r="K136" i="3"/>
  <c r="K72" i="3"/>
  <c r="E167" i="3"/>
  <c r="S13" i="3"/>
  <c r="S114" i="3"/>
  <c r="S50" i="3"/>
  <c r="M74" i="3"/>
  <c r="K127" i="3"/>
  <c r="K63" i="3"/>
  <c r="E143" i="3"/>
  <c r="S131" i="3"/>
  <c r="S65" i="3"/>
  <c r="M135" i="3"/>
  <c r="K142" i="3"/>
  <c r="K78" i="3"/>
  <c r="K14" i="3"/>
  <c r="E21" i="3"/>
  <c r="S178" i="3"/>
  <c r="S103" i="3"/>
  <c r="S39" i="3"/>
  <c r="M31" i="3"/>
  <c r="K116" i="3"/>
  <c r="K52" i="3"/>
  <c r="E114" i="3"/>
  <c r="S133" i="3"/>
  <c r="C33" i="3"/>
  <c r="C157" i="3"/>
  <c r="C84" i="3"/>
  <c r="C44" i="3"/>
  <c r="C21" i="3"/>
  <c r="C125" i="3"/>
  <c r="C59" i="3"/>
  <c r="C23" i="3"/>
  <c r="C132" i="3"/>
  <c r="AN174" i="3"/>
  <c r="AN166" i="3"/>
  <c r="AN158" i="3"/>
  <c r="AN150" i="3"/>
  <c r="AN142" i="3"/>
  <c r="AN134" i="3"/>
  <c r="AN126" i="3"/>
  <c r="AN118" i="3"/>
  <c r="AN110" i="3"/>
  <c r="AN102" i="3"/>
  <c r="AN94" i="3"/>
  <c r="AN86" i="3"/>
  <c r="AN78" i="3"/>
  <c r="AN70" i="3"/>
  <c r="AN62" i="3"/>
  <c r="AN54" i="3"/>
  <c r="AN46" i="3"/>
  <c r="AN38" i="3"/>
  <c r="AN30" i="3"/>
  <c r="AN22" i="3"/>
  <c r="AN14" i="3"/>
  <c r="AN173" i="3"/>
  <c r="AN165" i="3"/>
  <c r="AN157" i="3"/>
  <c r="AN149" i="3"/>
  <c r="AN141" i="3"/>
  <c r="AN133" i="3"/>
  <c r="AN125" i="3"/>
  <c r="AN117" i="3"/>
  <c r="AN109" i="3"/>
  <c r="AN101" i="3"/>
  <c r="AN93" i="3"/>
  <c r="AN85" i="3"/>
  <c r="AN77" i="3"/>
  <c r="AN69" i="3"/>
  <c r="AN61" i="3"/>
  <c r="AN53" i="3"/>
  <c r="AN45" i="3"/>
  <c r="AN37" i="3"/>
  <c r="AN29" i="3"/>
  <c r="AN21" i="3"/>
  <c r="AN172" i="3"/>
  <c r="AN164" i="3"/>
  <c r="AN156" i="3"/>
  <c r="AN148" i="3"/>
  <c r="AN140" i="3"/>
  <c r="AN132" i="3"/>
  <c r="AN124" i="3"/>
  <c r="AN116" i="3"/>
  <c r="AN108" i="3"/>
  <c r="AN100" i="3"/>
  <c r="AN92" i="3"/>
  <c r="AN84" i="3"/>
  <c r="AN76" i="3"/>
  <c r="AN68" i="3"/>
  <c r="AN60" i="3"/>
  <c r="AN52" i="3"/>
  <c r="AN44" i="3"/>
  <c r="AN36" i="3"/>
  <c r="AN28" i="3"/>
  <c r="AN20" i="3"/>
  <c r="AN178" i="3"/>
  <c r="AN170" i="3"/>
  <c r="AN162" i="3"/>
  <c r="AN154" i="3"/>
  <c r="AN146" i="3"/>
  <c r="AN138" i="3"/>
  <c r="AN130" i="3"/>
  <c r="AN122" i="3"/>
  <c r="AN114" i="3"/>
  <c r="AN106" i="3"/>
  <c r="AN98" i="3"/>
  <c r="AN90" i="3"/>
  <c r="AN82" i="3"/>
  <c r="AN74" i="3"/>
  <c r="AN66" i="3"/>
  <c r="AN58" i="3"/>
  <c r="AN50" i="3"/>
  <c r="AN42" i="3"/>
  <c r="AN34" i="3"/>
  <c r="AN26" i="3"/>
  <c r="AN18" i="3"/>
  <c r="AN169" i="3"/>
  <c r="AN153" i="3"/>
  <c r="AN137" i="3"/>
  <c r="AN121" i="3"/>
  <c r="AN105" i="3"/>
  <c r="AN89" i="3"/>
  <c r="AN73" i="3"/>
  <c r="AN57" i="3"/>
  <c r="AN41" i="3"/>
  <c r="AN25" i="3"/>
  <c r="AN168" i="3"/>
  <c r="AN152" i="3"/>
  <c r="AN136" i="3"/>
  <c r="AN120" i="3"/>
  <c r="AN104" i="3"/>
  <c r="AN88" i="3"/>
  <c r="AN72" i="3"/>
  <c r="AN56" i="3"/>
  <c r="AN40" i="3"/>
  <c r="AN24" i="3"/>
  <c r="AN167" i="3"/>
  <c r="AN151" i="3"/>
  <c r="AN135" i="3"/>
  <c r="AN119" i="3"/>
  <c r="AN103" i="3"/>
  <c r="AN87" i="3"/>
  <c r="AN71" i="3"/>
  <c r="AN55" i="3"/>
  <c r="AN39" i="3"/>
  <c r="AN23" i="3"/>
  <c r="AN163" i="3"/>
  <c r="AN147" i="3"/>
  <c r="AN131" i="3"/>
  <c r="AN115" i="3"/>
  <c r="AN99" i="3"/>
  <c r="AN83" i="3"/>
  <c r="AN67" i="3"/>
  <c r="AN51" i="3"/>
  <c r="AN35" i="3"/>
  <c r="AN19" i="3"/>
  <c r="AN177" i="3"/>
  <c r="AN161" i="3"/>
  <c r="AN145" i="3"/>
  <c r="AN129" i="3"/>
  <c r="AN113" i="3"/>
  <c r="AN97" i="3"/>
  <c r="AN81" i="3"/>
  <c r="AN65" i="3"/>
  <c r="AN49" i="3"/>
  <c r="AN33" i="3"/>
  <c r="AN17" i="3"/>
  <c r="AN175" i="3"/>
  <c r="AN159" i="3"/>
  <c r="AN143" i="3"/>
  <c r="AN127" i="3"/>
  <c r="AN111" i="3"/>
  <c r="AN95" i="3"/>
  <c r="AN79" i="3"/>
  <c r="AN63" i="3"/>
  <c r="AN47" i="3"/>
  <c r="AN31" i="3"/>
  <c r="AN15" i="3"/>
  <c r="AN144" i="3"/>
  <c r="AN80" i="3"/>
  <c r="AN16" i="3"/>
  <c r="AN139" i="3"/>
  <c r="AN75" i="3"/>
  <c r="AN128" i="3"/>
  <c r="AN64" i="3"/>
  <c r="AN123" i="3"/>
  <c r="AN59" i="3"/>
  <c r="AN160" i="3"/>
  <c r="AN96" i="3"/>
  <c r="AN32" i="3"/>
  <c r="AN91" i="3"/>
  <c r="AN48" i="3"/>
  <c r="AN43" i="3"/>
  <c r="AN176" i="3"/>
  <c r="AN27" i="3"/>
  <c r="AN171" i="3"/>
  <c r="AN112" i="3"/>
  <c r="AN155" i="3"/>
  <c r="AN107" i="3"/>
  <c r="AN13" i="3"/>
  <c r="X174" i="3"/>
  <c r="X166" i="3"/>
  <c r="X158" i="3"/>
  <c r="X150" i="3"/>
  <c r="X142" i="3"/>
  <c r="X134" i="3"/>
  <c r="X126" i="3"/>
  <c r="X118" i="3"/>
  <c r="X110" i="3"/>
  <c r="X102" i="3"/>
  <c r="X94" i="3"/>
  <c r="X86" i="3"/>
  <c r="X78" i="3"/>
  <c r="X70" i="3"/>
  <c r="X62" i="3"/>
  <c r="X54" i="3"/>
  <c r="X46" i="3"/>
  <c r="X38" i="3"/>
  <c r="X30" i="3"/>
  <c r="X22" i="3"/>
  <c r="X14" i="3"/>
  <c r="X173" i="3"/>
  <c r="X165" i="3"/>
  <c r="X157" i="3"/>
  <c r="X149" i="3"/>
  <c r="X141" i="3"/>
  <c r="X133" i="3"/>
  <c r="X125" i="3"/>
  <c r="X117" i="3"/>
  <c r="X109" i="3"/>
  <c r="X101" i="3"/>
  <c r="X93" i="3"/>
  <c r="X85" i="3"/>
  <c r="X77" i="3"/>
  <c r="X69" i="3"/>
  <c r="X61" i="3"/>
  <c r="X53" i="3"/>
  <c r="X45" i="3"/>
  <c r="X37" i="3"/>
  <c r="X29" i="3"/>
  <c r="X21" i="3"/>
  <c r="X172" i="3"/>
  <c r="X164" i="3"/>
  <c r="X156" i="3"/>
  <c r="X148" i="3"/>
  <c r="X140" i="3"/>
  <c r="X132" i="3"/>
  <c r="X124" i="3"/>
  <c r="X116" i="3"/>
  <c r="X108" i="3"/>
  <c r="X100" i="3"/>
  <c r="X92" i="3"/>
  <c r="X84" i="3"/>
  <c r="X76" i="3"/>
  <c r="X68" i="3"/>
  <c r="X60" i="3"/>
  <c r="X52" i="3"/>
  <c r="X44" i="3"/>
  <c r="X36" i="3"/>
  <c r="X28" i="3"/>
  <c r="X20" i="3"/>
  <c r="X171" i="3"/>
  <c r="X163" i="3"/>
  <c r="X155" i="3"/>
  <c r="X147" i="3"/>
  <c r="X139" i="3"/>
  <c r="X131" i="3"/>
  <c r="X123" i="3"/>
  <c r="X115" i="3"/>
  <c r="X107" i="3"/>
  <c r="X99" i="3"/>
  <c r="X91" i="3"/>
  <c r="X83" i="3"/>
  <c r="X75" i="3"/>
  <c r="X67" i="3"/>
  <c r="X59" i="3"/>
  <c r="X51" i="3"/>
  <c r="X43" i="3"/>
  <c r="X35" i="3"/>
  <c r="X27" i="3"/>
  <c r="X19" i="3"/>
  <c r="X178" i="3"/>
  <c r="X170" i="3"/>
  <c r="X162" i="3"/>
  <c r="X154" i="3"/>
  <c r="X146" i="3"/>
  <c r="X138" i="3"/>
  <c r="X130" i="3"/>
  <c r="X122" i="3"/>
  <c r="X114" i="3"/>
  <c r="X106" i="3"/>
  <c r="X98" i="3"/>
  <c r="X90" i="3"/>
  <c r="X82" i="3"/>
  <c r="X74" i="3"/>
  <c r="X66" i="3"/>
  <c r="X58" i="3"/>
  <c r="X50" i="3"/>
  <c r="X42" i="3"/>
  <c r="X34" i="3"/>
  <c r="X26" i="3"/>
  <c r="X18" i="3"/>
  <c r="X176" i="3"/>
  <c r="X168" i="3"/>
  <c r="X160" i="3"/>
  <c r="X152" i="3"/>
  <c r="X144" i="3"/>
  <c r="X136" i="3"/>
  <c r="X128" i="3"/>
  <c r="X120" i="3"/>
  <c r="X112" i="3"/>
  <c r="X104" i="3"/>
  <c r="X96" i="3"/>
  <c r="X88" i="3"/>
  <c r="X80" i="3"/>
  <c r="X72" i="3"/>
  <c r="X64" i="3"/>
  <c r="X56" i="3"/>
  <c r="X48" i="3"/>
  <c r="X40" i="3"/>
  <c r="X32" i="3"/>
  <c r="X24" i="3"/>
  <c r="X16" i="3"/>
  <c r="X169" i="3"/>
  <c r="X137" i="3"/>
  <c r="X105" i="3"/>
  <c r="X73" i="3"/>
  <c r="X41" i="3"/>
  <c r="X167" i="3"/>
  <c r="X135" i="3"/>
  <c r="X103" i="3"/>
  <c r="X71" i="3"/>
  <c r="X39" i="3"/>
  <c r="X161" i="3"/>
  <c r="X129" i="3"/>
  <c r="X97" i="3"/>
  <c r="X65" i="3"/>
  <c r="X33" i="3"/>
  <c r="X159" i="3"/>
  <c r="X127" i="3"/>
  <c r="X95" i="3"/>
  <c r="X63" i="3"/>
  <c r="X31" i="3"/>
  <c r="X153" i="3"/>
  <c r="X121" i="3"/>
  <c r="X89" i="3"/>
  <c r="X57" i="3"/>
  <c r="X25" i="3"/>
  <c r="X177" i="3"/>
  <c r="X145" i="3"/>
  <c r="X113" i="3"/>
  <c r="X81" i="3"/>
  <c r="X49" i="3"/>
  <c r="X17" i="3"/>
  <c r="X87" i="3"/>
  <c r="X79" i="3"/>
  <c r="X55" i="3"/>
  <c r="X151" i="3"/>
  <c r="X175" i="3"/>
  <c r="X47" i="3"/>
  <c r="X13" i="3"/>
  <c r="X23" i="3"/>
  <c r="X143" i="3"/>
  <c r="X15" i="3"/>
  <c r="X119" i="3"/>
  <c r="X111" i="3"/>
  <c r="AA152" i="3"/>
  <c r="AA92" i="3"/>
  <c r="AA41" i="3"/>
  <c r="AA139" i="3"/>
  <c r="AA83" i="3"/>
  <c r="AA32" i="3"/>
  <c r="AA136" i="3"/>
  <c r="AA80" i="3"/>
  <c r="AA28" i="3"/>
  <c r="AA123" i="3"/>
  <c r="AA70" i="3"/>
  <c r="AA19" i="3"/>
  <c r="AA168" i="3"/>
  <c r="AA105" i="3"/>
  <c r="AA54" i="3"/>
  <c r="AA57" i="3"/>
  <c r="AA44" i="3"/>
  <c r="AA171" i="3"/>
  <c r="AA16" i="3"/>
  <c r="AA155" i="3"/>
  <c r="AA120" i="3"/>
  <c r="AA96" i="3"/>
  <c r="AA108" i="3"/>
  <c r="AA67" i="3"/>
  <c r="AR175" i="3"/>
  <c r="AR167" i="3"/>
  <c r="AR159" i="3"/>
  <c r="AR151" i="3"/>
  <c r="AR143" i="3"/>
  <c r="AR135" i="3"/>
  <c r="AR127" i="3"/>
  <c r="AR119" i="3"/>
  <c r="AR111" i="3"/>
  <c r="AR103" i="3"/>
  <c r="AR95" i="3"/>
  <c r="AR87" i="3"/>
  <c r="AR79" i="3"/>
  <c r="AR71" i="3"/>
  <c r="AR63" i="3"/>
  <c r="AR55" i="3"/>
  <c r="AR47" i="3"/>
  <c r="AR39" i="3"/>
  <c r="AR31" i="3"/>
  <c r="AR23" i="3"/>
  <c r="AR15" i="3"/>
  <c r="AR174" i="3"/>
  <c r="AR166" i="3"/>
  <c r="AR158" i="3"/>
  <c r="AR150" i="3"/>
  <c r="AR142" i="3"/>
  <c r="AR134" i="3"/>
  <c r="AR126" i="3"/>
  <c r="AR118" i="3"/>
  <c r="AR110" i="3"/>
  <c r="AR102" i="3"/>
  <c r="AR94" i="3"/>
  <c r="AR86" i="3"/>
  <c r="AR78" i="3"/>
  <c r="AR70" i="3"/>
  <c r="AR62" i="3"/>
  <c r="AR54" i="3"/>
  <c r="AR46" i="3"/>
  <c r="AR38" i="3"/>
  <c r="AR30" i="3"/>
  <c r="AR22" i="3"/>
  <c r="AR14" i="3"/>
  <c r="AR171" i="3"/>
  <c r="AR163" i="3"/>
  <c r="AR155" i="3"/>
  <c r="AR147" i="3"/>
  <c r="AR139" i="3"/>
  <c r="AR131" i="3"/>
  <c r="AR123" i="3"/>
  <c r="AR115" i="3"/>
  <c r="AR107" i="3"/>
  <c r="AR99" i="3"/>
  <c r="AR91" i="3"/>
  <c r="AR83" i="3"/>
  <c r="AR75" i="3"/>
  <c r="AR67" i="3"/>
  <c r="AR59" i="3"/>
  <c r="AR176" i="3"/>
  <c r="AR162" i="3"/>
  <c r="AR149" i="3"/>
  <c r="AR137" i="3"/>
  <c r="AR124" i="3"/>
  <c r="AR112" i="3"/>
  <c r="AR98" i="3"/>
  <c r="AR85" i="3"/>
  <c r="AR73" i="3"/>
  <c r="AR60" i="3"/>
  <c r="AR49" i="3"/>
  <c r="AR37" i="3"/>
  <c r="AR27" i="3"/>
  <c r="AR17" i="3"/>
  <c r="AR173" i="3"/>
  <c r="AR161" i="3"/>
  <c r="AR148" i="3"/>
  <c r="AR136" i="3"/>
  <c r="AR122" i="3"/>
  <c r="AR109" i="3"/>
  <c r="AR97" i="3"/>
  <c r="AR84" i="3"/>
  <c r="AR72" i="3"/>
  <c r="AR58" i="3"/>
  <c r="AR48" i="3"/>
  <c r="AR36" i="3"/>
  <c r="AR26" i="3"/>
  <c r="AR16" i="3"/>
  <c r="AR172" i="3"/>
  <c r="AR160" i="3"/>
  <c r="AR146" i="3"/>
  <c r="AR133" i="3"/>
  <c r="AR121" i="3"/>
  <c r="AR108" i="3"/>
  <c r="AR96" i="3"/>
  <c r="AR82" i="3"/>
  <c r="AR69" i="3"/>
  <c r="AR57" i="3"/>
  <c r="AR45" i="3"/>
  <c r="AR35" i="3"/>
  <c r="AR25" i="3"/>
  <c r="AR170" i="3"/>
  <c r="AR157" i="3"/>
  <c r="AR145" i="3"/>
  <c r="AR132" i="3"/>
  <c r="AR120" i="3"/>
  <c r="AR106" i="3"/>
  <c r="AR93" i="3"/>
  <c r="AR81" i="3"/>
  <c r="AR68" i="3"/>
  <c r="AR56" i="3"/>
  <c r="AR44" i="3"/>
  <c r="AR34" i="3"/>
  <c r="AR24" i="3"/>
  <c r="AR169" i="3"/>
  <c r="AR156" i="3"/>
  <c r="AR144" i="3"/>
  <c r="AR130" i="3"/>
  <c r="AR117" i="3"/>
  <c r="AR105" i="3"/>
  <c r="AR92" i="3"/>
  <c r="AR80" i="3"/>
  <c r="AR66" i="3"/>
  <c r="AR53" i="3"/>
  <c r="AR43" i="3"/>
  <c r="AR33" i="3"/>
  <c r="AR21" i="3"/>
  <c r="AR168" i="3"/>
  <c r="AR138" i="3"/>
  <c r="AR101" i="3"/>
  <c r="AR65" i="3"/>
  <c r="AR40" i="3"/>
  <c r="AR165" i="3"/>
  <c r="AR129" i="3"/>
  <c r="AR100" i="3"/>
  <c r="AR64" i="3"/>
  <c r="AR32" i="3"/>
  <c r="AR164" i="3"/>
  <c r="AR128" i="3"/>
  <c r="AR90" i="3"/>
  <c r="AR61" i="3"/>
  <c r="AR29" i="3"/>
  <c r="AR154" i="3"/>
  <c r="AR125" i="3"/>
  <c r="AR89" i="3"/>
  <c r="AR52" i="3"/>
  <c r="AR28" i="3"/>
  <c r="AR153" i="3"/>
  <c r="AR116" i="3"/>
  <c r="AR88" i="3"/>
  <c r="AR51" i="3"/>
  <c r="AR20" i="3"/>
  <c r="AR178" i="3"/>
  <c r="AR141" i="3"/>
  <c r="AR113" i="3"/>
  <c r="AR76" i="3"/>
  <c r="AR42" i="3"/>
  <c r="AR18" i="3"/>
  <c r="AR50" i="3"/>
  <c r="AR177" i="3"/>
  <c r="AR41" i="3"/>
  <c r="AR152" i="3"/>
  <c r="AR19" i="3"/>
  <c r="AR140" i="3"/>
  <c r="AR114" i="3"/>
  <c r="AR77" i="3"/>
  <c r="AR104" i="3"/>
  <c r="AR74" i="3"/>
  <c r="AR13" i="3"/>
  <c r="Q171" i="3"/>
  <c r="Q163" i="3"/>
  <c r="Q155" i="3"/>
  <c r="Q147" i="3"/>
  <c r="Q139" i="3"/>
  <c r="Q131" i="3"/>
  <c r="Q123" i="3"/>
  <c r="Q115" i="3"/>
  <c r="Q107" i="3"/>
  <c r="Q99" i="3"/>
  <c r="Q91" i="3"/>
  <c r="Q83" i="3"/>
  <c r="Q75" i="3"/>
  <c r="Q67" i="3"/>
  <c r="Q59" i="3"/>
  <c r="Q51" i="3"/>
  <c r="Q43" i="3"/>
  <c r="Q35" i="3"/>
  <c r="Q27" i="3"/>
  <c r="Q19" i="3"/>
  <c r="Q178" i="3"/>
  <c r="Q170" i="3"/>
  <c r="Q162" i="3"/>
  <c r="Q154" i="3"/>
  <c r="Q146" i="3"/>
  <c r="Q138" i="3"/>
  <c r="Q130" i="3"/>
  <c r="Q122" i="3"/>
  <c r="Q114" i="3"/>
  <c r="Q106" i="3"/>
  <c r="Q98" i="3"/>
  <c r="Q90" i="3"/>
  <c r="Q82" i="3"/>
  <c r="Q74" i="3"/>
  <c r="Q66" i="3"/>
  <c r="Q58" i="3"/>
  <c r="Q50" i="3"/>
  <c r="Q42" i="3"/>
  <c r="Q34" i="3"/>
  <c r="Q26" i="3"/>
  <c r="Q18" i="3"/>
  <c r="Q177" i="3"/>
  <c r="Q169" i="3"/>
  <c r="Q161" i="3"/>
  <c r="Q153" i="3"/>
  <c r="Q145" i="3"/>
  <c r="Q137" i="3"/>
  <c r="Q129" i="3"/>
  <c r="Q121" i="3"/>
  <c r="Q113" i="3"/>
  <c r="Q105" i="3"/>
  <c r="Q97" i="3"/>
  <c r="Q89" i="3"/>
  <c r="Q81" i="3"/>
  <c r="Q73" i="3"/>
  <c r="Q65" i="3"/>
  <c r="Q57" i="3"/>
  <c r="Q49" i="3"/>
  <c r="Q41" i="3"/>
  <c r="Q33" i="3"/>
  <c r="Q25" i="3"/>
  <c r="Q17" i="3"/>
  <c r="Q176" i="3"/>
  <c r="Q168" i="3"/>
  <c r="Q160" i="3"/>
  <c r="Q152" i="3"/>
  <c r="Q144" i="3"/>
  <c r="Q136" i="3"/>
  <c r="Q128" i="3"/>
  <c r="Q120" i="3"/>
  <c r="Q112" i="3"/>
  <c r="Q104" i="3"/>
  <c r="Q96" i="3"/>
  <c r="Q88" i="3"/>
  <c r="Q80" i="3"/>
  <c r="Q72" i="3"/>
  <c r="Q64" i="3"/>
  <c r="Q56" i="3"/>
  <c r="Q48" i="3"/>
  <c r="Q40" i="3"/>
  <c r="Q32" i="3"/>
  <c r="Q24" i="3"/>
  <c r="Q16" i="3"/>
  <c r="Q175" i="3"/>
  <c r="Q167" i="3"/>
  <c r="Q159" i="3"/>
  <c r="Q151" i="3"/>
  <c r="Q143" i="3"/>
  <c r="Q135" i="3"/>
  <c r="Q127" i="3"/>
  <c r="Q119" i="3"/>
  <c r="Q111" i="3"/>
  <c r="Q103" i="3"/>
  <c r="Q95" i="3"/>
  <c r="Q87" i="3"/>
  <c r="Q79" i="3"/>
  <c r="Q71" i="3"/>
  <c r="Q63" i="3"/>
  <c r="Q55" i="3"/>
  <c r="Q47" i="3"/>
  <c r="Q39" i="3"/>
  <c r="Q31" i="3"/>
  <c r="Q23" i="3"/>
  <c r="Q15" i="3"/>
  <c r="Q173" i="3"/>
  <c r="Q165" i="3"/>
  <c r="Q157" i="3"/>
  <c r="Q149" i="3"/>
  <c r="Q141" i="3"/>
  <c r="Q133" i="3"/>
  <c r="Q125" i="3"/>
  <c r="Q117" i="3"/>
  <c r="Q109" i="3"/>
  <c r="Q101" i="3"/>
  <c r="Q93" i="3"/>
  <c r="Q85" i="3"/>
  <c r="Q77" i="3"/>
  <c r="Q69" i="3"/>
  <c r="Q61" i="3"/>
  <c r="Q53" i="3"/>
  <c r="Q45" i="3"/>
  <c r="Q37" i="3"/>
  <c r="Q29" i="3"/>
  <c r="Q21" i="3"/>
  <c r="Q174" i="3"/>
  <c r="Q142" i="3"/>
  <c r="Q110" i="3"/>
  <c r="Q78" i="3"/>
  <c r="Q46" i="3"/>
  <c r="Q14" i="3"/>
  <c r="Q13" i="3"/>
  <c r="Q166" i="3"/>
  <c r="Q134" i="3"/>
  <c r="Q102" i="3"/>
  <c r="Q70" i="3"/>
  <c r="Q38" i="3"/>
  <c r="Q164" i="3"/>
  <c r="Q132" i="3"/>
  <c r="Q100" i="3"/>
  <c r="Q68" i="3"/>
  <c r="Q36" i="3"/>
  <c r="Q156" i="3"/>
  <c r="Q124" i="3"/>
  <c r="Q92" i="3"/>
  <c r="Q60" i="3"/>
  <c r="Q28" i="3"/>
  <c r="Q150" i="3"/>
  <c r="Q118" i="3"/>
  <c r="Q86" i="3"/>
  <c r="Q54" i="3"/>
  <c r="Q22" i="3"/>
  <c r="Q126" i="3"/>
  <c r="Q44" i="3"/>
  <c r="Q140" i="3"/>
  <c r="Q116" i="3"/>
  <c r="Q30" i="3"/>
  <c r="Q108" i="3"/>
  <c r="Q20" i="3"/>
  <c r="Q62" i="3"/>
  <c r="Q94" i="3"/>
  <c r="Q148" i="3"/>
  <c r="Q172" i="3"/>
  <c r="Q84" i="3"/>
  <c r="Q52" i="3"/>
  <c r="Q158" i="3"/>
  <c r="Q76" i="3"/>
  <c r="Z175" i="3"/>
  <c r="Z167" i="3"/>
  <c r="Z159" i="3"/>
  <c r="Z151" i="3"/>
  <c r="Z143" i="3"/>
  <c r="Z135" i="3"/>
  <c r="Z127" i="3"/>
  <c r="Z119" i="3"/>
  <c r="Z111" i="3"/>
  <c r="Z103" i="3"/>
  <c r="Z95" i="3"/>
  <c r="Z174" i="3"/>
  <c r="Z166" i="3"/>
  <c r="Z158" i="3"/>
  <c r="Z150" i="3"/>
  <c r="Z142" i="3"/>
  <c r="Z134" i="3"/>
  <c r="Z126" i="3"/>
  <c r="Z118" i="3"/>
  <c r="Z110" i="3"/>
  <c r="Z102" i="3"/>
  <c r="Z173" i="3"/>
  <c r="Z165" i="3"/>
  <c r="Z157" i="3"/>
  <c r="Z149" i="3"/>
  <c r="Z141" i="3"/>
  <c r="Z133" i="3"/>
  <c r="Z125" i="3"/>
  <c r="Z117" i="3"/>
  <c r="Z109" i="3"/>
  <c r="Z101" i="3"/>
  <c r="Z93" i="3"/>
  <c r="Z172" i="3"/>
  <c r="Z164" i="3"/>
  <c r="Z156" i="3"/>
  <c r="Z148" i="3"/>
  <c r="Z140" i="3"/>
  <c r="Z132" i="3"/>
  <c r="Z124" i="3"/>
  <c r="Z116" i="3"/>
  <c r="Z108" i="3"/>
  <c r="Z100" i="3"/>
  <c r="Z92" i="3"/>
  <c r="Z84" i="3"/>
  <c r="Z76" i="3"/>
  <c r="Z68" i="3"/>
  <c r="Z60" i="3"/>
  <c r="Z52" i="3"/>
  <c r="Z44" i="3"/>
  <c r="Z36" i="3"/>
  <c r="Z28" i="3"/>
  <c r="Z20" i="3"/>
  <c r="Z177" i="3"/>
  <c r="Z169" i="3"/>
  <c r="Z161" i="3"/>
  <c r="Z153" i="3"/>
  <c r="Z145" i="3"/>
  <c r="Z137" i="3"/>
  <c r="Z129" i="3"/>
  <c r="Z121" i="3"/>
  <c r="Z113" i="3"/>
  <c r="Z105" i="3"/>
  <c r="Z97" i="3"/>
  <c r="Z89" i="3"/>
  <c r="Z81" i="3"/>
  <c r="Z73" i="3"/>
  <c r="Z65" i="3"/>
  <c r="Z57" i="3"/>
  <c r="Z49" i="3"/>
  <c r="Z41" i="3"/>
  <c r="Z33" i="3"/>
  <c r="Z25" i="3"/>
  <c r="Z17" i="3"/>
  <c r="Z163" i="3"/>
  <c r="Z144" i="3"/>
  <c r="Z122" i="3"/>
  <c r="Z99" i="3"/>
  <c r="Z86" i="3"/>
  <c r="Z75" i="3"/>
  <c r="Z64" i="3"/>
  <c r="Z54" i="3"/>
  <c r="Z43" i="3"/>
  <c r="Z32" i="3"/>
  <c r="Z22" i="3"/>
  <c r="Z162" i="3"/>
  <c r="Z139" i="3"/>
  <c r="Z120" i="3"/>
  <c r="Z98" i="3"/>
  <c r="Z85" i="3"/>
  <c r="Z74" i="3"/>
  <c r="Z63" i="3"/>
  <c r="Z53" i="3"/>
  <c r="Z42" i="3"/>
  <c r="Z31" i="3"/>
  <c r="Z21" i="3"/>
  <c r="Z160" i="3"/>
  <c r="Z138" i="3"/>
  <c r="Z115" i="3"/>
  <c r="Z96" i="3"/>
  <c r="Z83" i="3"/>
  <c r="Z72" i="3"/>
  <c r="Z62" i="3"/>
  <c r="Z51" i="3"/>
  <c r="Z40" i="3"/>
  <c r="Z30" i="3"/>
  <c r="Z19" i="3"/>
  <c r="Z178" i="3"/>
  <c r="Z155" i="3"/>
  <c r="Z136" i="3"/>
  <c r="Z114" i="3"/>
  <c r="Z94" i="3"/>
  <c r="Z82" i="3"/>
  <c r="Z71" i="3"/>
  <c r="Z61" i="3"/>
  <c r="Z50" i="3"/>
  <c r="Z39" i="3"/>
  <c r="Z29" i="3"/>
  <c r="Z18" i="3"/>
  <c r="Z176" i="3"/>
  <c r="Z154" i="3"/>
  <c r="Z131" i="3"/>
  <c r="Z112" i="3"/>
  <c r="Z91" i="3"/>
  <c r="Z80" i="3"/>
  <c r="Z70" i="3"/>
  <c r="Z59" i="3"/>
  <c r="Z48" i="3"/>
  <c r="Z38" i="3"/>
  <c r="Z27" i="3"/>
  <c r="Z16" i="3"/>
  <c r="Z170" i="3"/>
  <c r="Z147" i="3"/>
  <c r="Z128" i="3"/>
  <c r="Z106" i="3"/>
  <c r="Z88" i="3"/>
  <c r="Z78" i="3"/>
  <c r="Z67" i="3"/>
  <c r="Z56" i="3"/>
  <c r="Z46" i="3"/>
  <c r="Z35" i="3"/>
  <c r="Z24" i="3"/>
  <c r="Z14" i="3"/>
  <c r="Z152" i="3"/>
  <c r="Z79" i="3"/>
  <c r="Z37" i="3"/>
  <c r="Z146" i="3"/>
  <c r="Z77" i="3"/>
  <c r="Z34" i="3"/>
  <c r="Z130" i="3"/>
  <c r="Z69" i="3"/>
  <c r="Z26" i="3"/>
  <c r="Z123" i="3"/>
  <c r="Z66" i="3"/>
  <c r="Z23" i="3"/>
  <c r="Z107" i="3"/>
  <c r="Z58" i="3"/>
  <c r="Z15" i="3"/>
  <c r="Z171" i="3"/>
  <c r="Z90" i="3"/>
  <c r="Z47" i="3"/>
  <c r="Z104" i="3"/>
  <c r="Z168" i="3"/>
  <c r="Z87" i="3"/>
  <c r="Z55" i="3"/>
  <c r="Z45" i="3"/>
  <c r="Z13" i="3"/>
  <c r="AS62" i="3"/>
  <c r="M168" i="3"/>
  <c r="M104" i="3"/>
  <c r="M40" i="3"/>
  <c r="E144" i="3"/>
  <c r="E80" i="3"/>
  <c r="E16" i="3"/>
  <c r="AS76" i="3"/>
  <c r="AS140" i="3"/>
  <c r="AS45" i="3"/>
  <c r="AS109" i="3"/>
  <c r="AS173" i="3"/>
  <c r="AS71" i="3"/>
  <c r="AS135" i="3"/>
  <c r="AS32" i="3"/>
  <c r="AS96" i="3"/>
  <c r="AS160" i="3"/>
  <c r="AS57" i="3"/>
  <c r="AS121" i="3"/>
  <c r="AS18" i="3"/>
  <c r="AS82" i="3"/>
  <c r="AS146" i="3"/>
  <c r="AS43" i="3"/>
  <c r="AS107" i="3"/>
  <c r="AS171" i="3"/>
  <c r="M166" i="3"/>
  <c r="M102" i="3"/>
  <c r="M38" i="3"/>
  <c r="E142" i="3"/>
  <c r="E78" i="3"/>
  <c r="E14" i="3"/>
  <c r="M149" i="3"/>
  <c r="M85" i="3"/>
  <c r="M21" i="3"/>
  <c r="S127" i="3"/>
  <c r="S61" i="3"/>
  <c r="M87" i="3"/>
  <c r="K130" i="3"/>
  <c r="K66" i="3"/>
  <c r="E151" i="3"/>
  <c r="S108" i="3"/>
  <c r="S44" i="3"/>
  <c r="M50" i="3"/>
  <c r="K129" i="3"/>
  <c r="K65" i="3"/>
  <c r="E149" i="3"/>
  <c r="S107" i="3"/>
  <c r="S43" i="3"/>
  <c r="M47" i="3"/>
  <c r="K128" i="3"/>
  <c r="K64" i="3"/>
  <c r="E146" i="3"/>
  <c r="AS118" i="3"/>
  <c r="S106" i="3"/>
  <c r="S42" i="3"/>
  <c r="M42" i="3"/>
  <c r="K119" i="3"/>
  <c r="K55" i="3"/>
  <c r="E122" i="3"/>
  <c r="C67" i="3"/>
  <c r="S122" i="3"/>
  <c r="S57" i="3"/>
  <c r="K134" i="3"/>
  <c r="K70" i="3"/>
  <c r="E162" i="3"/>
  <c r="S168" i="3"/>
  <c r="S95" i="3"/>
  <c r="S31" i="3"/>
  <c r="K172" i="3"/>
  <c r="K108" i="3"/>
  <c r="E93" i="3"/>
  <c r="AQ29" i="3"/>
  <c r="AQ93" i="3"/>
  <c r="AQ157" i="3"/>
  <c r="AQ54" i="3"/>
  <c r="AA50" i="3"/>
  <c r="AA114" i="3"/>
  <c r="AA178" i="3"/>
  <c r="AA172" i="3"/>
  <c r="AA77" i="3"/>
  <c r="AA141" i="3"/>
  <c r="AA39" i="3"/>
  <c r="AA103" i="3"/>
  <c r="AA167" i="3"/>
  <c r="S141" i="3"/>
  <c r="C41" i="3"/>
  <c r="C171" i="3"/>
  <c r="C100" i="3"/>
  <c r="C54" i="3"/>
  <c r="C29" i="3"/>
  <c r="C148" i="3"/>
  <c r="C75" i="3"/>
  <c r="C31" i="3"/>
  <c r="C150" i="3"/>
  <c r="O173" i="3"/>
  <c r="O165" i="3"/>
  <c r="O157" i="3"/>
  <c r="O149" i="3"/>
  <c r="O141" i="3"/>
  <c r="O133" i="3"/>
  <c r="O125" i="3"/>
  <c r="O117" i="3"/>
  <c r="O109" i="3"/>
  <c r="O101" i="3"/>
  <c r="O93" i="3"/>
  <c r="O85" i="3"/>
  <c r="O77" i="3"/>
  <c r="O69" i="3"/>
  <c r="O61" i="3"/>
  <c r="O53" i="3"/>
  <c r="O45" i="3"/>
  <c r="O37" i="3"/>
  <c r="O29" i="3"/>
  <c r="O21" i="3"/>
  <c r="O172" i="3"/>
  <c r="O164" i="3"/>
  <c r="O156" i="3"/>
  <c r="O148" i="3"/>
  <c r="O140" i="3"/>
  <c r="O132" i="3"/>
  <c r="O124" i="3"/>
  <c r="O116" i="3"/>
  <c r="O108" i="3"/>
  <c r="O100" i="3"/>
  <c r="O92" i="3"/>
  <c r="O84" i="3"/>
  <c r="O76" i="3"/>
  <c r="O68" i="3"/>
  <c r="O60" i="3"/>
  <c r="O52" i="3"/>
  <c r="O44" i="3"/>
  <c r="O36" i="3"/>
  <c r="O28" i="3"/>
  <c r="O20" i="3"/>
  <c r="O171" i="3"/>
  <c r="O163" i="3"/>
  <c r="O155" i="3"/>
  <c r="O147" i="3"/>
  <c r="O139" i="3"/>
  <c r="O131" i="3"/>
  <c r="O123" i="3"/>
  <c r="O115" i="3"/>
  <c r="O107" i="3"/>
  <c r="O99" i="3"/>
  <c r="O91" i="3"/>
  <c r="O83" i="3"/>
  <c r="O75" i="3"/>
  <c r="O67" i="3"/>
  <c r="O59" i="3"/>
  <c r="O51" i="3"/>
  <c r="O43" i="3"/>
  <c r="O35" i="3"/>
  <c r="O27" i="3"/>
  <c r="O19" i="3"/>
  <c r="O178" i="3"/>
  <c r="O170" i="3"/>
  <c r="O162" i="3"/>
  <c r="O154" i="3"/>
  <c r="O146" i="3"/>
  <c r="O138" i="3"/>
  <c r="O130" i="3"/>
  <c r="O122" i="3"/>
  <c r="O114" i="3"/>
  <c r="O106" i="3"/>
  <c r="O98" i="3"/>
  <c r="O90" i="3"/>
  <c r="O82" i="3"/>
  <c r="O74" i="3"/>
  <c r="O66" i="3"/>
  <c r="O58" i="3"/>
  <c r="O50" i="3"/>
  <c r="O42" i="3"/>
  <c r="O34" i="3"/>
  <c r="O26" i="3"/>
  <c r="O18" i="3"/>
  <c r="O177" i="3"/>
  <c r="O169" i="3"/>
  <c r="O161" i="3"/>
  <c r="O153" i="3"/>
  <c r="O145" i="3"/>
  <c r="O137" i="3"/>
  <c r="O129" i="3"/>
  <c r="O121" i="3"/>
  <c r="O113" i="3"/>
  <c r="O105" i="3"/>
  <c r="O97" i="3"/>
  <c r="O89" i="3"/>
  <c r="O81" i="3"/>
  <c r="O73" i="3"/>
  <c r="O65" i="3"/>
  <c r="O57" i="3"/>
  <c r="O49" i="3"/>
  <c r="O41" i="3"/>
  <c r="O33" i="3"/>
  <c r="O25" i="3"/>
  <c r="O17" i="3"/>
  <c r="O175" i="3"/>
  <c r="O167" i="3"/>
  <c r="O159" i="3"/>
  <c r="O151" i="3"/>
  <c r="O143" i="3"/>
  <c r="O135" i="3"/>
  <c r="O127" i="3"/>
  <c r="O119" i="3"/>
  <c r="O111" i="3"/>
  <c r="O103" i="3"/>
  <c r="O95" i="3"/>
  <c r="O87" i="3"/>
  <c r="O79" i="3"/>
  <c r="O71" i="3"/>
  <c r="O63" i="3"/>
  <c r="O55" i="3"/>
  <c r="O47" i="3"/>
  <c r="O39" i="3"/>
  <c r="O31" i="3"/>
  <c r="O23" i="3"/>
  <c r="O15" i="3"/>
  <c r="O152" i="3"/>
  <c r="O120" i="3"/>
  <c r="O88" i="3"/>
  <c r="O56" i="3"/>
  <c r="O24" i="3"/>
  <c r="O176" i="3"/>
  <c r="O144" i="3"/>
  <c r="O112" i="3"/>
  <c r="O80" i="3"/>
  <c r="O48" i="3"/>
  <c r="O16" i="3"/>
  <c r="O13" i="3"/>
  <c r="O174" i="3"/>
  <c r="O142" i="3"/>
  <c r="O110" i="3"/>
  <c r="O78" i="3"/>
  <c r="O46" i="3"/>
  <c r="O14" i="3"/>
  <c r="O166" i="3"/>
  <c r="O134" i="3"/>
  <c r="O102" i="3"/>
  <c r="O70" i="3"/>
  <c r="O38" i="3"/>
  <c r="O160" i="3"/>
  <c r="O128" i="3"/>
  <c r="O96" i="3"/>
  <c r="O64" i="3"/>
  <c r="O32" i="3"/>
  <c r="O118" i="3"/>
  <c r="O30" i="3"/>
  <c r="O104" i="3"/>
  <c r="O22" i="3"/>
  <c r="O136" i="3"/>
  <c r="O94" i="3"/>
  <c r="O54" i="3"/>
  <c r="O40" i="3"/>
  <c r="O168" i="3"/>
  <c r="O86" i="3"/>
  <c r="O158" i="3"/>
  <c r="O72" i="3"/>
  <c r="O126" i="3"/>
  <c r="O150" i="3"/>
  <c r="O62" i="3"/>
  <c r="AU173" i="3"/>
  <c r="AU165" i="3"/>
  <c r="AU157" i="3"/>
  <c r="AU149" i="3"/>
  <c r="AU141" i="3"/>
  <c r="AU133" i="3"/>
  <c r="AU125" i="3"/>
  <c r="AU117" i="3"/>
  <c r="AU109" i="3"/>
  <c r="AU101" i="3"/>
  <c r="AU93" i="3"/>
  <c r="AU85" i="3"/>
  <c r="AU77" i="3"/>
  <c r="AU69" i="3"/>
  <c r="AU61" i="3"/>
  <c r="AU53" i="3"/>
  <c r="AU45" i="3"/>
  <c r="AU37" i="3"/>
  <c r="AU29" i="3"/>
  <c r="AU21" i="3"/>
  <c r="AU172" i="3"/>
  <c r="AU164" i="3"/>
  <c r="AU156" i="3"/>
  <c r="AU148" i="3"/>
  <c r="AU140" i="3"/>
  <c r="AU132" i="3"/>
  <c r="AU124" i="3"/>
  <c r="AU116" i="3"/>
  <c r="AU108" i="3"/>
  <c r="AU100" i="3"/>
  <c r="AU92" i="3"/>
  <c r="AU84" i="3"/>
  <c r="AU76" i="3"/>
  <c r="AU68" i="3"/>
  <c r="AU60" i="3"/>
  <c r="AU52" i="3"/>
  <c r="AU44" i="3"/>
  <c r="AU36" i="3"/>
  <c r="AU28" i="3"/>
  <c r="AU20" i="3"/>
  <c r="AU171" i="3"/>
  <c r="AU163" i="3"/>
  <c r="AU155" i="3"/>
  <c r="AU147" i="3"/>
  <c r="AU139" i="3"/>
  <c r="AU131" i="3"/>
  <c r="AU123" i="3"/>
  <c r="AU115" i="3"/>
  <c r="AU107" i="3"/>
  <c r="AU99" i="3"/>
  <c r="AU91" i="3"/>
  <c r="AU83" i="3"/>
  <c r="AU75" i="3"/>
  <c r="AU67" i="3"/>
  <c r="AU59" i="3"/>
  <c r="AU51" i="3"/>
  <c r="AU43" i="3"/>
  <c r="AU35" i="3"/>
  <c r="AU27" i="3"/>
  <c r="AU19" i="3"/>
  <c r="AU177" i="3"/>
  <c r="AU169" i="3"/>
  <c r="AU161" i="3"/>
  <c r="AU153" i="3"/>
  <c r="AU145" i="3"/>
  <c r="AU137" i="3"/>
  <c r="AU129" i="3"/>
  <c r="AU121" i="3"/>
  <c r="AU113" i="3"/>
  <c r="AU105" i="3"/>
  <c r="AU97" i="3"/>
  <c r="AU89" i="3"/>
  <c r="AU81" i="3"/>
  <c r="AU73" i="3"/>
  <c r="AU65" i="3"/>
  <c r="AU57" i="3"/>
  <c r="AU49" i="3"/>
  <c r="AU41" i="3"/>
  <c r="AU33" i="3"/>
  <c r="AU25" i="3"/>
  <c r="AU17" i="3"/>
  <c r="AU176" i="3"/>
  <c r="AU168" i="3"/>
  <c r="AU160" i="3"/>
  <c r="AU152" i="3"/>
  <c r="AU144" i="3"/>
  <c r="AU136" i="3"/>
  <c r="AU128" i="3"/>
  <c r="AU120" i="3"/>
  <c r="AU112" i="3"/>
  <c r="AU104" i="3"/>
  <c r="AU96" i="3"/>
  <c r="AU88" i="3"/>
  <c r="AU80" i="3"/>
  <c r="AU72" i="3"/>
  <c r="AU64" i="3"/>
  <c r="AU56" i="3"/>
  <c r="AU48" i="3"/>
  <c r="AU40" i="3"/>
  <c r="AU32" i="3"/>
  <c r="AU24" i="3"/>
  <c r="AU162" i="3"/>
  <c r="AU142" i="3"/>
  <c r="AU119" i="3"/>
  <c r="AU98" i="3"/>
  <c r="AU78" i="3"/>
  <c r="AU55" i="3"/>
  <c r="AU34" i="3"/>
  <c r="AU15" i="3"/>
  <c r="AU159" i="3"/>
  <c r="AU138" i="3"/>
  <c r="AU118" i="3"/>
  <c r="AU95" i="3"/>
  <c r="AU74" i="3"/>
  <c r="AU54" i="3"/>
  <c r="AU31" i="3"/>
  <c r="AU14" i="3"/>
  <c r="AU178" i="3"/>
  <c r="AU158" i="3"/>
  <c r="AU135" i="3"/>
  <c r="AU114" i="3"/>
  <c r="AU94" i="3"/>
  <c r="AU71" i="3"/>
  <c r="AU50" i="3"/>
  <c r="AU30" i="3"/>
  <c r="AU175" i="3"/>
  <c r="AU154" i="3"/>
  <c r="AU134" i="3"/>
  <c r="AU111" i="3"/>
  <c r="AU90" i="3"/>
  <c r="AU70" i="3"/>
  <c r="AU47" i="3"/>
  <c r="AU26" i="3"/>
  <c r="AU174" i="3"/>
  <c r="AU151" i="3"/>
  <c r="AU130" i="3"/>
  <c r="AU110" i="3"/>
  <c r="AU87" i="3"/>
  <c r="AU66" i="3"/>
  <c r="AU46" i="3"/>
  <c r="AU23" i="3"/>
  <c r="AU167" i="3"/>
  <c r="AU106" i="3"/>
  <c r="AU58" i="3"/>
  <c r="AU166" i="3"/>
  <c r="AU103" i="3"/>
  <c r="AU42" i="3"/>
  <c r="AU150" i="3"/>
  <c r="AU102" i="3"/>
  <c r="AU39" i="3"/>
  <c r="AU146" i="3"/>
  <c r="AU86" i="3"/>
  <c r="AU38" i="3"/>
  <c r="AU143" i="3"/>
  <c r="AU82" i="3"/>
  <c r="AU22" i="3"/>
  <c r="AU126" i="3"/>
  <c r="AU63" i="3"/>
  <c r="AU16" i="3"/>
  <c r="AU18" i="3"/>
  <c r="AU170" i="3"/>
  <c r="AU127" i="3"/>
  <c r="AU79" i="3"/>
  <c r="AU122" i="3"/>
  <c r="AU62" i="3"/>
  <c r="AU13" i="3"/>
  <c r="AI118" i="3"/>
  <c r="AI94" i="3"/>
  <c r="AI86" i="3"/>
  <c r="AI62" i="3"/>
  <c r="AI54" i="3"/>
  <c r="AI126" i="3"/>
  <c r="AI30" i="3"/>
  <c r="AI22" i="3"/>
  <c r="AI158" i="3"/>
  <c r="AI150" i="3"/>
  <c r="F171" i="3"/>
  <c r="F163" i="3"/>
  <c r="F155" i="3"/>
  <c r="F147" i="3"/>
  <c r="F139" i="3"/>
  <c r="F131" i="3"/>
  <c r="F123" i="3"/>
  <c r="F115" i="3"/>
  <c r="F107" i="3"/>
  <c r="F99" i="3"/>
  <c r="F91" i="3"/>
  <c r="F83" i="3"/>
  <c r="F75" i="3"/>
  <c r="F67" i="3"/>
  <c r="F59" i="3"/>
  <c r="F51" i="3"/>
  <c r="F43" i="3"/>
  <c r="F35" i="3"/>
  <c r="F27" i="3"/>
  <c r="F19" i="3"/>
  <c r="F177" i="3"/>
  <c r="F169" i="3"/>
  <c r="F161" i="3"/>
  <c r="F153" i="3"/>
  <c r="F145" i="3"/>
  <c r="F137" i="3"/>
  <c r="F129" i="3"/>
  <c r="F121" i="3"/>
  <c r="F113" i="3"/>
  <c r="F105" i="3"/>
  <c r="F97" i="3"/>
  <c r="F89" i="3"/>
  <c r="F81" i="3"/>
  <c r="F73" i="3"/>
  <c r="F65" i="3"/>
  <c r="F57" i="3"/>
  <c r="F49" i="3"/>
  <c r="F41" i="3"/>
  <c r="F33" i="3"/>
  <c r="F25" i="3"/>
  <c r="F17" i="3"/>
  <c r="F176" i="3"/>
  <c r="F168" i="3"/>
  <c r="F160" i="3"/>
  <c r="F152" i="3"/>
  <c r="F144" i="3"/>
  <c r="F136" i="3"/>
  <c r="F128" i="3"/>
  <c r="F120" i="3"/>
  <c r="F112" i="3"/>
  <c r="F104" i="3"/>
  <c r="F96" i="3"/>
  <c r="F88" i="3"/>
  <c r="F80" i="3"/>
  <c r="F72" i="3"/>
  <c r="F64" i="3"/>
  <c r="F56" i="3"/>
  <c r="F48" i="3"/>
  <c r="F40" i="3"/>
  <c r="F32" i="3"/>
  <c r="F24" i="3"/>
  <c r="F16" i="3"/>
  <c r="F173" i="3"/>
  <c r="F165" i="3"/>
  <c r="F157" i="3"/>
  <c r="F149" i="3"/>
  <c r="F141" i="3"/>
  <c r="F133" i="3"/>
  <c r="F125" i="3"/>
  <c r="F117" i="3"/>
  <c r="F109" i="3"/>
  <c r="F101" i="3"/>
  <c r="F93" i="3"/>
  <c r="F85" i="3"/>
  <c r="F77" i="3"/>
  <c r="F69" i="3"/>
  <c r="F61" i="3"/>
  <c r="F53" i="3"/>
  <c r="F45" i="3"/>
  <c r="F37" i="3"/>
  <c r="F29" i="3"/>
  <c r="F21" i="3"/>
  <c r="F164" i="3"/>
  <c r="F148" i="3"/>
  <c r="F132" i="3"/>
  <c r="F116" i="3"/>
  <c r="F100" i="3"/>
  <c r="F84" i="3"/>
  <c r="F68" i="3"/>
  <c r="F52" i="3"/>
  <c r="F36" i="3"/>
  <c r="F20" i="3"/>
  <c r="F106" i="3"/>
  <c r="F103" i="3"/>
  <c r="F71" i="3"/>
  <c r="F118" i="3"/>
  <c r="F178" i="3"/>
  <c r="F162" i="3"/>
  <c r="F146" i="3"/>
  <c r="F130" i="3"/>
  <c r="F114" i="3"/>
  <c r="F98" i="3"/>
  <c r="F82" i="3"/>
  <c r="F66" i="3"/>
  <c r="F50" i="3"/>
  <c r="F34" i="3"/>
  <c r="F18" i="3"/>
  <c r="F13" i="3"/>
  <c r="F42" i="3"/>
  <c r="F135" i="3"/>
  <c r="F150" i="3"/>
  <c r="F86" i="3"/>
  <c r="F38" i="3"/>
  <c r="F175" i="3"/>
  <c r="F159" i="3"/>
  <c r="F143" i="3"/>
  <c r="F127" i="3"/>
  <c r="F111" i="3"/>
  <c r="F95" i="3"/>
  <c r="F79" i="3"/>
  <c r="F63" i="3"/>
  <c r="F47" i="3"/>
  <c r="F31" i="3"/>
  <c r="F15" i="3"/>
  <c r="F58" i="3"/>
  <c r="F167" i="3"/>
  <c r="F39" i="3"/>
  <c r="F70" i="3"/>
  <c r="F174" i="3"/>
  <c r="F158" i="3"/>
  <c r="F142" i="3"/>
  <c r="F126" i="3"/>
  <c r="F110" i="3"/>
  <c r="F94" i="3"/>
  <c r="F78" i="3"/>
  <c r="F62" i="3"/>
  <c r="F46" i="3"/>
  <c r="F30" i="3"/>
  <c r="F14" i="3"/>
  <c r="F74" i="3"/>
  <c r="F119" i="3"/>
  <c r="F87" i="3"/>
  <c r="F134" i="3"/>
  <c r="F22" i="3"/>
  <c r="F172" i="3"/>
  <c r="F156" i="3"/>
  <c r="F140" i="3"/>
  <c r="F124" i="3"/>
  <c r="F108" i="3"/>
  <c r="F92" i="3"/>
  <c r="F76" i="3"/>
  <c r="F60" i="3"/>
  <c r="F44" i="3"/>
  <c r="F28" i="3"/>
  <c r="F26" i="3"/>
  <c r="F151" i="3"/>
  <c r="F23" i="3"/>
  <c r="F102" i="3"/>
  <c r="F54" i="3"/>
  <c r="F170" i="3"/>
  <c r="F154" i="3"/>
  <c r="F138" i="3"/>
  <c r="F122" i="3"/>
  <c r="F90" i="3"/>
  <c r="F55" i="3"/>
  <c r="F166" i="3"/>
  <c r="Y177" i="3"/>
  <c r="Y169" i="3"/>
  <c r="Y161" i="3"/>
  <c r="Y153" i="3"/>
  <c r="Y145" i="3"/>
  <c r="Y137" i="3"/>
  <c r="Y129" i="3"/>
  <c r="Y121" i="3"/>
  <c r="Y113" i="3"/>
  <c r="Y105" i="3"/>
  <c r="Y97" i="3"/>
  <c r="Y89" i="3"/>
  <c r="Y81" i="3"/>
  <c r="Y73" i="3"/>
  <c r="Y65" i="3"/>
  <c r="Y57" i="3"/>
  <c r="Y49" i="3"/>
  <c r="Y41" i="3"/>
  <c r="Y33" i="3"/>
  <c r="Y25" i="3"/>
  <c r="Y17" i="3"/>
  <c r="Y176" i="3"/>
  <c r="Y168" i="3"/>
  <c r="Y160" i="3"/>
  <c r="Y152" i="3"/>
  <c r="Y144" i="3"/>
  <c r="Y136" i="3"/>
  <c r="Y128" i="3"/>
  <c r="Y120" i="3"/>
  <c r="Y112" i="3"/>
  <c r="Y104" i="3"/>
  <c r="Y96" i="3"/>
  <c r="Y88" i="3"/>
  <c r="Y80" i="3"/>
  <c r="Y72" i="3"/>
  <c r="Y64" i="3"/>
  <c r="Y56" i="3"/>
  <c r="Y48" i="3"/>
  <c r="Y40" i="3"/>
  <c r="Y32" i="3"/>
  <c r="Y24" i="3"/>
  <c r="Y16" i="3"/>
  <c r="Y175" i="3"/>
  <c r="Y167" i="3"/>
  <c r="Y159" i="3"/>
  <c r="Y151" i="3"/>
  <c r="Y143" i="3"/>
  <c r="Y135" i="3"/>
  <c r="Y127" i="3"/>
  <c r="Y119" i="3"/>
  <c r="Y111" i="3"/>
  <c r="Y103" i="3"/>
  <c r="Y95" i="3"/>
  <c r="Y87" i="3"/>
  <c r="Y79" i="3"/>
  <c r="Y71" i="3"/>
  <c r="Y63" i="3"/>
  <c r="Y55" i="3"/>
  <c r="Y47" i="3"/>
  <c r="Y39" i="3"/>
  <c r="Y31" i="3"/>
  <c r="Y23" i="3"/>
  <c r="Y15" i="3"/>
  <c r="Y174" i="3"/>
  <c r="Y166" i="3"/>
  <c r="Y158" i="3"/>
  <c r="Y150" i="3"/>
  <c r="Y142" i="3"/>
  <c r="Y134" i="3"/>
  <c r="Y126" i="3"/>
  <c r="Y118" i="3"/>
  <c r="Y110" i="3"/>
  <c r="Y102" i="3"/>
  <c r="Y94" i="3"/>
  <c r="Y86" i="3"/>
  <c r="Y78" i="3"/>
  <c r="Y70" i="3"/>
  <c r="Y62" i="3"/>
  <c r="Y54" i="3"/>
  <c r="Y46" i="3"/>
  <c r="Y38" i="3"/>
  <c r="Y30" i="3"/>
  <c r="Y22" i="3"/>
  <c r="Y14" i="3"/>
  <c r="Y173" i="3"/>
  <c r="Y165" i="3"/>
  <c r="Y157" i="3"/>
  <c r="Y149" i="3"/>
  <c r="Y141" i="3"/>
  <c r="Y133" i="3"/>
  <c r="Y125" i="3"/>
  <c r="Y117" i="3"/>
  <c r="Y109" i="3"/>
  <c r="Y101" i="3"/>
  <c r="Y93" i="3"/>
  <c r="Y85" i="3"/>
  <c r="Y77" i="3"/>
  <c r="Y69" i="3"/>
  <c r="Y61" i="3"/>
  <c r="Y53" i="3"/>
  <c r="Y45" i="3"/>
  <c r="Y37" i="3"/>
  <c r="Y29" i="3"/>
  <c r="Y21" i="3"/>
  <c r="Y171" i="3"/>
  <c r="Y163" i="3"/>
  <c r="Y155" i="3"/>
  <c r="Y147" i="3"/>
  <c r="Y139" i="3"/>
  <c r="Y131" i="3"/>
  <c r="Y123" i="3"/>
  <c r="Y115" i="3"/>
  <c r="Y107" i="3"/>
  <c r="Y99" i="3"/>
  <c r="Y91" i="3"/>
  <c r="Y83" i="3"/>
  <c r="Y75" i="3"/>
  <c r="Y67" i="3"/>
  <c r="Y59" i="3"/>
  <c r="Y51" i="3"/>
  <c r="Y43" i="3"/>
  <c r="Y35" i="3"/>
  <c r="Y27" i="3"/>
  <c r="Y19" i="3"/>
  <c r="Y164" i="3"/>
  <c r="Y132" i="3"/>
  <c r="Y100" i="3"/>
  <c r="Y68" i="3"/>
  <c r="Y36" i="3"/>
  <c r="Y162" i="3"/>
  <c r="Y130" i="3"/>
  <c r="Y98" i="3"/>
  <c r="Y66" i="3"/>
  <c r="Y34" i="3"/>
  <c r="Y156" i="3"/>
  <c r="Y124" i="3"/>
  <c r="Y92" i="3"/>
  <c r="Y60" i="3"/>
  <c r="Y28" i="3"/>
  <c r="Y154" i="3"/>
  <c r="Y122" i="3"/>
  <c r="Y90" i="3"/>
  <c r="Y58" i="3"/>
  <c r="Y26" i="3"/>
  <c r="Y148" i="3"/>
  <c r="Y116" i="3"/>
  <c r="Y84" i="3"/>
  <c r="Y52" i="3"/>
  <c r="Y20" i="3"/>
  <c r="Y172" i="3"/>
  <c r="Y140" i="3"/>
  <c r="Y108" i="3"/>
  <c r="Y76" i="3"/>
  <c r="Y44" i="3"/>
  <c r="Y178" i="3"/>
  <c r="Y50" i="3"/>
  <c r="Y170" i="3"/>
  <c r="Y42" i="3"/>
  <c r="Y146" i="3"/>
  <c r="Y18" i="3"/>
  <c r="Y13" i="3"/>
  <c r="Y138" i="3"/>
  <c r="Y114" i="3"/>
  <c r="Y106" i="3"/>
  <c r="Y82" i="3"/>
  <c r="Y74" i="3"/>
  <c r="AH177" i="3"/>
  <c r="AH169" i="3"/>
  <c r="AH161" i="3"/>
  <c r="AH153" i="3"/>
  <c r="AH145" i="3"/>
  <c r="AH137" i="3"/>
  <c r="AH129" i="3"/>
  <c r="AH121" i="3"/>
  <c r="AH176" i="3"/>
  <c r="AH168" i="3"/>
  <c r="AH160" i="3"/>
  <c r="AH152" i="3"/>
  <c r="AH144" i="3"/>
  <c r="AH136" i="3"/>
  <c r="AH128" i="3"/>
  <c r="AH120" i="3"/>
  <c r="AH112" i="3"/>
  <c r="AH175" i="3"/>
  <c r="AH167" i="3"/>
  <c r="AH159" i="3"/>
  <c r="AH151" i="3"/>
  <c r="AH143" i="3"/>
  <c r="AH135" i="3"/>
  <c r="AH174" i="3"/>
  <c r="AH166" i="3"/>
  <c r="AH173" i="3"/>
  <c r="AH165" i="3"/>
  <c r="AH157" i="3"/>
  <c r="AH163" i="3"/>
  <c r="AH148" i="3"/>
  <c r="AH134" i="3"/>
  <c r="AH124" i="3"/>
  <c r="AH114" i="3"/>
  <c r="AH105" i="3"/>
  <c r="AH97" i="3"/>
  <c r="AH89" i="3"/>
  <c r="AH81" i="3"/>
  <c r="AH73" i="3"/>
  <c r="AH65" i="3"/>
  <c r="AH57" i="3"/>
  <c r="AH49" i="3"/>
  <c r="AH41" i="3"/>
  <c r="AH33" i="3"/>
  <c r="AH25" i="3"/>
  <c r="AH17" i="3"/>
  <c r="AH162" i="3"/>
  <c r="AH147" i="3"/>
  <c r="AH133" i="3"/>
  <c r="AH123" i="3"/>
  <c r="AH113" i="3"/>
  <c r="AH104" i="3"/>
  <c r="AH96" i="3"/>
  <c r="AH88" i="3"/>
  <c r="AH80" i="3"/>
  <c r="AH72" i="3"/>
  <c r="AH64" i="3"/>
  <c r="AH56" i="3"/>
  <c r="AH48" i="3"/>
  <c r="AH40" i="3"/>
  <c r="AH32" i="3"/>
  <c r="AH24" i="3"/>
  <c r="AH16" i="3"/>
  <c r="AH158" i="3"/>
  <c r="AH146" i="3"/>
  <c r="AH132" i="3"/>
  <c r="AH122" i="3"/>
  <c r="AH111" i="3"/>
  <c r="AH103" i="3"/>
  <c r="AH95" i="3"/>
  <c r="AH87" i="3"/>
  <c r="AH79" i="3"/>
  <c r="AH71" i="3"/>
  <c r="AH63" i="3"/>
  <c r="AH55" i="3"/>
  <c r="AH47" i="3"/>
  <c r="AH39" i="3"/>
  <c r="AH31" i="3"/>
  <c r="AH23" i="3"/>
  <c r="AH15" i="3"/>
  <c r="AH178" i="3"/>
  <c r="AH156" i="3"/>
  <c r="AH142" i="3"/>
  <c r="AH131" i="3"/>
  <c r="AH119" i="3"/>
  <c r="AH110" i="3"/>
  <c r="AH102" i="3"/>
  <c r="AH94" i="3"/>
  <c r="AH86" i="3"/>
  <c r="AH78" i="3"/>
  <c r="AH70" i="3"/>
  <c r="AH62" i="3"/>
  <c r="AH54" i="3"/>
  <c r="AH46" i="3"/>
  <c r="AH38" i="3"/>
  <c r="AH30" i="3"/>
  <c r="AH22" i="3"/>
  <c r="AH14" i="3"/>
  <c r="AH170" i="3"/>
  <c r="AH150" i="3"/>
  <c r="AH139" i="3"/>
  <c r="AH126" i="3"/>
  <c r="AH116" i="3"/>
  <c r="AH107" i="3"/>
  <c r="AH99" i="3"/>
  <c r="AH91" i="3"/>
  <c r="AH83" i="3"/>
  <c r="AH75" i="3"/>
  <c r="AH67" i="3"/>
  <c r="AH59" i="3"/>
  <c r="AH51" i="3"/>
  <c r="AH43" i="3"/>
  <c r="AH35" i="3"/>
  <c r="AH27" i="3"/>
  <c r="AH19" i="3"/>
  <c r="AH140" i="3"/>
  <c r="AH109" i="3"/>
  <c r="AH90" i="3"/>
  <c r="AH68" i="3"/>
  <c r="AH45" i="3"/>
  <c r="AH26" i="3"/>
  <c r="AH172" i="3"/>
  <c r="AH138" i="3"/>
  <c r="AH108" i="3"/>
  <c r="AH85" i="3"/>
  <c r="AH66" i="3"/>
  <c r="AH44" i="3"/>
  <c r="AH21" i="3"/>
  <c r="AH171" i="3"/>
  <c r="AH130" i="3"/>
  <c r="AH106" i="3"/>
  <c r="AH84" i="3"/>
  <c r="AH61" i="3"/>
  <c r="AH42" i="3"/>
  <c r="AH20" i="3"/>
  <c r="AH164" i="3"/>
  <c r="AH127" i="3"/>
  <c r="AH101" i="3"/>
  <c r="AH82" i="3"/>
  <c r="AH60" i="3"/>
  <c r="AH37" i="3"/>
  <c r="AH18" i="3"/>
  <c r="AH155" i="3"/>
  <c r="AH125" i="3"/>
  <c r="AH100" i="3"/>
  <c r="AH77" i="3"/>
  <c r="AH58" i="3"/>
  <c r="AH36" i="3"/>
  <c r="AH149" i="3"/>
  <c r="AH117" i="3"/>
  <c r="AH93" i="3"/>
  <c r="AH74" i="3"/>
  <c r="AH52" i="3"/>
  <c r="AH29" i="3"/>
  <c r="AH76" i="3"/>
  <c r="AH69" i="3"/>
  <c r="AH154" i="3"/>
  <c r="AH53" i="3"/>
  <c r="AH141" i="3"/>
  <c r="AH50" i="3"/>
  <c r="AH118" i="3"/>
  <c r="AH34" i="3"/>
  <c r="AH98" i="3"/>
  <c r="AH13" i="3"/>
  <c r="AH115" i="3"/>
  <c r="AH92" i="3"/>
  <c r="AH28" i="3"/>
  <c r="M172" i="3"/>
  <c r="M122" i="3"/>
  <c r="M98" i="3"/>
  <c r="M90" i="3"/>
  <c r="M66" i="3"/>
  <c r="M58" i="3"/>
  <c r="M26" i="3"/>
  <c r="M162" i="3"/>
  <c r="M154" i="3"/>
  <c r="M130" i="3"/>
  <c r="M34" i="3"/>
  <c r="AM171" i="3"/>
  <c r="AM163" i="3"/>
  <c r="AM155" i="3"/>
  <c r="AM147" i="3"/>
  <c r="AM139" i="3"/>
  <c r="AM131" i="3"/>
  <c r="AM123" i="3"/>
  <c r="AM115" i="3"/>
  <c r="AM107" i="3"/>
  <c r="AM99" i="3"/>
  <c r="AM91" i="3"/>
  <c r="AM83" i="3"/>
  <c r="AM75" i="3"/>
  <c r="AM67" i="3"/>
  <c r="AM59" i="3"/>
  <c r="AM51" i="3"/>
  <c r="AM43" i="3"/>
  <c r="AM35" i="3"/>
  <c r="AM178" i="3"/>
  <c r="AM170" i="3"/>
  <c r="AM162" i="3"/>
  <c r="AM154" i="3"/>
  <c r="AM146" i="3"/>
  <c r="AM138" i="3"/>
  <c r="AM130" i="3"/>
  <c r="AM122" i="3"/>
  <c r="AM114" i="3"/>
  <c r="AM106" i="3"/>
  <c r="AM98" i="3"/>
  <c r="AM90" i="3"/>
  <c r="AM82" i="3"/>
  <c r="AM74" i="3"/>
  <c r="AM66" i="3"/>
  <c r="AM58" i="3"/>
  <c r="AM50" i="3"/>
  <c r="AM42" i="3"/>
  <c r="AM177" i="3"/>
  <c r="AM169" i="3"/>
  <c r="AM161" i="3"/>
  <c r="AM153" i="3"/>
  <c r="AM145" i="3"/>
  <c r="AM137" i="3"/>
  <c r="AM129" i="3"/>
  <c r="AM121" i="3"/>
  <c r="AM113" i="3"/>
  <c r="AM105" i="3"/>
  <c r="AM97" i="3"/>
  <c r="AM89" i="3"/>
  <c r="AM81" i="3"/>
  <c r="AM73" i="3"/>
  <c r="AM65" i="3"/>
  <c r="AM57" i="3"/>
  <c r="AM49" i="3"/>
  <c r="AM41" i="3"/>
  <c r="AM175" i="3"/>
  <c r="AM167" i="3"/>
  <c r="AM159" i="3"/>
  <c r="AM151" i="3"/>
  <c r="AM143" i="3"/>
  <c r="AM135" i="3"/>
  <c r="AM127" i="3"/>
  <c r="AM119" i="3"/>
  <c r="AM111" i="3"/>
  <c r="AM103" i="3"/>
  <c r="AM95" i="3"/>
  <c r="AM87" i="3"/>
  <c r="AM79" i="3"/>
  <c r="AM71" i="3"/>
  <c r="AM63" i="3"/>
  <c r="AM55" i="3"/>
  <c r="AM47" i="3"/>
  <c r="AM39" i="3"/>
  <c r="AM31" i="3"/>
  <c r="AM174" i="3"/>
  <c r="AM158" i="3"/>
  <c r="AM142" i="3"/>
  <c r="AM126" i="3"/>
  <c r="AM110" i="3"/>
  <c r="AM94" i="3"/>
  <c r="AM78" i="3"/>
  <c r="AM62" i="3"/>
  <c r="AM46" i="3"/>
  <c r="AM33" i="3"/>
  <c r="AM24" i="3"/>
  <c r="AM16" i="3"/>
  <c r="AM173" i="3"/>
  <c r="AM157" i="3"/>
  <c r="AM141" i="3"/>
  <c r="AM125" i="3"/>
  <c r="AM109" i="3"/>
  <c r="AM93" i="3"/>
  <c r="AM77" i="3"/>
  <c r="AM61" i="3"/>
  <c r="AM45" i="3"/>
  <c r="AM32" i="3"/>
  <c r="AM23" i="3"/>
  <c r="AM15" i="3"/>
  <c r="AM172" i="3"/>
  <c r="AM156" i="3"/>
  <c r="AM140" i="3"/>
  <c r="AM124" i="3"/>
  <c r="AM108" i="3"/>
  <c r="AM92" i="3"/>
  <c r="AM76" i="3"/>
  <c r="AM60" i="3"/>
  <c r="AM44" i="3"/>
  <c r="AM30" i="3"/>
  <c r="AM22" i="3"/>
  <c r="AM14" i="3"/>
  <c r="AM168" i="3"/>
  <c r="AM152" i="3"/>
  <c r="AM136" i="3"/>
  <c r="AM120" i="3"/>
  <c r="AM104" i="3"/>
  <c r="AM88" i="3"/>
  <c r="AM72" i="3"/>
  <c r="AM56" i="3"/>
  <c r="AM40" i="3"/>
  <c r="AM29" i="3"/>
  <c r="AM21" i="3"/>
  <c r="AM166" i="3"/>
  <c r="AM150" i="3"/>
  <c r="AM134" i="3"/>
  <c r="AM118" i="3"/>
  <c r="AM102" i="3"/>
  <c r="AM86" i="3"/>
  <c r="AM70" i="3"/>
  <c r="AM54" i="3"/>
  <c r="AM38" i="3"/>
  <c r="AM28" i="3"/>
  <c r="AM20" i="3"/>
  <c r="AM164" i="3"/>
  <c r="AM148" i="3"/>
  <c r="AM132" i="3"/>
  <c r="AM116" i="3"/>
  <c r="AM100" i="3"/>
  <c r="AM84" i="3"/>
  <c r="AM68" i="3"/>
  <c r="AM52" i="3"/>
  <c r="AM36" i="3"/>
  <c r="AM26" i="3"/>
  <c r="AM18" i="3"/>
  <c r="AM117" i="3"/>
  <c r="AM53" i="3"/>
  <c r="AM176" i="3"/>
  <c r="AM112" i="3"/>
  <c r="AM48" i="3"/>
  <c r="AM165" i="3"/>
  <c r="AM101" i="3"/>
  <c r="AM37" i="3"/>
  <c r="AM160" i="3"/>
  <c r="AM96" i="3"/>
  <c r="AM34" i="3"/>
  <c r="AM133" i="3"/>
  <c r="AM69" i="3"/>
  <c r="AM19" i="3"/>
  <c r="AM80" i="3"/>
  <c r="AM64" i="3"/>
  <c r="AM27" i="3"/>
  <c r="AM25" i="3"/>
  <c r="AM149" i="3"/>
  <c r="AM17" i="3"/>
  <c r="AM128" i="3"/>
  <c r="AM144" i="3"/>
  <c r="AM13" i="3"/>
  <c r="AM85" i="3"/>
  <c r="AV178" i="3"/>
  <c r="AV170" i="3"/>
  <c r="AV162" i="3"/>
  <c r="AV154" i="3"/>
  <c r="AV146" i="3"/>
  <c r="AV138" i="3"/>
  <c r="AV130" i="3"/>
  <c r="AV122" i="3"/>
  <c r="AV114" i="3"/>
  <c r="AV106" i="3"/>
  <c r="AV98" i="3"/>
  <c r="AV90" i="3"/>
  <c r="AV82" i="3"/>
  <c r="AV74" i="3"/>
  <c r="AV66" i="3"/>
  <c r="AV58" i="3"/>
  <c r="AV50" i="3"/>
  <c r="AV177" i="3"/>
  <c r="AV169" i="3"/>
  <c r="AV161" i="3"/>
  <c r="AV153" i="3"/>
  <c r="AV145" i="3"/>
  <c r="AV137" i="3"/>
  <c r="AV129" i="3"/>
  <c r="AV121" i="3"/>
  <c r="AV113" i="3"/>
  <c r="AV105" i="3"/>
  <c r="AV97" i="3"/>
  <c r="AV89" i="3"/>
  <c r="AV81" i="3"/>
  <c r="AV73" i="3"/>
  <c r="AV65" i="3"/>
  <c r="AV57" i="3"/>
  <c r="AV49" i="3"/>
  <c r="AV174" i="3"/>
  <c r="AV166" i="3"/>
  <c r="AV158" i="3"/>
  <c r="AV150" i="3"/>
  <c r="AV142" i="3"/>
  <c r="AV134" i="3"/>
  <c r="AV126" i="3"/>
  <c r="AV118" i="3"/>
  <c r="AV110" i="3"/>
  <c r="AV102" i="3"/>
  <c r="AV94" i="3"/>
  <c r="AV86" i="3"/>
  <c r="AV78" i="3"/>
  <c r="AV70" i="3"/>
  <c r="AV62" i="3"/>
  <c r="AV54" i="3"/>
  <c r="AV46" i="3"/>
  <c r="AV165" i="3"/>
  <c r="AV152" i="3"/>
  <c r="AV140" i="3"/>
  <c r="AV127" i="3"/>
  <c r="AV115" i="3"/>
  <c r="AV101" i="3"/>
  <c r="AV88" i="3"/>
  <c r="AV76" i="3"/>
  <c r="AV63" i="3"/>
  <c r="AV51" i="3"/>
  <c r="AV40" i="3"/>
  <c r="AV32" i="3"/>
  <c r="AV24" i="3"/>
  <c r="AV16" i="3"/>
  <c r="AV176" i="3"/>
  <c r="AV164" i="3"/>
  <c r="AV151" i="3"/>
  <c r="AV139" i="3"/>
  <c r="AV125" i="3"/>
  <c r="AV112" i="3"/>
  <c r="AV100" i="3"/>
  <c r="AV87" i="3"/>
  <c r="AV75" i="3"/>
  <c r="AV61" i="3"/>
  <c r="AV48" i="3"/>
  <c r="AV39" i="3"/>
  <c r="AV31" i="3"/>
  <c r="AV23" i="3"/>
  <c r="AV15" i="3"/>
  <c r="AV175" i="3"/>
  <c r="AV163" i="3"/>
  <c r="AV149" i="3"/>
  <c r="AV136" i="3"/>
  <c r="AV124" i="3"/>
  <c r="AV111" i="3"/>
  <c r="AV99" i="3"/>
  <c r="AV85" i="3"/>
  <c r="AV72" i="3"/>
  <c r="AV60" i="3"/>
  <c r="AV47" i="3"/>
  <c r="AV38" i="3"/>
  <c r="AV30" i="3"/>
  <c r="AV22" i="3"/>
  <c r="AV14" i="3"/>
  <c r="AV172" i="3"/>
  <c r="AV159" i="3"/>
  <c r="AV147" i="3"/>
  <c r="AV133" i="3"/>
  <c r="AV120" i="3"/>
  <c r="AV108" i="3"/>
  <c r="AV95" i="3"/>
  <c r="AV83" i="3"/>
  <c r="AV69" i="3"/>
  <c r="AV56" i="3"/>
  <c r="AV44" i="3"/>
  <c r="AV36" i="3"/>
  <c r="AV28" i="3"/>
  <c r="AV20" i="3"/>
  <c r="AV171" i="3"/>
  <c r="AV157" i="3"/>
  <c r="AV144" i="3"/>
  <c r="AV132" i="3"/>
  <c r="AV119" i="3"/>
  <c r="AV107" i="3"/>
  <c r="AV93" i="3"/>
  <c r="AV80" i="3"/>
  <c r="AV68" i="3"/>
  <c r="AV55" i="3"/>
  <c r="AV43" i="3"/>
  <c r="AV35" i="3"/>
  <c r="AV27" i="3"/>
  <c r="AV19" i="3"/>
  <c r="AV173" i="3"/>
  <c r="AV141" i="3"/>
  <c r="AV104" i="3"/>
  <c r="AV71" i="3"/>
  <c r="AV41" i="3"/>
  <c r="AV18" i="3"/>
  <c r="AV168" i="3"/>
  <c r="AV135" i="3"/>
  <c r="AV103" i="3"/>
  <c r="AV67" i="3"/>
  <c r="AV37" i="3"/>
  <c r="AV17" i="3"/>
  <c r="AV167" i="3"/>
  <c r="AV131" i="3"/>
  <c r="AV96" i="3"/>
  <c r="AV64" i="3"/>
  <c r="AV34" i="3"/>
  <c r="AV160" i="3"/>
  <c r="AV128" i="3"/>
  <c r="AV92" i="3"/>
  <c r="AV59" i="3"/>
  <c r="AV33" i="3"/>
  <c r="AV156" i="3"/>
  <c r="AV123" i="3"/>
  <c r="AV91" i="3"/>
  <c r="AV53" i="3"/>
  <c r="AV29" i="3"/>
  <c r="AV155" i="3"/>
  <c r="AV77" i="3"/>
  <c r="AV148" i="3"/>
  <c r="AV52" i="3"/>
  <c r="AV143" i="3"/>
  <c r="AV45" i="3"/>
  <c r="AV117" i="3"/>
  <c r="AV42" i="3"/>
  <c r="AV116" i="3"/>
  <c r="AV26" i="3"/>
  <c r="AV84" i="3"/>
  <c r="AV21" i="3"/>
  <c r="AV109" i="3"/>
  <c r="AV79" i="3"/>
  <c r="AV25" i="3"/>
  <c r="AV13" i="3"/>
  <c r="AD173" i="3"/>
  <c r="AD165" i="3"/>
  <c r="AD157" i="3"/>
  <c r="AD149" i="3"/>
  <c r="AD141" i="3"/>
  <c r="AD133" i="3"/>
  <c r="AD125" i="3"/>
  <c r="AD117" i="3"/>
  <c r="AD109" i="3"/>
  <c r="AD101" i="3"/>
  <c r="AD93" i="3"/>
  <c r="AD85" i="3"/>
  <c r="AD77" i="3"/>
  <c r="AD69" i="3"/>
  <c r="AD61" i="3"/>
  <c r="AD53" i="3"/>
  <c r="AD45" i="3"/>
  <c r="AD37" i="3"/>
  <c r="AD29" i="3"/>
  <c r="AD21" i="3"/>
  <c r="AD172" i="3"/>
  <c r="AD164" i="3"/>
  <c r="AD156" i="3"/>
  <c r="AD148" i="3"/>
  <c r="AD140" i="3"/>
  <c r="AD132" i="3"/>
  <c r="AD124" i="3"/>
  <c r="AD116" i="3"/>
  <c r="AD108" i="3"/>
  <c r="AD100" i="3"/>
  <c r="AD92" i="3"/>
  <c r="AD84" i="3"/>
  <c r="AD76" i="3"/>
  <c r="AD68" i="3"/>
  <c r="AD60" i="3"/>
  <c r="AD52" i="3"/>
  <c r="AD44" i="3"/>
  <c r="AD36" i="3"/>
  <c r="AD28" i="3"/>
  <c r="AD20" i="3"/>
  <c r="AD171" i="3"/>
  <c r="AD163" i="3"/>
  <c r="AD155" i="3"/>
  <c r="AD147" i="3"/>
  <c r="AD139" i="3"/>
  <c r="AD131" i="3"/>
  <c r="AD123" i="3"/>
  <c r="AD115" i="3"/>
  <c r="AD107" i="3"/>
  <c r="AD99" i="3"/>
  <c r="AD91" i="3"/>
  <c r="AD83" i="3"/>
  <c r="AD75" i="3"/>
  <c r="AD67" i="3"/>
  <c r="AD59" i="3"/>
  <c r="AD51" i="3"/>
  <c r="AD43" i="3"/>
  <c r="AD35" i="3"/>
  <c r="AD27" i="3"/>
  <c r="AD19" i="3"/>
  <c r="AD178" i="3"/>
  <c r="AD170" i="3"/>
  <c r="AD162" i="3"/>
  <c r="AD154" i="3"/>
  <c r="AD146" i="3"/>
  <c r="AD138" i="3"/>
  <c r="AD130" i="3"/>
  <c r="AD122" i="3"/>
  <c r="AD114" i="3"/>
  <c r="AD106" i="3"/>
  <c r="AD98" i="3"/>
  <c r="AD90" i="3"/>
  <c r="AD82" i="3"/>
  <c r="AD74" i="3"/>
  <c r="AD66" i="3"/>
  <c r="AD58" i="3"/>
  <c r="AD50" i="3"/>
  <c r="AD42" i="3"/>
  <c r="AD34" i="3"/>
  <c r="AD26" i="3"/>
  <c r="AD18" i="3"/>
  <c r="AD175" i="3"/>
  <c r="AD167" i="3"/>
  <c r="AD159" i="3"/>
  <c r="AD151" i="3"/>
  <c r="AD143" i="3"/>
  <c r="AD135" i="3"/>
  <c r="AD127" i="3"/>
  <c r="AD119" i="3"/>
  <c r="AD111" i="3"/>
  <c r="AD103" i="3"/>
  <c r="AD95" i="3"/>
  <c r="AD87" i="3"/>
  <c r="AD79" i="3"/>
  <c r="AD71" i="3"/>
  <c r="AD63" i="3"/>
  <c r="AD55" i="3"/>
  <c r="AD47" i="3"/>
  <c r="AD39" i="3"/>
  <c r="AD31" i="3"/>
  <c r="AD23" i="3"/>
  <c r="AD15" i="3"/>
  <c r="AD174" i="3"/>
  <c r="AD152" i="3"/>
  <c r="AD129" i="3"/>
  <c r="AD110" i="3"/>
  <c r="AD88" i="3"/>
  <c r="AD65" i="3"/>
  <c r="AD46" i="3"/>
  <c r="AD24" i="3"/>
  <c r="AD169" i="3"/>
  <c r="AD150" i="3"/>
  <c r="AD128" i="3"/>
  <c r="AD105" i="3"/>
  <c r="AD86" i="3"/>
  <c r="AD64" i="3"/>
  <c r="AD41" i="3"/>
  <c r="AD22" i="3"/>
  <c r="AD168" i="3"/>
  <c r="AD145" i="3"/>
  <c r="AD126" i="3"/>
  <c r="AD104" i="3"/>
  <c r="AD81" i="3"/>
  <c r="AD62" i="3"/>
  <c r="AD40" i="3"/>
  <c r="AD17" i="3"/>
  <c r="AD166" i="3"/>
  <c r="AD144" i="3"/>
  <c r="AD121" i="3"/>
  <c r="AD102" i="3"/>
  <c r="AD80" i="3"/>
  <c r="AD57" i="3"/>
  <c r="AD38" i="3"/>
  <c r="AD16" i="3"/>
  <c r="AD161" i="3"/>
  <c r="AD142" i="3"/>
  <c r="AD120" i="3"/>
  <c r="AD97" i="3"/>
  <c r="AD78" i="3"/>
  <c r="AD56" i="3"/>
  <c r="AD33" i="3"/>
  <c r="AD14" i="3"/>
  <c r="AD177" i="3"/>
  <c r="AD158" i="3"/>
  <c r="AD136" i="3"/>
  <c r="AD113" i="3"/>
  <c r="AD94" i="3"/>
  <c r="AD72" i="3"/>
  <c r="AD49" i="3"/>
  <c r="AD30" i="3"/>
  <c r="AD137" i="3"/>
  <c r="AD54" i="3"/>
  <c r="AD134" i="3"/>
  <c r="AD48" i="3"/>
  <c r="AD118" i="3"/>
  <c r="AD32" i="3"/>
  <c r="AD112" i="3"/>
  <c r="AD25" i="3"/>
  <c r="AD96" i="3"/>
  <c r="AD160" i="3"/>
  <c r="AD73" i="3"/>
  <c r="AD176" i="3"/>
  <c r="AD153" i="3"/>
  <c r="AD89" i="3"/>
  <c r="AD70" i="3"/>
  <c r="AD13" i="3"/>
  <c r="M164" i="3"/>
  <c r="M91" i="3"/>
  <c r="M72" i="3"/>
  <c r="M134" i="3"/>
  <c r="M70" i="3"/>
  <c r="M53" i="3"/>
  <c r="M92" i="3"/>
  <c r="M28" i="3"/>
  <c r="M147" i="3"/>
  <c r="M128" i="3"/>
  <c r="M126" i="3"/>
  <c r="M62" i="3"/>
  <c r="M109" i="3"/>
  <c r="M146" i="3"/>
  <c r="M143" i="3"/>
  <c r="K178" i="3"/>
  <c r="K163" i="3"/>
  <c r="K131" i="3"/>
  <c r="K99" i="3"/>
  <c r="K67" i="3"/>
  <c r="K35" i="3"/>
  <c r="K155" i="3"/>
  <c r="K123" i="3"/>
  <c r="K91" i="3"/>
  <c r="K59" i="3"/>
  <c r="K27" i="3"/>
  <c r="K149" i="3"/>
  <c r="K117" i="3"/>
  <c r="K85" i="3"/>
  <c r="K53" i="3"/>
  <c r="K21" i="3"/>
  <c r="K173" i="3"/>
  <c r="K141" i="3"/>
  <c r="K109" i="3"/>
  <c r="K77" i="3"/>
  <c r="K45" i="3"/>
  <c r="K171" i="3"/>
  <c r="K139" i="3"/>
  <c r="K107" i="3"/>
  <c r="K75" i="3"/>
  <c r="K43" i="3"/>
  <c r="K147" i="3"/>
  <c r="K61" i="3"/>
  <c r="K133" i="3"/>
  <c r="K51" i="3"/>
  <c r="K165" i="3"/>
  <c r="K125" i="3"/>
  <c r="K37" i="3"/>
  <c r="K69" i="3"/>
  <c r="K115" i="3"/>
  <c r="K29" i="3"/>
  <c r="K157" i="3"/>
  <c r="K101" i="3"/>
  <c r="K19" i="3"/>
  <c r="K83" i="3"/>
  <c r="K93" i="3"/>
  <c r="J175" i="3"/>
  <c r="J167" i="3"/>
  <c r="J159" i="3"/>
  <c r="J151" i="3"/>
  <c r="J143" i="3"/>
  <c r="J135" i="3"/>
  <c r="J127" i="3"/>
  <c r="J119" i="3"/>
  <c r="J111" i="3"/>
  <c r="J103" i="3"/>
  <c r="J95" i="3"/>
  <c r="J87" i="3"/>
  <c r="J79" i="3"/>
  <c r="J71" i="3"/>
  <c r="J63" i="3"/>
  <c r="J55" i="3"/>
  <c r="J47" i="3"/>
  <c r="J39" i="3"/>
  <c r="J31" i="3"/>
  <c r="J23" i="3"/>
  <c r="J15" i="3"/>
  <c r="J173" i="3"/>
  <c r="J165" i="3"/>
  <c r="J157" i="3"/>
  <c r="J149" i="3"/>
  <c r="J141" i="3"/>
  <c r="J133" i="3"/>
  <c r="J125" i="3"/>
  <c r="J117" i="3"/>
  <c r="J109" i="3"/>
  <c r="J101" i="3"/>
  <c r="J93" i="3"/>
  <c r="J85" i="3"/>
  <c r="J77" i="3"/>
  <c r="J69" i="3"/>
  <c r="J61" i="3"/>
  <c r="J53" i="3"/>
  <c r="J45" i="3"/>
  <c r="J37" i="3"/>
  <c r="J29" i="3"/>
  <c r="J21" i="3"/>
  <c r="J172" i="3"/>
  <c r="J164" i="3"/>
  <c r="J156" i="3"/>
  <c r="J148" i="3"/>
  <c r="J140" i="3"/>
  <c r="J132" i="3"/>
  <c r="J124" i="3"/>
  <c r="J116" i="3"/>
  <c r="J108" i="3"/>
  <c r="J100" i="3"/>
  <c r="J92" i="3"/>
  <c r="J84" i="3"/>
  <c r="J76" i="3"/>
  <c r="J68" i="3"/>
  <c r="J60" i="3"/>
  <c r="J52" i="3"/>
  <c r="J44" i="3"/>
  <c r="J36" i="3"/>
  <c r="J28" i="3"/>
  <c r="J20" i="3"/>
  <c r="J178" i="3"/>
  <c r="J170" i="3"/>
  <c r="J162" i="3"/>
  <c r="J154" i="3"/>
  <c r="J146" i="3"/>
  <c r="J138" i="3"/>
  <c r="J130" i="3"/>
  <c r="J122" i="3"/>
  <c r="J114" i="3"/>
  <c r="J106" i="3"/>
  <c r="J98" i="3"/>
  <c r="J90" i="3"/>
  <c r="J82" i="3"/>
  <c r="J74" i="3"/>
  <c r="J66" i="3"/>
  <c r="J58" i="3"/>
  <c r="J50" i="3"/>
  <c r="J42" i="3"/>
  <c r="J34" i="3"/>
  <c r="J26" i="3"/>
  <c r="J18" i="3"/>
  <c r="J177" i="3"/>
  <c r="J169" i="3"/>
  <c r="J161" i="3"/>
  <c r="J153" i="3"/>
  <c r="J145" i="3"/>
  <c r="J137" i="3"/>
  <c r="J129" i="3"/>
  <c r="J121" i="3"/>
  <c r="J113" i="3"/>
  <c r="J105" i="3"/>
  <c r="J97" i="3"/>
  <c r="J89" i="3"/>
  <c r="J81" i="3"/>
  <c r="J73" i="3"/>
  <c r="J65" i="3"/>
  <c r="J57" i="3"/>
  <c r="J49" i="3"/>
  <c r="J41" i="3"/>
  <c r="J33" i="3"/>
  <c r="J25" i="3"/>
  <c r="J17" i="3"/>
  <c r="J168" i="3"/>
  <c r="J147" i="3"/>
  <c r="J126" i="3"/>
  <c r="J104" i="3"/>
  <c r="J83" i="3"/>
  <c r="J62" i="3"/>
  <c r="J40" i="3"/>
  <c r="J19" i="3"/>
  <c r="J152" i="3"/>
  <c r="J171" i="3"/>
  <c r="J107" i="3"/>
  <c r="J166" i="3"/>
  <c r="J144" i="3"/>
  <c r="J123" i="3"/>
  <c r="J102" i="3"/>
  <c r="J80" i="3"/>
  <c r="J59" i="3"/>
  <c r="J38" i="3"/>
  <c r="J16" i="3"/>
  <c r="J174" i="3"/>
  <c r="J88" i="3"/>
  <c r="J150" i="3"/>
  <c r="J43" i="3"/>
  <c r="J13" i="3"/>
  <c r="J163" i="3"/>
  <c r="J142" i="3"/>
  <c r="J120" i="3"/>
  <c r="J99" i="3"/>
  <c r="J78" i="3"/>
  <c r="J56" i="3"/>
  <c r="J35" i="3"/>
  <c r="J14" i="3"/>
  <c r="J131" i="3"/>
  <c r="J64" i="3"/>
  <c r="J160" i="3"/>
  <c r="J139" i="3"/>
  <c r="J118" i="3"/>
  <c r="J96" i="3"/>
  <c r="J75" i="3"/>
  <c r="J54" i="3"/>
  <c r="J32" i="3"/>
  <c r="J110" i="3"/>
  <c r="J86" i="3"/>
  <c r="J158" i="3"/>
  <c r="J136" i="3"/>
  <c r="J115" i="3"/>
  <c r="J94" i="3"/>
  <c r="J72" i="3"/>
  <c r="J51" i="3"/>
  <c r="J30" i="3"/>
  <c r="J67" i="3"/>
  <c r="J24" i="3"/>
  <c r="J128" i="3"/>
  <c r="J176" i="3"/>
  <c r="J155" i="3"/>
  <c r="J134" i="3"/>
  <c r="J112" i="3"/>
  <c r="J91" i="3"/>
  <c r="J70" i="3"/>
  <c r="J48" i="3"/>
  <c r="J27" i="3"/>
  <c r="J46" i="3"/>
  <c r="J22" i="3"/>
  <c r="M84" i="3"/>
  <c r="AS150" i="3"/>
  <c r="AS134" i="3"/>
  <c r="M121" i="3"/>
  <c r="M56" i="3"/>
  <c r="AS60" i="3"/>
  <c r="AS93" i="3"/>
  <c r="AS119" i="3"/>
  <c r="AS144" i="3"/>
  <c r="AS169" i="3"/>
  <c r="AS27" i="3"/>
  <c r="M165" i="3"/>
  <c r="K146" i="3"/>
  <c r="K18" i="3"/>
  <c r="K145" i="3"/>
  <c r="K80" i="3"/>
  <c r="M106" i="3"/>
  <c r="K86" i="3"/>
  <c r="K124" i="3"/>
  <c r="E130" i="3"/>
  <c r="S175" i="3"/>
  <c r="S36" i="3"/>
  <c r="M18" i="3"/>
  <c r="K121" i="3"/>
  <c r="K57" i="3"/>
  <c r="S174" i="3"/>
  <c r="S99" i="3"/>
  <c r="S35" i="3"/>
  <c r="M15" i="3"/>
  <c r="K120" i="3"/>
  <c r="K56" i="3"/>
  <c r="E125" i="3"/>
  <c r="S172" i="3"/>
  <c r="S98" i="3"/>
  <c r="S34" i="3"/>
  <c r="K175" i="3"/>
  <c r="K111" i="3"/>
  <c r="K47" i="3"/>
  <c r="E101" i="3"/>
  <c r="S113" i="3"/>
  <c r="M71" i="3"/>
  <c r="K126" i="3"/>
  <c r="K62" i="3"/>
  <c r="E141" i="3"/>
  <c r="AS54" i="3"/>
  <c r="S158" i="3"/>
  <c r="S87" i="3"/>
  <c r="S23" i="3"/>
  <c r="K164" i="3"/>
  <c r="K100" i="3"/>
  <c r="K36" i="3"/>
  <c r="E71" i="3"/>
  <c r="AA111" i="3"/>
  <c r="AA175" i="3"/>
  <c r="S149" i="3"/>
  <c r="C51" i="3"/>
  <c r="C19" i="3"/>
  <c r="C118" i="3"/>
  <c r="C69" i="3"/>
  <c r="C37" i="3"/>
  <c r="C166" i="3"/>
  <c r="C91" i="3"/>
  <c r="C39" i="3"/>
  <c r="C174" i="3"/>
  <c r="G174" i="3"/>
  <c r="G166" i="3"/>
  <c r="G158" i="3"/>
  <c r="G150" i="3"/>
  <c r="G142" i="3"/>
  <c r="G134" i="3"/>
  <c r="G126" i="3"/>
  <c r="G118" i="3"/>
  <c r="G110" i="3"/>
  <c r="G102" i="3"/>
  <c r="G94" i="3"/>
  <c r="G86" i="3"/>
  <c r="G78" i="3"/>
  <c r="G70" i="3"/>
  <c r="G62" i="3"/>
  <c r="G54" i="3"/>
  <c r="G46" i="3"/>
  <c r="G38" i="3"/>
  <c r="G30" i="3"/>
  <c r="G22" i="3"/>
  <c r="G14" i="3"/>
  <c r="G13" i="3"/>
  <c r="G172" i="3"/>
  <c r="G164" i="3"/>
  <c r="G156" i="3"/>
  <c r="G148" i="3"/>
  <c r="G140" i="3"/>
  <c r="G132" i="3"/>
  <c r="G124" i="3"/>
  <c r="G116" i="3"/>
  <c r="G108" i="3"/>
  <c r="G100" i="3"/>
  <c r="G92" i="3"/>
  <c r="G84" i="3"/>
  <c r="G76" i="3"/>
  <c r="G68" i="3"/>
  <c r="G60" i="3"/>
  <c r="G52" i="3"/>
  <c r="G44" i="3"/>
  <c r="G36" i="3"/>
  <c r="G28" i="3"/>
  <c r="G20" i="3"/>
  <c r="G171" i="3"/>
  <c r="G163" i="3"/>
  <c r="G155" i="3"/>
  <c r="G147" i="3"/>
  <c r="G139" i="3"/>
  <c r="G131" i="3"/>
  <c r="G123" i="3"/>
  <c r="G115" i="3"/>
  <c r="G107" i="3"/>
  <c r="G99" i="3"/>
  <c r="G91" i="3"/>
  <c r="G83" i="3"/>
  <c r="G75" i="3"/>
  <c r="G67" i="3"/>
  <c r="G59" i="3"/>
  <c r="G51" i="3"/>
  <c r="G43" i="3"/>
  <c r="G35" i="3"/>
  <c r="G27" i="3"/>
  <c r="G19" i="3"/>
  <c r="G176" i="3"/>
  <c r="G168" i="3"/>
  <c r="G160" i="3"/>
  <c r="G152" i="3"/>
  <c r="G144" i="3"/>
  <c r="G136" i="3"/>
  <c r="G128" i="3"/>
  <c r="G120" i="3"/>
  <c r="G112" i="3"/>
  <c r="G104" i="3"/>
  <c r="G96" i="3"/>
  <c r="G88" i="3"/>
  <c r="G80" i="3"/>
  <c r="G72" i="3"/>
  <c r="G64" i="3"/>
  <c r="G56" i="3"/>
  <c r="G48" i="3"/>
  <c r="G40" i="3"/>
  <c r="G32" i="3"/>
  <c r="G24" i="3"/>
  <c r="G16" i="3"/>
  <c r="G175" i="3"/>
  <c r="G159" i="3"/>
  <c r="G143" i="3"/>
  <c r="G127" i="3"/>
  <c r="G111" i="3"/>
  <c r="G95" i="3"/>
  <c r="G79" i="3"/>
  <c r="G63" i="3"/>
  <c r="G47" i="3"/>
  <c r="G31" i="3"/>
  <c r="G15" i="3"/>
  <c r="G162" i="3"/>
  <c r="G82" i="3"/>
  <c r="G18" i="3"/>
  <c r="G161" i="3"/>
  <c r="G49" i="3"/>
  <c r="G173" i="3"/>
  <c r="G157" i="3"/>
  <c r="G141" i="3"/>
  <c r="G125" i="3"/>
  <c r="G109" i="3"/>
  <c r="G93" i="3"/>
  <c r="G77" i="3"/>
  <c r="G61" i="3"/>
  <c r="G45" i="3"/>
  <c r="G29" i="3"/>
  <c r="G178" i="3"/>
  <c r="G98" i="3"/>
  <c r="G177" i="3"/>
  <c r="G113" i="3"/>
  <c r="G81" i="3"/>
  <c r="G170" i="3"/>
  <c r="G154" i="3"/>
  <c r="G138" i="3"/>
  <c r="G122" i="3"/>
  <c r="G106" i="3"/>
  <c r="G90" i="3"/>
  <c r="G74" i="3"/>
  <c r="G58" i="3"/>
  <c r="G42" i="3"/>
  <c r="G26" i="3"/>
  <c r="G146" i="3"/>
  <c r="G33" i="3"/>
  <c r="G169" i="3"/>
  <c r="G153" i="3"/>
  <c r="G137" i="3"/>
  <c r="G121" i="3"/>
  <c r="G105" i="3"/>
  <c r="G89" i="3"/>
  <c r="G73" i="3"/>
  <c r="G57" i="3"/>
  <c r="G41" i="3"/>
  <c r="G25" i="3"/>
  <c r="G130" i="3"/>
  <c r="G66" i="3"/>
  <c r="G34" i="3"/>
  <c r="G145" i="3"/>
  <c r="G65" i="3"/>
  <c r="G167" i="3"/>
  <c r="G151" i="3"/>
  <c r="G135" i="3"/>
  <c r="G119" i="3"/>
  <c r="G103" i="3"/>
  <c r="G87" i="3"/>
  <c r="G71" i="3"/>
  <c r="G55" i="3"/>
  <c r="G39" i="3"/>
  <c r="G23" i="3"/>
  <c r="G114" i="3"/>
  <c r="G129" i="3"/>
  <c r="G97" i="3"/>
  <c r="G17" i="3"/>
  <c r="G165" i="3"/>
  <c r="G149" i="3"/>
  <c r="G133" i="3"/>
  <c r="G117" i="3"/>
  <c r="G101" i="3"/>
  <c r="G85" i="3"/>
  <c r="G69" i="3"/>
  <c r="G53" i="3"/>
  <c r="G37" i="3"/>
  <c r="G21" i="3"/>
  <c r="G50" i="3"/>
  <c r="AQ65" i="3"/>
  <c r="AQ57" i="3"/>
  <c r="AQ33" i="3"/>
  <c r="AQ25" i="3"/>
  <c r="AQ161" i="3"/>
  <c r="AQ153" i="3"/>
  <c r="AQ129" i="3"/>
  <c r="AQ97" i="3"/>
  <c r="AQ89" i="3"/>
  <c r="AQ121" i="3"/>
  <c r="AQ13" i="3"/>
  <c r="N178" i="3"/>
  <c r="N170" i="3"/>
  <c r="N162" i="3"/>
  <c r="N154" i="3"/>
  <c r="N146" i="3"/>
  <c r="N138" i="3"/>
  <c r="N130" i="3"/>
  <c r="N122" i="3"/>
  <c r="N114" i="3"/>
  <c r="N106" i="3"/>
  <c r="N98" i="3"/>
  <c r="N90" i="3"/>
  <c r="N82" i="3"/>
  <c r="N74" i="3"/>
  <c r="N66" i="3"/>
  <c r="N58" i="3"/>
  <c r="N50" i="3"/>
  <c r="N42" i="3"/>
  <c r="N34" i="3"/>
  <c r="N26" i="3"/>
  <c r="N18" i="3"/>
  <c r="N177" i="3"/>
  <c r="N169" i="3"/>
  <c r="N161" i="3"/>
  <c r="N153" i="3"/>
  <c r="N145" i="3"/>
  <c r="N137" i="3"/>
  <c r="N129" i="3"/>
  <c r="N121" i="3"/>
  <c r="N113" i="3"/>
  <c r="N105" i="3"/>
  <c r="N97" i="3"/>
  <c r="N89" i="3"/>
  <c r="N81" i="3"/>
  <c r="N73" i="3"/>
  <c r="N65" i="3"/>
  <c r="N57" i="3"/>
  <c r="N49" i="3"/>
  <c r="N41" i="3"/>
  <c r="N33" i="3"/>
  <c r="N25" i="3"/>
  <c r="N17" i="3"/>
  <c r="N176" i="3"/>
  <c r="N168" i="3"/>
  <c r="N160" i="3"/>
  <c r="N152" i="3"/>
  <c r="N144" i="3"/>
  <c r="N136" i="3"/>
  <c r="N128" i="3"/>
  <c r="N120" i="3"/>
  <c r="N112" i="3"/>
  <c r="N104" i="3"/>
  <c r="N96" i="3"/>
  <c r="N88" i="3"/>
  <c r="N80" i="3"/>
  <c r="N72" i="3"/>
  <c r="N64" i="3"/>
  <c r="N56" i="3"/>
  <c r="N48" i="3"/>
  <c r="N40" i="3"/>
  <c r="N32" i="3"/>
  <c r="N24" i="3"/>
  <c r="N16" i="3"/>
  <c r="N175" i="3"/>
  <c r="N167" i="3"/>
  <c r="N159" i="3"/>
  <c r="N151" i="3"/>
  <c r="N143" i="3"/>
  <c r="N135" i="3"/>
  <c r="N127" i="3"/>
  <c r="N119" i="3"/>
  <c r="N111" i="3"/>
  <c r="N103" i="3"/>
  <c r="N95" i="3"/>
  <c r="N87" i="3"/>
  <c r="N79" i="3"/>
  <c r="N71" i="3"/>
  <c r="N63" i="3"/>
  <c r="N55" i="3"/>
  <c r="N47" i="3"/>
  <c r="N39" i="3"/>
  <c r="N31" i="3"/>
  <c r="N23" i="3"/>
  <c r="N15" i="3"/>
  <c r="N174" i="3"/>
  <c r="N166" i="3"/>
  <c r="N172" i="3"/>
  <c r="N164" i="3"/>
  <c r="N156" i="3"/>
  <c r="N148" i="3"/>
  <c r="N140" i="3"/>
  <c r="N132" i="3"/>
  <c r="N158" i="3"/>
  <c r="N139" i="3"/>
  <c r="N118" i="3"/>
  <c r="N102" i="3"/>
  <c r="N86" i="3"/>
  <c r="N70" i="3"/>
  <c r="N54" i="3"/>
  <c r="N38" i="3"/>
  <c r="N22" i="3"/>
  <c r="N155" i="3"/>
  <c r="N133" i="3"/>
  <c r="N116" i="3"/>
  <c r="N100" i="3"/>
  <c r="N84" i="3"/>
  <c r="N68" i="3"/>
  <c r="N52" i="3"/>
  <c r="N36" i="3"/>
  <c r="N20" i="3"/>
  <c r="N150" i="3"/>
  <c r="N131" i="3"/>
  <c r="N115" i="3"/>
  <c r="N99" i="3"/>
  <c r="N83" i="3"/>
  <c r="N67" i="3"/>
  <c r="N51" i="3"/>
  <c r="N35" i="3"/>
  <c r="N19" i="3"/>
  <c r="N13" i="3"/>
  <c r="N171" i="3"/>
  <c r="N147" i="3"/>
  <c r="N125" i="3"/>
  <c r="N109" i="3"/>
  <c r="N93" i="3"/>
  <c r="N77" i="3"/>
  <c r="N61" i="3"/>
  <c r="N45" i="3"/>
  <c r="N29" i="3"/>
  <c r="N165" i="3"/>
  <c r="N142" i="3"/>
  <c r="N124" i="3"/>
  <c r="N108" i="3"/>
  <c r="N92" i="3"/>
  <c r="N76" i="3"/>
  <c r="N60" i="3"/>
  <c r="N44" i="3"/>
  <c r="N28" i="3"/>
  <c r="N126" i="3"/>
  <c r="N85" i="3"/>
  <c r="N43" i="3"/>
  <c r="N91" i="3"/>
  <c r="N123" i="3"/>
  <c r="N78" i="3"/>
  <c r="N37" i="3"/>
  <c r="N94" i="3"/>
  <c r="N134" i="3"/>
  <c r="N173" i="3"/>
  <c r="N117" i="3"/>
  <c r="N75" i="3"/>
  <c r="N30" i="3"/>
  <c r="N163" i="3"/>
  <c r="N110" i="3"/>
  <c r="N69" i="3"/>
  <c r="N27" i="3"/>
  <c r="N141" i="3"/>
  <c r="N157" i="3"/>
  <c r="N107" i="3"/>
  <c r="N62" i="3"/>
  <c r="N21" i="3"/>
  <c r="N53" i="3"/>
  <c r="N46" i="3"/>
  <c r="N149" i="3"/>
  <c r="N101" i="3"/>
  <c r="N59" i="3"/>
  <c r="N14" i="3"/>
  <c r="AG174" i="3"/>
  <c r="AG166" i="3"/>
  <c r="AG158" i="3"/>
  <c r="AG150" i="3"/>
  <c r="AG142" i="3"/>
  <c r="AG134" i="3"/>
  <c r="AG126" i="3"/>
  <c r="AG118" i="3"/>
  <c r="AG110" i="3"/>
  <c r="AG102" i="3"/>
  <c r="AG94" i="3"/>
  <c r="AG86" i="3"/>
  <c r="AG78" i="3"/>
  <c r="AG70" i="3"/>
  <c r="AG62" i="3"/>
  <c r="AG54" i="3"/>
  <c r="AG46" i="3"/>
  <c r="AG38" i="3"/>
  <c r="AG30" i="3"/>
  <c r="AG22" i="3"/>
  <c r="AG14" i="3"/>
  <c r="AG173" i="3"/>
  <c r="AG165" i="3"/>
  <c r="AG157" i="3"/>
  <c r="AG149" i="3"/>
  <c r="AG141" i="3"/>
  <c r="AG133" i="3"/>
  <c r="AG125" i="3"/>
  <c r="AG117" i="3"/>
  <c r="AG109" i="3"/>
  <c r="AG101" i="3"/>
  <c r="AG93" i="3"/>
  <c r="AG85" i="3"/>
  <c r="AG77" i="3"/>
  <c r="AG69" i="3"/>
  <c r="AG61" i="3"/>
  <c r="AG53" i="3"/>
  <c r="AG45" i="3"/>
  <c r="AG37" i="3"/>
  <c r="AG29" i="3"/>
  <c r="AG21" i="3"/>
  <c r="AG172" i="3"/>
  <c r="AG164" i="3"/>
  <c r="AG156" i="3"/>
  <c r="AG148" i="3"/>
  <c r="AG140" i="3"/>
  <c r="AG132" i="3"/>
  <c r="AG124" i="3"/>
  <c r="AG116" i="3"/>
  <c r="AG108" i="3"/>
  <c r="AG100" i="3"/>
  <c r="AG92" i="3"/>
  <c r="AG84" i="3"/>
  <c r="AG76" i="3"/>
  <c r="AG68" i="3"/>
  <c r="AG60" i="3"/>
  <c r="AG52" i="3"/>
  <c r="AG44" i="3"/>
  <c r="AG36" i="3"/>
  <c r="AG28" i="3"/>
  <c r="AG20" i="3"/>
  <c r="AG171" i="3"/>
  <c r="AG163" i="3"/>
  <c r="AG155" i="3"/>
  <c r="AG147" i="3"/>
  <c r="AG139" i="3"/>
  <c r="AG131" i="3"/>
  <c r="AG123" i="3"/>
  <c r="AG115" i="3"/>
  <c r="AG107" i="3"/>
  <c r="AG99" i="3"/>
  <c r="AG91" i="3"/>
  <c r="AG83" i="3"/>
  <c r="AG75" i="3"/>
  <c r="AG67" i="3"/>
  <c r="AG59" i="3"/>
  <c r="AG51" i="3"/>
  <c r="AG43" i="3"/>
  <c r="AG35" i="3"/>
  <c r="AG27" i="3"/>
  <c r="AG19" i="3"/>
  <c r="AG176" i="3"/>
  <c r="AG168" i="3"/>
  <c r="AG160" i="3"/>
  <c r="AG152" i="3"/>
  <c r="AG144" i="3"/>
  <c r="AG136" i="3"/>
  <c r="AG128" i="3"/>
  <c r="AG120" i="3"/>
  <c r="AG112" i="3"/>
  <c r="AG104" i="3"/>
  <c r="AG96" i="3"/>
  <c r="AG88" i="3"/>
  <c r="AG80" i="3"/>
  <c r="AG72" i="3"/>
  <c r="AG64" i="3"/>
  <c r="AG56" i="3"/>
  <c r="AG48" i="3"/>
  <c r="AG40" i="3"/>
  <c r="AG32" i="3"/>
  <c r="AG24" i="3"/>
  <c r="AG16" i="3"/>
  <c r="AG169" i="3"/>
  <c r="AG146" i="3"/>
  <c r="AG127" i="3"/>
  <c r="AG105" i="3"/>
  <c r="AG82" i="3"/>
  <c r="AG63" i="3"/>
  <c r="AG41" i="3"/>
  <c r="AG18" i="3"/>
  <c r="AG167" i="3"/>
  <c r="AG145" i="3"/>
  <c r="AG122" i="3"/>
  <c r="AG103" i="3"/>
  <c r="AG81" i="3"/>
  <c r="AG58" i="3"/>
  <c r="AG39" i="3"/>
  <c r="AG17" i="3"/>
  <c r="AG162" i="3"/>
  <c r="AG143" i="3"/>
  <c r="AG121" i="3"/>
  <c r="AG98" i="3"/>
  <c r="AG79" i="3"/>
  <c r="AG57" i="3"/>
  <c r="AG34" i="3"/>
  <c r="AG15" i="3"/>
  <c r="AG161" i="3"/>
  <c r="AG138" i="3"/>
  <c r="AG119" i="3"/>
  <c r="AG97" i="3"/>
  <c r="AG74" i="3"/>
  <c r="AG55" i="3"/>
  <c r="AG33" i="3"/>
  <c r="AG178" i="3"/>
  <c r="AG159" i="3"/>
  <c r="AG137" i="3"/>
  <c r="AG114" i="3"/>
  <c r="AG95" i="3"/>
  <c r="AG73" i="3"/>
  <c r="AG50" i="3"/>
  <c r="AG31" i="3"/>
  <c r="AG175" i="3"/>
  <c r="AG153" i="3"/>
  <c r="AG130" i="3"/>
  <c r="AG111" i="3"/>
  <c r="AG89" i="3"/>
  <c r="AG66" i="3"/>
  <c r="AG47" i="3"/>
  <c r="AG25" i="3"/>
  <c r="AG154" i="3"/>
  <c r="AG71" i="3"/>
  <c r="AG151" i="3"/>
  <c r="AG65" i="3"/>
  <c r="AG135" i="3"/>
  <c r="AG49" i="3"/>
  <c r="AG129" i="3"/>
  <c r="AG42" i="3"/>
  <c r="AG113" i="3"/>
  <c r="AG26" i="3"/>
  <c r="AG177" i="3"/>
  <c r="AG90" i="3"/>
  <c r="AG106" i="3"/>
  <c r="AG87" i="3"/>
  <c r="AG23" i="3"/>
  <c r="AG170" i="3"/>
  <c r="AG13" i="3"/>
  <c r="AP172" i="3"/>
  <c r="AP164" i="3"/>
  <c r="AP156" i="3"/>
  <c r="AP148" i="3"/>
  <c r="AP140" i="3"/>
  <c r="AP132" i="3"/>
  <c r="AP124" i="3"/>
  <c r="AP116" i="3"/>
  <c r="AP108" i="3"/>
  <c r="AP100" i="3"/>
  <c r="AP92" i="3"/>
  <c r="AP84" i="3"/>
  <c r="AP76" i="3"/>
  <c r="AP68" i="3"/>
  <c r="AP60" i="3"/>
  <c r="AP52" i="3"/>
  <c r="AP44" i="3"/>
  <c r="AP36" i="3"/>
  <c r="AP28" i="3"/>
  <c r="AP20" i="3"/>
  <c r="AP171" i="3"/>
  <c r="AP163" i="3"/>
  <c r="AP155" i="3"/>
  <c r="AP147" i="3"/>
  <c r="AP139" i="3"/>
  <c r="AP131" i="3"/>
  <c r="AP123" i="3"/>
  <c r="AP115" i="3"/>
  <c r="AP107" i="3"/>
  <c r="AP99" i="3"/>
  <c r="AP91" i="3"/>
  <c r="AP83" i="3"/>
  <c r="AP75" i="3"/>
  <c r="AP67" i="3"/>
  <c r="AP59" i="3"/>
  <c r="AP51" i="3"/>
  <c r="AP43" i="3"/>
  <c r="AP35" i="3"/>
  <c r="AP27" i="3"/>
  <c r="AP19" i="3"/>
  <c r="AP178" i="3"/>
  <c r="AP170" i="3"/>
  <c r="AP162" i="3"/>
  <c r="AP154" i="3"/>
  <c r="AP146" i="3"/>
  <c r="AP138" i="3"/>
  <c r="AP130" i="3"/>
  <c r="AP122" i="3"/>
  <c r="AP114" i="3"/>
  <c r="AP106" i="3"/>
  <c r="AP98" i="3"/>
  <c r="AP90" i="3"/>
  <c r="AP82" i="3"/>
  <c r="AP74" i="3"/>
  <c r="AP66" i="3"/>
  <c r="AP58" i="3"/>
  <c r="AP50" i="3"/>
  <c r="AP42" i="3"/>
  <c r="AP34" i="3"/>
  <c r="AP26" i="3"/>
  <c r="AP18" i="3"/>
  <c r="AP177" i="3"/>
  <c r="AP169" i="3"/>
  <c r="AP161" i="3"/>
  <c r="AP153" i="3"/>
  <c r="AP145" i="3"/>
  <c r="AP137" i="3"/>
  <c r="AP129" i="3"/>
  <c r="AP121" i="3"/>
  <c r="AP113" i="3"/>
  <c r="AP105" i="3"/>
  <c r="AP97" i="3"/>
  <c r="AP89" i="3"/>
  <c r="AP81" i="3"/>
  <c r="AP73" i="3"/>
  <c r="AP65" i="3"/>
  <c r="AP57" i="3"/>
  <c r="AP49" i="3"/>
  <c r="AP41" i="3"/>
  <c r="AP33" i="3"/>
  <c r="AP25" i="3"/>
  <c r="AP17" i="3"/>
  <c r="AP176" i="3"/>
  <c r="AP168" i="3"/>
  <c r="AP160" i="3"/>
  <c r="AP152" i="3"/>
  <c r="AP144" i="3"/>
  <c r="AP136" i="3"/>
  <c r="AP128" i="3"/>
  <c r="AP120" i="3"/>
  <c r="AP112" i="3"/>
  <c r="AP104" i="3"/>
  <c r="AP96" i="3"/>
  <c r="AP88" i="3"/>
  <c r="AP80" i="3"/>
  <c r="AP72" i="3"/>
  <c r="AP64" i="3"/>
  <c r="AP56" i="3"/>
  <c r="AP48" i="3"/>
  <c r="AP40" i="3"/>
  <c r="AP32" i="3"/>
  <c r="AP24" i="3"/>
  <c r="AP16" i="3"/>
  <c r="AP159" i="3"/>
  <c r="AP141" i="3"/>
  <c r="AP118" i="3"/>
  <c r="AP95" i="3"/>
  <c r="AP77" i="3"/>
  <c r="AP54" i="3"/>
  <c r="AP31" i="3"/>
  <c r="AP158" i="3"/>
  <c r="AP135" i="3"/>
  <c r="AP117" i="3"/>
  <c r="AP94" i="3"/>
  <c r="AP71" i="3"/>
  <c r="AP53" i="3"/>
  <c r="AP30" i="3"/>
  <c r="AP175" i="3"/>
  <c r="AP157" i="3"/>
  <c r="AP134" i="3"/>
  <c r="AP111" i="3"/>
  <c r="AP93" i="3"/>
  <c r="AP70" i="3"/>
  <c r="AP47" i="3"/>
  <c r="AP29" i="3"/>
  <c r="AP174" i="3"/>
  <c r="AP151" i="3"/>
  <c r="AP133" i="3"/>
  <c r="AP110" i="3"/>
  <c r="AP87" i="3"/>
  <c r="AP69" i="3"/>
  <c r="AP46" i="3"/>
  <c r="AP23" i="3"/>
  <c r="AP173" i="3"/>
  <c r="AP150" i="3"/>
  <c r="AP127" i="3"/>
  <c r="AP109" i="3"/>
  <c r="AP86" i="3"/>
  <c r="AP63" i="3"/>
  <c r="AP45" i="3"/>
  <c r="AP22" i="3"/>
  <c r="AP166" i="3"/>
  <c r="AP143" i="3"/>
  <c r="AP125" i="3"/>
  <c r="AP102" i="3"/>
  <c r="AP79" i="3"/>
  <c r="AP61" i="3"/>
  <c r="AP38" i="3"/>
  <c r="AP15" i="3"/>
  <c r="AP126" i="3"/>
  <c r="AP39" i="3"/>
  <c r="AP119" i="3"/>
  <c r="AP37" i="3"/>
  <c r="AP103" i="3"/>
  <c r="AP21" i="3"/>
  <c r="AP101" i="3"/>
  <c r="AP14" i="3"/>
  <c r="AP167" i="3"/>
  <c r="AP149" i="3"/>
  <c r="AP62" i="3"/>
  <c r="AP165" i="3"/>
  <c r="AP142" i="3"/>
  <c r="AP85" i="3"/>
  <c r="AP78" i="3"/>
  <c r="AP55" i="3"/>
  <c r="AP13" i="3"/>
  <c r="AW173" i="3"/>
  <c r="AW165" i="3"/>
  <c r="AW157" i="3"/>
  <c r="AW149" i="3"/>
  <c r="AW141" i="3"/>
  <c r="AW133" i="3"/>
  <c r="AW125" i="3"/>
  <c r="AW117" i="3"/>
  <c r="AW109" i="3"/>
  <c r="AW101" i="3"/>
  <c r="AW93" i="3"/>
  <c r="AW85" i="3"/>
  <c r="AW77" i="3"/>
  <c r="AW69" i="3"/>
  <c r="AW61" i="3"/>
  <c r="AW53" i="3"/>
  <c r="AW45" i="3"/>
  <c r="AW37" i="3"/>
  <c r="AW29" i="3"/>
  <c r="AW21" i="3"/>
  <c r="AW172" i="3"/>
  <c r="AW164" i="3"/>
  <c r="AW156" i="3"/>
  <c r="AW148" i="3"/>
  <c r="AW140" i="3"/>
  <c r="AW132" i="3"/>
  <c r="AW124" i="3"/>
  <c r="AW116" i="3"/>
  <c r="AW108" i="3"/>
  <c r="AW100" i="3"/>
  <c r="AW92" i="3"/>
  <c r="AW84" i="3"/>
  <c r="AW76" i="3"/>
  <c r="AW68" i="3"/>
  <c r="AW60" i="3"/>
  <c r="AW52" i="3"/>
  <c r="AW44" i="3"/>
  <c r="AW36" i="3"/>
  <c r="AW28" i="3"/>
  <c r="AW20" i="3"/>
  <c r="AW177" i="3"/>
  <c r="AW169" i="3"/>
  <c r="AW161" i="3"/>
  <c r="AW153" i="3"/>
  <c r="AW145" i="3"/>
  <c r="AW137" i="3"/>
  <c r="AW129" i="3"/>
  <c r="AW121" i="3"/>
  <c r="AW113" i="3"/>
  <c r="AW105" i="3"/>
  <c r="AW97" i="3"/>
  <c r="AW89" i="3"/>
  <c r="AW81" i="3"/>
  <c r="AW73" i="3"/>
  <c r="AW65" i="3"/>
  <c r="AW57" i="3"/>
  <c r="AW49" i="3"/>
  <c r="AW41" i="3"/>
  <c r="AW33" i="3"/>
  <c r="AW25" i="3"/>
  <c r="AW17" i="3"/>
  <c r="AW174" i="3"/>
  <c r="AW166" i="3"/>
  <c r="AW158" i="3"/>
  <c r="AW170" i="3"/>
  <c r="AW154" i="3"/>
  <c r="AW142" i="3"/>
  <c r="AW128" i="3"/>
  <c r="AW115" i="3"/>
  <c r="AW103" i="3"/>
  <c r="AW90" i="3"/>
  <c r="AW78" i="3"/>
  <c r="AW64" i="3"/>
  <c r="AW51" i="3"/>
  <c r="AW39" i="3"/>
  <c r="AW26" i="3"/>
  <c r="AW14" i="3"/>
  <c r="AW168" i="3"/>
  <c r="AW152" i="3"/>
  <c r="AW139" i="3"/>
  <c r="AW127" i="3"/>
  <c r="AW114" i="3"/>
  <c r="AW102" i="3"/>
  <c r="AW88" i="3"/>
  <c r="AW75" i="3"/>
  <c r="AW63" i="3"/>
  <c r="AW50" i="3"/>
  <c r="AW38" i="3"/>
  <c r="AW24" i="3"/>
  <c r="AW167" i="3"/>
  <c r="AW151" i="3"/>
  <c r="AW138" i="3"/>
  <c r="AW126" i="3"/>
  <c r="AW112" i="3"/>
  <c r="AW99" i="3"/>
  <c r="AW87" i="3"/>
  <c r="AW74" i="3"/>
  <c r="AW62" i="3"/>
  <c r="AW48" i="3"/>
  <c r="AW35" i="3"/>
  <c r="AW23" i="3"/>
  <c r="AW178" i="3"/>
  <c r="AW162" i="3"/>
  <c r="AW147" i="3"/>
  <c r="AW135" i="3"/>
  <c r="AW122" i="3"/>
  <c r="AW110" i="3"/>
  <c r="AW96" i="3"/>
  <c r="AW83" i="3"/>
  <c r="AW71" i="3"/>
  <c r="AW58" i="3"/>
  <c r="AW46" i="3"/>
  <c r="AW32" i="3"/>
  <c r="AW19" i="3"/>
  <c r="AW176" i="3"/>
  <c r="AW160" i="3"/>
  <c r="AW146" i="3"/>
  <c r="AW134" i="3"/>
  <c r="AW120" i="3"/>
  <c r="AW107" i="3"/>
  <c r="AW95" i="3"/>
  <c r="AW82" i="3"/>
  <c r="AW70" i="3"/>
  <c r="AW56" i="3"/>
  <c r="AW43" i="3"/>
  <c r="AW31" i="3"/>
  <c r="AW18" i="3"/>
  <c r="AW144" i="3"/>
  <c r="AW111" i="3"/>
  <c r="AW79" i="3"/>
  <c r="AW42" i="3"/>
  <c r="AW143" i="3"/>
  <c r="AW106" i="3"/>
  <c r="AW72" i="3"/>
  <c r="AW40" i="3"/>
  <c r="AW175" i="3"/>
  <c r="AW136" i="3"/>
  <c r="AW104" i="3"/>
  <c r="AW67" i="3"/>
  <c r="AW34" i="3"/>
  <c r="AW171" i="3"/>
  <c r="AW131" i="3"/>
  <c r="AW98" i="3"/>
  <c r="AW66" i="3"/>
  <c r="AW30" i="3"/>
  <c r="AW163" i="3"/>
  <c r="AW130" i="3"/>
  <c r="AW94" i="3"/>
  <c r="AW59" i="3"/>
  <c r="AW27" i="3"/>
  <c r="AW86" i="3"/>
  <c r="AW159" i="3"/>
  <c r="AW80" i="3"/>
  <c r="AW155" i="3"/>
  <c r="AW55" i="3"/>
  <c r="AW150" i="3"/>
  <c r="AW54" i="3"/>
  <c r="AW123" i="3"/>
  <c r="AW47" i="3"/>
  <c r="AW118" i="3"/>
  <c r="AW16" i="3"/>
  <c r="AW119" i="3"/>
  <c r="AW22" i="3"/>
  <c r="AW91" i="3"/>
  <c r="AW15" i="3"/>
  <c r="AW13" i="3"/>
  <c r="M36" i="3"/>
  <c r="M155" i="3"/>
  <c r="M137" i="3"/>
  <c r="M117" i="3"/>
  <c r="M175" i="3"/>
  <c r="M170" i="3"/>
  <c r="M83" i="3"/>
  <c r="M129" i="3"/>
  <c r="AT178" i="3"/>
  <c r="AT170" i="3"/>
  <c r="AT162" i="3"/>
  <c r="AT154" i="3"/>
  <c r="AT146" i="3"/>
  <c r="AT138" i="3"/>
  <c r="AT130" i="3"/>
  <c r="AT122" i="3"/>
  <c r="AT114" i="3"/>
  <c r="AT106" i="3"/>
  <c r="AT98" i="3"/>
  <c r="AT90" i="3"/>
  <c r="AT82" i="3"/>
  <c r="AT74" i="3"/>
  <c r="AT66" i="3"/>
  <c r="AT58" i="3"/>
  <c r="AT50" i="3"/>
  <c r="AT42" i="3"/>
  <c r="AT34" i="3"/>
  <c r="AT26" i="3"/>
  <c r="AT18" i="3"/>
  <c r="AT177" i="3"/>
  <c r="AT169" i="3"/>
  <c r="AT161" i="3"/>
  <c r="AT153" i="3"/>
  <c r="AT145" i="3"/>
  <c r="AT137" i="3"/>
  <c r="AT129" i="3"/>
  <c r="AT121" i="3"/>
  <c r="AT113" i="3"/>
  <c r="AT105" i="3"/>
  <c r="AT97" i="3"/>
  <c r="AT89" i="3"/>
  <c r="AT81" i="3"/>
  <c r="AT73" i="3"/>
  <c r="AT65" i="3"/>
  <c r="AT57" i="3"/>
  <c r="AT49" i="3"/>
  <c r="AT41" i="3"/>
  <c r="AT33" i="3"/>
  <c r="AT25" i="3"/>
  <c r="AT17" i="3"/>
  <c r="AT176" i="3"/>
  <c r="AT168" i="3"/>
  <c r="AT160" i="3"/>
  <c r="AT152" i="3"/>
  <c r="AT144" i="3"/>
  <c r="AT136" i="3"/>
  <c r="AT128" i="3"/>
  <c r="AT120" i="3"/>
  <c r="AT112" i="3"/>
  <c r="AT104" i="3"/>
  <c r="AT96" i="3"/>
  <c r="AT88" i="3"/>
  <c r="AT80" i="3"/>
  <c r="AT72" i="3"/>
  <c r="AT64" i="3"/>
  <c r="AT56" i="3"/>
  <c r="AT48" i="3"/>
  <c r="AT40" i="3"/>
  <c r="AT174" i="3"/>
  <c r="AT166" i="3"/>
  <c r="AT158" i="3"/>
  <c r="AT150" i="3"/>
  <c r="AT142" i="3"/>
  <c r="AT134" i="3"/>
  <c r="AT126" i="3"/>
  <c r="AT118" i="3"/>
  <c r="AT110" i="3"/>
  <c r="AT102" i="3"/>
  <c r="AT94" i="3"/>
  <c r="AT86" i="3"/>
  <c r="AT78" i="3"/>
  <c r="AT70" i="3"/>
  <c r="AT62" i="3"/>
  <c r="AT54" i="3"/>
  <c r="AT46" i="3"/>
  <c r="AT38" i="3"/>
  <c r="AT30" i="3"/>
  <c r="AT22" i="3"/>
  <c r="AT14" i="3"/>
  <c r="AT164" i="3"/>
  <c r="AT148" i="3"/>
  <c r="AT132" i="3"/>
  <c r="AT116" i="3"/>
  <c r="AT100" i="3"/>
  <c r="AT84" i="3"/>
  <c r="AT68" i="3"/>
  <c r="AT52" i="3"/>
  <c r="AT36" i="3"/>
  <c r="AT23" i="3"/>
  <c r="AT163" i="3"/>
  <c r="AT147" i="3"/>
  <c r="AT131" i="3"/>
  <c r="AT115" i="3"/>
  <c r="AT99" i="3"/>
  <c r="AT83" i="3"/>
  <c r="AT67" i="3"/>
  <c r="AT51" i="3"/>
  <c r="AT35" i="3"/>
  <c r="AT21" i="3"/>
  <c r="AT175" i="3"/>
  <c r="AT159" i="3"/>
  <c r="AT143" i="3"/>
  <c r="AT127" i="3"/>
  <c r="AT111" i="3"/>
  <c r="AT95" i="3"/>
  <c r="AT79" i="3"/>
  <c r="AT63" i="3"/>
  <c r="AT47" i="3"/>
  <c r="AT32" i="3"/>
  <c r="AT20" i="3"/>
  <c r="AT173" i="3"/>
  <c r="AT157" i="3"/>
  <c r="AT141" i="3"/>
  <c r="AT125" i="3"/>
  <c r="AT109" i="3"/>
  <c r="AT93" i="3"/>
  <c r="AT77" i="3"/>
  <c r="AT61" i="3"/>
  <c r="AT45" i="3"/>
  <c r="AT31" i="3"/>
  <c r="AT19" i="3"/>
  <c r="AT172" i="3"/>
  <c r="AT156" i="3"/>
  <c r="AT140" i="3"/>
  <c r="AT124" i="3"/>
  <c r="AT108" i="3"/>
  <c r="AT92" i="3"/>
  <c r="AT76" i="3"/>
  <c r="AT60" i="3"/>
  <c r="AT44" i="3"/>
  <c r="AT29" i="3"/>
  <c r="AT16" i="3"/>
  <c r="AT167" i="3"/>
  <c r="AT123" i="3"/>
  <c r="AT85" i="3"/>
  <c r="AT39" i="3"/>
  <c r="AT165" i="3"/>
  <c r="AT119" i="3"/>
  <c r="AT75" i="3"/>
  <c r="AT37" i="3"/>
  <c r="AT155" i="3"/>
  <c r="AT117" i="3"/>
  <c r="AT71" i="3"/>
  <c r="AT28" i="3"/>
  <c r="AT151" i="3"/>
  <c r="AT107" i="3"/>
  <c r="AT69" i="3"/>
  <c r="AT27" i="3"/>
  <c r="AT149" i="3"/>
  <c r="AT103" i="3"/>
  <c r="AT59" i="3"/>
  <c r="AT24" i="3"/>
  <c r="AT135" i="3"/>
  <c r="AT91" i="3"/>
  <c r="AT53" i="3"/>
  <c r="AT15" i="3"/>
  <c r="AT171" i="3"/>
  <c r="AT139" i="3"/>
  <c r="AT133" i="3"/>
  <c r="AT101" i="3"/>
  <c r="AT55" i="3"/>
  <c r="AT87" i="3"/>
  <c r="AT43" i="3"/>
  <c r="AT13" i="3"/>
  <c r="M20" i="3"/>
  <c r="M139" i="3"/>
  <c r="M57" i="3"/>
  <c r="AS29" i="3"/>
  <c r="AS55" i="3"/>
  <c r="AS80" i="3"/>
  <c r="AS105" i="3"/>
  <c r="AS130" i="3"/>
  <c r="AS155" i="3"/>
  <c r="AS46" i="3"/>
  <c r="M54" i="3"/>
  <c r="M37" i="3"/>
  <c r="M151" i="3"/>
  <c r="M114" i="3"/>
  <c r="K17" i="3"/>
  <c r="K144" i="3"/>
  <c r="K135" i="3"/>
  <c r="M167" i="3"/>
  <c r="K150" i="3"/>
  <c r="M63" i="3"/>
  <c r="K60" i="3"/>
  <c r="AS158" i="3"/>
  <c r="M132" i="3"/>
  <c r="M68" i="3"/>
  <c r="E156" i="3"/>
  <c r="E92" i="3"/>
  <c r="AS22" i="3"/>
  <c r="M123" i="3"/>
  <c r="M59" i="3"/>
  <c r="E155" i="3"/>
  <c r="E91" i="3"/>
  <c r="E27" i="3"/>
  <c r="AS14" i="3"/>
  <c r="M169" i="3"/>
  <c r="M105" i="3"/>
  <c r="M41" i="3"/>
  <c r="E145" i="3"/>
  <c r="E81" i="3"/>
  <c r="E17" i="3"/>
  <c r="AS94" i="3"/>
  <c r="M124" i="3"/>
  <c r="M60" i="3"/>
  <c r="E148" i="3"/>
  <c r="E84" i="3"/>
  <c r="M115" i="3"/>
  <c r="M51" i="3"/>
  <c r="E147" i="3"/>
  <c r="E83" i="3"/>
  <c r="E19" i="3"/>
  <c r="M161" i="3"/>
  <c r="M97" i="3"/>
  <c r="M33" i="3"/>
  <c r="E137" i="3"/>
  <c r="E73" i="3"/>
  <c r="AS13" i="3"/>
  <c r="M160" i="3"/>
  <c r="M96" i="3"/>
  <c r="M32" i="3"/>
  <c r="E136" i="3"/>
  <c r="E72" i="3"/>
  <c r="AS20" i="3"/>
  <c r="AS84" i="3"/>
  <c r="AS148" i="3"/>
  <c r="AS53" i="3"/>
  <c r="AS117" i="3"/>
  <c r="AS15" i="3"/>
  <c r="AS79" i="3"/>
  <c r="AS143" i="3"/>
  <c r="AS40" i="3"/>
  <c r="AS104" i="3"/>
  <c r="AS168" i="3"/>
  <c r="AS65" i="3"/>
  <c r="AS129" i="3"/>
  <c r="AS26" i="3"/>
  <c r="AS90" i="3"/>
  <c r="AS154" i="3"/>
  <c r="AS51" i="3"/>
  <c r="AS115" i="3"/>
  <c r="M158" i="3"/>
  <c r="M94" i="3"/>
  <c r="M30" i="3"/>
  <c r="E134" i="3"/>
  <c r="E70" i="3"/>
  <c r="AS166" i="3"/>
  <c r="M141" i="3"/>
  <c r="M77" i="3"/>
  <c r="S118" i="3"/>
  <c r="S53" i="3"/>
  <c r="M55" i="3"/>
  <c r="K122" i="3"/>
  <c r="K58" i="3"/>
  <c r="S100" i="3"/>
  <c r="E127" i="3"/>
  <c r="S49" i="3"/>
  <c r="AS30" i="3"/>
  <c r="M116" i="3"/>
  <c r="M52" i="3"/>
  <c r="E140" i="3"/>
  <c r="E76" i="3"/>
  <c r="M171" i="3"/>
  <c r="M107" i="3"/>
  <c r="M43" i="3"/>
  <c r="E139" i="3"/>
  <c r="E75" i="3"/>
  <c r="M153" i="3"/>
  <c r="M89" i="3"/>
  <c r="M25" i="3"/>
  <c r="E129" i="3"/>
  <c r="E65" i="3"/>
  <c r="M152" i="3"/>
  <c r="M88" i="3"/>
  <c r="M24" i="3"/>
  <c r="E128" i="3"/>
  <c r="E64" i="3"/>
  <c r="AS28" i="3"/>
  <c r="AS92" i="3"/>
  <c r="AS156" i="3"/>
  <c r="AS61" i="3"/>
  <c r="AS125" i="3"/>
  <c r="AS23" i="3"/>
  <c r="AS87" i="3"/>
  <c r="AS151" i="3"/>
  <c r="AS48" i="3"/>
  <c r="AS112" i="3"/>
  <c r="AS176" i="3"/>
  <c r="AS73" i="3"/>
  <c r="AS137" i="3"/>
  <c r="AS34" i="3"/>
  <c r="AS98" i="3"/>
  <c r="AS162" i="3"/>
  <c r="AS59" i="3"/>
  <c r="AS123" i="3"/>
  <c r="M150" i="3"/>
  <c r="M86" i="3"/>
  <c r="M22" i="3"/>
  <c r="E126" i="3"/>
  <c r="E62" i="3"/>
  <c r="AS102" i="3"/>
  <c r="M133" i="3"/>
  <c r="M69" i="3"/>
  <c r="S109" i="3"/>
  <c r="S45" i="3"/>
  <c r="M23" i="3"/>
  <c r="K114" i="3"/>
  <c r="K50" i="3"/>
  <c r="E109" i="3"/>
  <c r="S164" i="3"/>
  <c r="S92" i="3"/>
  <c r="S28" i="3"/>
  <c r="K177" i="3"/>
  <c r="K113" i="3"/>
  <c r="K49" i="3"/>
  <c r="E106" i="3"/>
  <c r="S162" i="3"/>
  <c r="S91" i="3"/>
  <c r="S27" i="3"/>
  <c r="K176" i="3"/>
  <c r="K112" i="3"/>
  <c r="K48" i="3"/>
  <c r="E103" i="3"/>
  <c r="S161" i="3"/>
  <c r="S90" i="3"/>
  <c r="S26" i="3"/>
  <c r="K167" i="3"/>
  <c r="K103" i="3"/>
  <c r="K39" i="3"/>
  <c r="E79" i="3"/>
  <c r="U63" i="3"/>
  <c r="S105" i="3"/>
  <c r="S41" i="3"/>
  <c r="M39" i="3"/>
  <c r="K118" i="3"/>
  <c r="K54" i="3"/>
  <c r="E119" i="3"/>
  <c r="S147" i="3"/>
  <c r="S79" i="3"/>
  <c r="S15" i="3"/>
  <c r="K156" i="3"/>
  <c r="K92" i="3"/>
  <c r="K28" i="3"/>
  <c r="E50" i="3"/>
  <c r="AQ45" i="3"/>
  <c r="AQ109" i="3"/>
  <c r="AQ173" i="3"/>
  <c r="AQ70" i="3"/>
  <c r="AQ134" i="3"/>
  <c r="AA66" i="3"/>
  <c r="AA130" i="3"/>
  <c r="AA124" i="3"/>
  <c r="AA29" i="3"/>
  <c r="AA93" i="3"/>
  <c r="AA157" i="3"/>
  <c r="AA55" i="3"/>
  <c r="AA119" i="3"/>
  <c r="S155" i="3"/>
  <c r="S157" i="3"/>
  <c r="C62" i="3"/>
  <c r="C27" i="3"/>
  <c r="C141" i="3"/>
  <c r="C85" i="3"/>
  <c r="C45" i="3"/>
  <c r="C14" i="3"/>
  <c r="C108" i="3"/>
  <c r="C47" i="3"/>
  <c r="H177" i="3"/>
  <c r="H169" i="3"/>
  <c r="H161" i="3"/>
  <c r="H153" i="3"/>
  <c r="H145" i="3"/>
  <c r="H137" i="3"/>
  <c r="H129" i="3"/>
  <c r="H121" i="3"/>
  <c r="H113" i="3"/>
  <c r="H105" i="3"/>
  <c r="H97" i="3"/>
  <c r="H89" i="3"/>
  <c r="H81" i="3"/>
  <c r="H73" i="3"/>
  <c r="H65" i="3"/>
  <c r="H57" i="3"/>
  <c r="H49" i="3"/>
  <c r="H41" i="3"/>
  <c r="H33" i="3"/>
  <c r="H25" i="3"/>
  <c r="H17" i="3"/>
  <c r="H175" i="3"/>
  <c r="H167" i="3"/>
  <c r="H159" i="3"/>
  <c r="H151" i="3"/>
  <c r="H143" i="3"/>
  <c r="H135" i="3"/>
  <c r="H127" i="3"/>
  <c r="H119" i="3"/>
  <c r="H111" i="3"/>
  <c r="H103" i="3"/>
  <c r="H95" i="3"/>
  <c r="H87" i="3"/>
  <c r="H79" i="3"/>
  <c r="H71" i="3"/>
  <c r="H63" i="3"/>
  <c r="H55" i="3"/>
  <c r="H47" i="3"/>
  <c r="H39" i="3"/>
  <c r="H31" i="3"/>
  <c r="H23" i="3"/>
  <c r="H15" i="3"/>
  <c r="H174" i="3"/>
  <c r="H166" i="3"/>
  <c r="H158" i="3"/>
  <c r="H150" i="3"/>
  <c r="H142" i="3"/>
  <c r="H134" i="3"/>
  <c r="H126" i="3"/>
  <c r="H118" i="3"/>
  <c r="H110" i="3"/>
  <c r="H102" i="3"/>
  <c r="H94" i="3"/>
  <c r="H86" i="3"/>
  <c r="H78" i="3"/>
  <c r="H70" i="3"/>
  <c r="H62" i="3"/>
  <c r="H54" i="3"/>
  <c r="H46" i="3"/>
  <c r="H38" i="3"/>
  <c r="H30" i="3"/>
  <c r="H22" i="3"/>
  <c r="H14" i="3"/>
  <c r="H171" i="3"/>
  <c r="H163" i="3"/>
  <c r="H155" i="3"/>
  <c r="H147" i="3"/>
  <c r="H139" i="3"/>
  <c r="H131" i="3"/>
  <c r="H123" i="3"/>
  <c r="H115" i="3"/>
  <c r="H107" i="3"/>
  <c r="H99" i="3"/>
  <c r="H91" i="3"/>
  <c r="H83" i="3"/>
  <c r="H75" i="3"/>
  <c r="H67" i="3"/>
  <c r="H59" i="3"/>
  <c r="H51" i="3"/>
  <c r="H43" i="3"/>
  <c r="H35" i="3"/>
  <c r="H27" i="3"/>
  <c r="H19" i="3"/>
  <c r="H170" i="3"/>
  <c r="H154" i="3"/>
  <c r="H138" i="3"/>
  <c r="H122" i="3"/>
  <c r="H106" i="3"/>
  <c r="H90" i="3"/>
  <c r="H74" i="3"/>
  <c r="H58" i="3"/>
  <c r="H42" i="3"/>
  <c r="H26" i="3"/>
  <c r="H13" i="3"/>
  <c r="H109" i="3"/>
  <c r="H108" i="3"/>
  <c r="H168" i="3"/>
  <c r="H152" i="3"/>
  <c r="H136" i="3"/>
  <c r="H120" i="3"/>
  <c r="H104" i="3"/>
  <c r="H88" i="3"/>
  <c r="H72" i="3"/>
  <c r="H56" i="3"/>
  <c r="H40" i="3"/>
  <c r="H24" i="3"/>
  <c r="H173" i="3"/>
  <c r="H125" i="3"/>
  <c r="H77" i="3"/>
  <c r="H156" i="3"/>
  <c r="H92" i="3"/>
  <c r="H165" i="3"/>
  <c r="H149" i="3"/>
  <c r="H133" i="3"/>
  <c r="H117" i="3"/>
  <c r="H101" i="3"/>
  <c r="H85" i="3"/>
  <c r="H69" i="3"/>
  <c r="H53" i="3"/>
  <c r="H37" i="3"/>
  <c r="H21" i="3"/>
  <c r="H157" i="3"/>
  <c r="H60" i="3"/>
  <c r="H164" i="3"/>
  <c r="H148" i="3"/>
  <c r="H132" i="3"/>
  <c r="H116" i="3"/>
  <c r="H100" i="3"/>
  <c r="H84" i="3"/>
  <c r="H68" i="3"/>
  <c r="H52" i="3"/>
  <c r="H36" i="3"/>
  <c r="H20" i="3"/>
  <c r="H93" i="3"/>
  <c r="H124" i="3"/>
  <c r="H178" i="3"/>
  <c r="H162" i="3"/>
  <c r="H146" i="3"/>
  <c r="H130" i="3"/>
  <c r="H114" i="3"/>
  <c r="H98" i="3"/>
  <c r="H82" i="3"/>
  <c r="H66" i="3"/>
  <c r="H50" i="3"/>
  <c r="H34" i="3"/>
  <c r="H18" i="3"/>
  <c r="H141" i="3"/>
  <c r="H61" i="3"/>
  <c r="H29" i="3"/>
  <c r="H172" i="3"/>
  <c r="H140" i="3"/>
  <c r="H76" i="3"/>
  <c r="H28" i="3"/>
  <c r="H176" i="3"/>
  <c r="H160" i="3"/>
  <c r="H144" i="3"/>
  <c r="H128" i="3"/>
  <c r="H112" i="3"/>
  <c r="H96" i="3"/>
  <c r="H80" i="3"/>
  <c r="H64" i="3"/>
  <c r="H48" i="3"/>
  <c r="H32" i="3"/>
  <c r="H16" i="3"/>
  <c r="H45" i="3"/>
  <c r="H44" i="3"/>
  <c r="P176" i="3"/>
  <c r="P168" i="3"/>
  <c r="P160" i="3"/>
  <c r="P152" i="3"/>
  <c r="P144" i="3"/>
  <c r="P136" i="3"/>
  <c r="P128" i="3"/>
  <c r="P120" i="3"/>
  <c r="P112" i="3"/>
  <c r="P104" i="3"/>
  <c r="P96" i="3"/>
  <c r="P88" i="3"/>
  <c r="P80" i="3"/>
  <c r="P72" i="3"/>
  <c r="P64" i="3"/>
  <c r="P56" i="3"/>
  <c r="P48" i="3"/>
  <c r="P40" i="3"/>
  <c r="P32" i="3"/>
  <c r="P24" i="3"/>
  <c r="P16" i="3"/>
  <c r="P175" i="3"/>
  <c r="P167" i="3"/>
  <c r="P159" i="3"/>
  <c r="P151" i="3"/>
  <c r="P143" i="3"/>
  <c r="P135" i="3"/>
  <c r="P127" i="3"/>
  <c r="P119" i="3"/>
  <c r="P111" i="3"/>
  <c r="P103" i="3"/>
  <c r="P95" i="3"/>
  <c r="P87" i="3"/>
  <c r="P79" i="3"/>
  <c r="P71" i="3"/>
  <c r="P63" i="3"/>
  <c r="P55" i="3"/>
  <c r="P47" i="3"/>
  <c r="P39" i="3"/>
  <c r="P31" i="3"/>
  <c r="P23" i="3"/>
  <c r="P15" i="3"/>
  <c r="P174" i="3"/>
  <c r="P166" i="3"/>
  <c r="P158" i="3"/>
  <c r="P150" i="3"/>
  <c r="P142" i="3"/>
  <c r="P134" i="3"/>
  <c r="P126" i="3"/>
  <c r="P118" i="3"/>
  <c r="P110" i="3"/>
  <c r="P102" i="3"/>
  <c r="P94" i="3"/>
  <c r="P86" i="3"/>
  <c r="P78" i="3"/>
  <c r="P70" i="3"/>
  <c r="P62" i="3"/>
  <c r="P54" i="3"/>
  <c r="P46" i="3"/>
  <c r="P38" i="3"/>
  <c r="P30" i="3"/>
  <c r="P22" i="3"/>
  <c r="P14" i="3"/>
  <c r="P173" i="3"/>
  <c r="P165" i="3"/>
  <c r="P157" i="3"/>
  <c r="P149" i="3"/>
  <c r="P141" i="3"/>
  <c r="P133" i="3"/>
  <c r="P125" i="3"/>
  <c r="P117" i="3"/>
  <c r="P109" i="3"/>
  <c r="P101" i="3"/>
  <c r="P93" i="3"/>
  <c r="P85" i="3"/>
  <c r="P77" i="3"/>
  <c r="P69" i="3"/>
  <c r="P61" i="3"/>
  <c r="P53" i="3"/>
  <c r="P45" i="3"/>
  <c r="P37" i="3"/>
  <c r="P29" i="3"/>
  <c r="P21" i="3"/>
  <c r="P172" i="3"/>
  <c r="P164" i="3"/>
  <c r="P156" i="3"/>
  <c r="P148" i="3"/>
  <c r="P140" i="3"/>
  <c r="P132" i="3"/>
  <c r="P124" i="3"/>
  <c r="P116" i="3"/>
  <c r="P108" i="3"/>
  <c r="P100" i="3"/>
  <c r="P92" i="3"/>
  <c r="P84" i="3"/>
  <c r="P76" i="3"/>
  <c r="P68" i="3"/>
  <c r="P60" i="3"/>
  <c r="P52" i="3"/>
  <c r="P44" i="3"/>
  <c r="P36" i="3"/>
  <c r="P28" i="3"/>
  <c r="P20" i="3"/>
  <c r="P178" i="3"/>
  <c r="P170" i="3"/>
  <c r="P162" i="3"/>
  <c r="P154" i="3"/>
  <c r="P146" i="3"/>
  <c r="P138" i="3"/>
  <c r="P130" i="3"/>
  <c r="P122" i="3"/>
  <c r="P114" i="3"/>
  <c r="P106" i="3"/>
  <c r="P98" i="3"/>
  <c r="P90" i="3"/>
  <c r="P82" i="3"/>
  <c r="P74" i="3"/>
  <c r="P66" i="3"/>
  <c r="P58" i="3"/>
  <c r="P50" i="3"/>
  <c r="P42" i="3"/>
  <c r="P34" i="3"/>
  <c r="P26" i="3"/>
  <c r="P18" i="3"/>
  <c r="P147" i="3"/>
  <c r="P115" i="3"/>
  <c r="P83" i="3"/>
  <c r="P51" i="3"/>
  <c r="P19" i="3"/>
  <c r="P171" i="3"/>
  <c r="P139" i="3"/>
  <c r="P107" i="3"/>
  <c r="P75" i="3"/>
  <c r="P43" i="3"/>
  <c r="P169" i="3"/>
  <c r="P137" i="3"/>
  <c r="P105" i="3"/>
  <c r="P73" i="3"/>
  <c r="P41" i="3"/>
  <c r="P161" i="3"/>
  <c r="P129" i="3"/>
  <c r="P97" i="3"/>
  <c r="P65" i="3"/>
  <c r="P33" i="3"/>
  <c r="P155" i="3"/>
  <c r="P123" i="3"/>
  <c r="P91" i="3"/>
  <c r="P59" i="3"/>
  <c r="P27" i="3"/>
  <c r="P121" i="3"/>
  <c r="P35" i="3"/>
  <c r="P13" i="3"/>
  <c r="P113" i="3"/>
  <c r="P25" i="3"/>
  <c r="P145" i="3"/>
  <c r="P99" i="3"/>
  <c r="P17" i="3"/>
  <c r="P131" i="3"/>
  <c r="P177" i="3"/>
  <c r="P89" i="3"/>
  <c r="P163" i="3"/>
  <c r="P81" i="3"/>
  <c r="P153" i="3"/>
  <c r="P67" i="3"/>
  <c r="P57" i="3"/>
  <c r="P49" i="3"/>
  <c r="D177" i="3"/>
  <c r="D169" i="3"/>
  <c r="D161" i="3"/>
  <c r="D153" i="3"/>
  <c r="D145" i="3"/>
  <c r="D137" i="3"/>
  <c r="D129" i="3"/>
  <c r="D121" i="3"/>
  <c r="D113" i="3"/>
  <c r="D105" i="3"/>
  <c r="D97" i="3"/>
  <c r="D89" i="3"/>
  <c r="D81" i="3"/>
  <c r="D73" i="3"/>
  <c r="D65" i="3"/>
  <c r="D57" i="3"/>
  <c r="D49" i="3"/>
  <c r="D41" i="3"/>
  <c r="D33" i="3"/>
  <c r="D25" i="3"/>
  <c r="D17" i="3"/>
  <c r="D175" i="3"/>
  <c r="D167" i="3"/>
  <c r="D159" i="3"/>
  <c r="D151" i="3"/>
  <c r="D143" i="3"/>
  <c r="D135" i="3"/>
  <c r="D127" i="3"/>
  <c r="D119" i="3"/>
  <c r="D111" i="3"/>
  <c r="D103" i="3"/>
  <c r="D95" i="3"/>
  <c r="D87" i="3"/>
  <c r="D79" i="3"/>
  <c r="D71" i="3"/>
  <c r="D63" i="3"/>
  <c r="D55" i="3"/>
  <c r="D47" i="3"/>
  <c r="D39" i="3"/>
  <c r="D31" i="3"/>
  <c r="D23" i="3"/>
  <c r="D15" i="3"/>
  <c r="D13" i="3"/>
  <c r="D174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70" i="3"/>
  <c r="D62" i="3"/>
  <c r="D54" i="3"/>
  <c r="D46" i="3"/>
  <c r="D38" i="3"/>
  <c r="D30" i="3"/>
  <c r="D22" i="3"/>
  <c r="D14" i="3"/>
  <c r="D171" i="3"/>
  <c r="D163" i="3"/>
  <c r="D155" i="3"/>
  <c r="D147" i="3"/>
  <c r="D139" i="3"/>
  <c r="D131" i="3"/>
  <c r="D123" i="3"/>
  <c r="D115" i="3"/>
  <c r="D107" i="3"/>
  <c r="D99" i="3"/>
  <c r="D91" i="3"/>
  <c r="D83" i="3"/>
  <c r="D75" i="3"/>
  <c r="D67" i="3"/>
  <c r="D59" i="3"/>
  <c r="D51" i="3"/>
  <c r="D43" i="3"/>
  <c r="D35" i="3"/>
  <c r="D27" i="3"/>
  <c r="D19" i="3"/>
  <c r="D170" i="3"/>
  <c r="D154" i="3"/>
  <c r="D138" i="3"/>
  <c r="D122" i="3"/>
  <c r="D106" i="3"/>
  <c r="D90" i="3"/>
  <c r="D74" i="3"/>
  <c r="D58" i="3"/>
  <c r="D42" i="3"/>
  <c r="D26" i="3"/>
  <c r="D21" i="3"/>
  <c r="D82" i="3"/>
  <c r="D80" i="3"/>
  <c r="D157" i="3"/>
  <c r="D109" i="3"/>
  <c r="D29" i="3"/>
  <c r="D172" i="3"/>
  <c r="D60" i="3"/>
  <c r="D168" i="3"/>
  <c r="D152" i="3"/>
  <c r="D136" i="3"/>
  <c r="D120" i="3"/>
  <c r="D104" i="3"/>
  <c r="D88" i="3"/>
  <c r="D72" i="3"/>
  <c r="D56" i="3"/>
  <c r="D40" i="3"/>
  <c r="D24" i="3"/>
  <c r="D98" i="3"/>
  <c r="D96" i="3"/>
  <c r="D16" i="3"/>
  <c r="D173" i="3"/>
  <c r="D93" i="3"/>
  <c r="D156" i="3"/>
  <c r="D124" i="3"/>
  <c r="D44" i="3"/>
  <c r="D165" i="3"/>
  <c r="D149" i="3"/>
  <c r="D133" i="3"/>
  <c r="D117" i="3"/>
  <c r="D101" i="3"/>
  <c r="D85" i="3"/>
  <c r="D69" i="3"/>
  <c r="D53" i="3"/>
  <c r="D37" i="3"/>
  <c r="D50" i="3"/>
  <c r="D48" i="3"/>
  <c r="D77" i="3"/>
  <c r="D92" i="3"/>
  <c r="D164" i="3"/>
  <c r="D148" i="3"/>
  <c r="D132" i="3"/>
  <c r="D116" i="3"/>
  <c r="D100" i="3"/>
  <c r="D84" i="3"/>
  <c r="D68" i="3"/>
  <c r="D52" i="3"/>
  <c r="D36" i="3"/>
  <c r="D20" i="3"/>
  <c r="D114" i="3"/>
  <c r="D128" i="3"/>
  <c r="D141" i="3"/>
  <c r="D45" i="3"/>
  <c r="D76" i="3"/>
  <c r="D178" i="3"/>
  <c r="D162" i="3"/>
  <c r="D146" i="3"/>
  <c r="D130" i="3"/>
  <c r="D66" i="3"/>
  <c r="D34" i="3"/>
  <c r="D18" i="3"/>
  <c r="D112" i="3"/>
  <c r="D32" i="3"/>
  <c r="D125" i="3"/>
  <c r="D140" i="3"/>
  <c r="D108" i="3"/>
  <c r="D28" i="3"/>
  <c r="D176" i="3"/>
  <c r="D160" i="3"/>
  <c r="D144" i="3"/>
  <c r="D64" i="3"/>
  <c r="D61" i="3"/>
  <c r="V176" i="3"/>
  <c r="V168" i="3"/>
  <c r="V160" i="3"/>
  <c r="V152" i="3"/>
  <c r="V144" i="3"/>
  <c r="V136" i="3"/>
  <c r="V128" i="3"/>
  <c r="V120" i="3"/>
  <c r="V112" i="3"/>
  <c r="V104" i="3"/>
  <c r="V96" i="3"/>
  <c r="V88" i="3"/>
  <c r="V80" i="3"/>
  <c r="V72" i="3"/>
  <c r="V64" i="3"/>
  <c r="V56" i="3"/>
  <c r="V48" i="3"/>
  <c r="V40" i="3"/>
  <c r="V32" i="3"/>
  <c r="V24" i="3"/>
  <c r="V16" i="3"/>
  <c r="V175" i="3"/>
  <c r="V167" i="3"/>
  <c r="V159" i="3"/>
  <c r="V151" i="3"/>
  <c r="V143" i="3"/>
  <c r="V135" i="3"/>
  <c r="V127" i="3"/>
  <c r="V119" i="3"/>
  <c r="V111" i="3"/>
  <c r="V103" i="3"/>
  <c r="V95" i="3"/>
  <c r="V87" i="3"/>
  <c r="V79" i="3"/>
  <c r="V71" i="3"/>
  <c r="V63" i="3"/>
  <c r="V55" i="3"/>
  <c r="V47" i="3"/>
  <c r="V39" i="3"/>
  <c r="V31" i="3"/>
  <c r="V23" i="3"/>
  <c r="V15" i="3"/>
  <c r="V174" i="3"/>
  <c r="V166" i="3"/>
  <c r="V158" i="3"/>
  <c r="V150" i="3"/>
  <c r="V142" i="3"/>
  <c r="V134" i="3"/>
  <c r="V126" i="3"/>
  <c r="V118" i="3"/>
  <c r="V110" i="3"/>
  <c r="V102" i="3"/>
  <c r="V94" i="3"/>
  <c r="V86" i="3"/>
  <c r="V78" i="3"/>
  <c r="V70" i="3"/>
  <c r="V62" i="3"/>
  <c r="V54" i="3"/>
  <c r="V46" i="3"/>
  <c r="V38" i="3"/>
  <c r="V30" i="3"/>
  <c r="V22" i="3"/>
  <c r="V14" i="3"/>
  <c r="V173" i="3"/>
  <c r="V165" i="3"/>
  <c r="V157" i="3"/>
  <c r="V149" i="3"/>
  <c r="V141" i="3"/>
  <c r="V133" i="3"/>
  <c r="V125" i="3"/>
  <c r="V117" i="3"/>
  <c r="V109" i="3"/>
  <c r="V101" i="3"/>
  <c r="V93" i="3"/>
  <c r="V85" i="3"/>
  <c r="V77" i="3"/>
  <c r="V69" i="3"/>
  <c r="V61" i="3"/>
  <c r="V53" i="3"/>
  <c r="V45" i="3"/>
  <c r="V37" i="3"/>
  <c r="V29" i="3"/>
  <c r="V21" i="3"/>
  <c r="V172" i="3"/>
  <c r="V164" i="3"/>
  <c r="V156" i="3"/>
  <c r="V148" i="3"/>
  <c r="V140" i="3"/>
  <c r="V132" i="3"/>
  <c r="V124" i="3"/>
  <c r="V116" i="3"/>
  <c r="V108" i="3"/>
  <c r="V100" i="3"/>
  <c r="V92" i="3"/>
  <c r="V84" i="3"/>
  <c r="V76" i="3"/>
  <c r="V68" i="3"/>
  <c r="V60" i="3"/>
  <c r="V52" i="3"/>
  <c r="V44" i="3"/>
  <c r="V36" i="3"/>
  <c r="V28" i="3"/>
  <c r="V20" i="3"/>
  <c r="V178" i="3"/>
  <c r="V170" i="3"/>
  <c r="V162" i="3"/>
  <c r="V154" i="3"/>
  <c r="V146" i="3"/>
  <c r="V138" i="3"/>
  <c r="V130" i="3"/>
  <c r="V122" i="3"/>
  <c r="V114" i="3"/>
  <c r="V106" i="3"/>
  <c r="V98" i="3"/>
  <c r="V90" i="3"/>
  <c r="V82" i="3"/>
  <c r="V74" i="3"/>
  <c r="V66" i="3"/>
  <c r="V147" i="3"/>
  <c r="V115" i="3"/>
  <c r="V83" i="3"/>
  <c r="V57" i="3"/>
  <c r="V34" i="3"/>
  <c r="V177" i="3"/>
  <c r="V145" i="3"/>
  <c r="V113" i="3"/>
  <c r="V81" i="3"/>
  <c r="V51" i="3"/>
  <c r="V33" i="3"/>
  <c r="V171" i="3"/>
  <c r="V139" i="3"/>
  <c r="V107" i="3"/>
  <c r="V75" i="3"/>
  <c r="V50" i="3"/>
  <c r="V27" i="3"/>
  <c r="V169" i="3"/>
  <c r="V137" i="3"/>
  <c r="V105" i="3"/>
  <c r="V73" i="3"/>
  <c r="V49" i="3"/>
  <c r="V26" i="3"/>
  <c r="V163" i="3"/>
  <c r="V131" i="3"/>
  <c r="V99" i="3"/>
  <c r="V67" i="3"/>
  <c r="V43" i="3"/>
  <c r="V25" i="3"/>
  <c r="V155" i="3"/>
  <c r="V123" i="3"/>
  <c r="V91" i="3"/>
  <c r="V59" i="3"/>
  <c r="V41" i="3"/>
  <c r="V18" i="3"/>
  <c r="V161" i="3"/>
  <c r="V42" i="3"/>
  <c r="V153" i="3"/>
  <c r="V35" i="3"/>
  <c r="V129" i="3"/>
  <c r="V19" i="3"/>
  <c r="V97" i="3"/>
  <c r="V121" i="3"/>
  <c r="V17" i="3"/>
  <c r="V89" i="3"/>
  <c r="V65" i="3"/>
  <c r="V58" i="3"/>
  <c r="V13" i="3"/>
  <c r="AO177" i="3"/>
  <c r="AO169" i="3"/>
  <c r="AO161" i="3"/>
  <c r="AO153" i="3"/>
  <c r="AO145" i="3"/>
  <c r="AO137" i="3"/>
  <c r="AO129" i="3"/>
  <c r="AO121" i="3"/>
  <c r="AO113" i="3"/>
  <c r="AO105" i="3"/>
  <c r="AO97" i="3"/>
  <c r="AO89" i="3"/>
  <c r="AO81" i="3"/>
  <c r="AO73" i="3"/>
  <c r="AO65" i="3"/>
  <c r="AO57" i="3"/>
  <c r="AO49" i="3"/>
  <c r="AO41" i="3"/>
  <c r="AO33" i="3"/>
  <c r="AO25" i="3"/>
  <c r="AO17" i="3"/>
  <c r="AO176" i="3"/>
  <c r="AO168" i="3"/>
  <c r="AO160" i="3"/>
  <c r="AO152" i="3"/>
  <c r="AO144" i="3"/>
  <c r="AO136" i="3"/>
  <c r="AO128" i="3"/>
  <c r="AO120" i="3"/>
  <c r="AO112" i="3"/>
  <c r="AO104" i="3"/>
  <c r="AO96" i="3"/>
  <c r="AO88" i="3"/>
  <c r="AO80" i="3"/>
  <c r="AO72" i="3"/>
  <c r="AO64" i="3"/>
  <c r="AO56" i="3"/>
  <c r="AO48" i="3"/>
  <c r="AO40" i="3"/>
  <c r="AO32" i="3"/>
  <c r="AO24" i="3"/>
  <c r="AO16" i="3"/>
  <c r="AO175" i="3"/>
  <c r="AO167" i="3"/>
  <c r="AO159" i="3"/>
  <c r="AO151" i="3"/>
  <c r="AO143" i="3"/>
  <c r="AO135" i="3"/>
  <c r="AO127" i="3"/>
  <c r="AO119" i="3"/>
  <c r="AO111" i="3"/>
  <c r="AO103" i="3"/>
  <c r="AO95" i="3"/>
  <c r="AO87" i="3"/>
  <c r="AO79" i="3"/>
  <c r="AO71" i="3"/>
  <c r="AO63" i="3"/>
  <c r="AO55" i="3"/>
  <c r="AO47" i="3"/>
  <c r="AO39" i="3"/>
  <c r="AO31" i="3"/>
  <c r="AO23" i="3"/>
  <c r="AO15" i="3"/>
  <c r="AO174" i="3"/>
  <c r="AO166" i="3"/>
  <c r="AO158" i="3"/>
  <c r="AO150" i="3"/>
  <c r="AO142" i="3"/>
  <c r="AO134" i="3"/>
  <c r="AO126" i="3"/>
  <c r="AO118" i="3"/>
  <c r="AO110" i="3"/>
  <c r="AO102" i="3"/>
  <c r="AO94" i="3"/>
  <c r="AO86" i="3"/>
  <c r="AO78" i="3"/>
  <c r="AO70" i="3"/>
  <c r="AO173" i="3"/>
  <c r="AO165" i="3"/>
  <c r="AO157" i="3"/>
  <c r="AO149" i="3"/>
  <c r="AO141" i="3"/>
  <c r="AO133" i="3"/>
  <c r="AO125" i="3"/>
  <c r="AO117" i="3"/>
  <c r="AO109" i="3"/>
  <c r="AO101" i="3"/>
  <c r="AO93" i="3"/>
  <c r="AO85" i="3"/>
  <c r="AO77" i="3"/>
  <c r="AO69" i="3"/>
  <c r="AO61" i="3"/>
  <c r="AO53" i="3"/>
  <c r="AO45" i="3"/>
  <c r="AO37" i="3"/>
  <c r="AO29" i="3"/>
  <c r="AO21" i="3"/>
  <c r="AO178" i="3"/>
  <c r="AO155" i="3"/>
  <c r="AO132" i="3"/>
  <c r="AO114" i="3"/>
  <c r="AO91" i="3"/>
  <c r="AO68" i="3"/>
  <c r="AO52" i="3"/>
  <c r="AO36" i="3"/>
  <c r="AO20" i="3"/>
  <c r="AO172" i="3"/>
  <c r="AO154" i="3"/>
  <c r="AO131" i="3"/>
  <c r="AO108" i="3"/>
  <c r="AO90" i="3"/>
  <c r="AO67" i="3"/>
  <c r="AO51" i="3"/>
  <c r="AO35" i="3"/>
  <c r="AO19" i="3"/>
  <c r="AO171" i="3"/>
  <c r="AO148" i="3"/>
  <c r="AO130" i="3"/>
  <c r="AO107" i="3"/>
  <c r="AO84" i="3"/>
  <c r="AO66" i="3"/>
  <c r="AO50" i="3"/>
  <c r="AO34" i="3"/>
  <c r="AO18" i="3"/>
  <c r="AO170" i="3"/>
  <c r="AO147" i="3"/>
  <c r="AO124" i="3"/>
  <c r="AO106" i="3"/>
  <c r="AO83" i="3"/>
  <c r="AO62" i="3"/>
  <c r="AO46" i="3"/>
  <c r="AO30" i="3"/>
  <c r="AO14" i="3"/>
  <c r="AO164" i="3"/>
  <c r="AO146" i="3"/>
  <c r="AO123" i="3"/>
  <c r="AO100" i="3"/>
  <c r="AO82" i="3"/>
  <c r="AO60" i="3"/>
  <c r="AO44" i="3"/>
  <c r="AO28" i="3"/>
  <c r="AO162" i="3"/>
  <c r="AO139" i="3"/>
  <c r="AO116" i="3"/>
  <c r="AO98" i="3"/>
  <c r="AO75" i="3"/>
  <c r="AO58" i="3"/>
  <c r="AO42" i="3"/>
  <c r="AO26" i="3"/>
  <c r="AO122" i="3"/>
  <c r="AO43" i="3"/>
  <c r="AO115" i="3"/>
  <c r="AO38" i="3"/>
  <c r="AO99" i="3"/>
  <c r="AO27" i="3"/>
  <c r="AO92" i="3"/>
  <c r="AO22" i="3"/>
  <c r="AO140" i="3"/>
  <c r="AO59" i="3"/>
  <c r="AO76" i="3"/>
  <c r="AO74" i="3"/>
  <c r="AO54" i="3"/>
  <c r="AO156" i="3"/>
  <c r="AO163" i="3"/>
  <c r="AO138" i="3"/>
  <c r="AO13" i="3"/>
  <c r="AX176" i="3"/>
  <c r="AX168" i="3"/>
  <c r="AX160" i="3"/>
  <c r="AX152" i="3"/>
  <c r="AX144" i="3"/>
  <c r="AX136" i="3"/>
  <c r="AX128" i="3"/>
  <c r="AX120" i="3"/>
  <c r="AX112" i="3"/>
  <c r="AX104" i="3"/>
  <c r="AX96" i="3"/>
  <c r="AX88" i="3"/>
  <c r="AX80" i="3"/>
  <c r="AX72" i="3"/>
  <c r="AX64" i="3"/>
  <c r="AX56" i="3"/>
  <c r="AX48" i="3"/>
  <c r="AX40" i="3"/>
  <c r="AX32" i="3"/>
  <c r="AX24" i="3"/>
  <c r="AX16" i="3"/>
  <c r="AX175" i="3"/>
  <c r="AX167" i="3"/>
  <c r="AX159" i="3"/>
  <c r="AX151" i="3"/>
  <c r="AX143" i="3"/>
  <c r="AX135" i="3"/>
  <c r="AX127" i="3"/>
  <c r="AX119" i="3"/>
  <c r="AX111" i="3"/>
  <c r="AX103" i="3"/>
  <c r="AX95" i="3"/>
  <c r="AX87" i="3"/>
  <c r="AX79" i="3"/>
  <c r="AX71" i="3"/>
  <c r="AX63" i="3"/>
  <c r="AX55" i="3"/>
  <c r="AX47" i="3"/>
  <c r="AX39" i="3"/>
  <c r="AX31" i="3"/>
  <c r="AX23" i="3"/>
  <c r="AX15" i="3"/>
  <c r="AX172" i="3"/>
  <c r="AX164" i="3"/>
  <c r="AX156" i="3"/>
  <c r="AX148" i="3"/>
  <c r="AX140" i="3"/>
  <c r="AX132" i="3"/>
  <c r="AX124" i="3"/>
  <c r="AX116" i="3"/>
  <c r="AX108" i="3"/>
  <c r="AX100" i="3"/>
  <c r="AX92" i="3"/>
  <c r="AX84" i="3"/>
  <c r="AX76" i="3"/>
  <c r="AX68" i="3"/>
  <c r="AX60" i="3"/>
  <c r="AX52" i="3"/>
  <c r="AX44" i="3"/>
  <c r="AX36" i="3"/>
  <c r="AX28" i="3"/>
  <c r="AX20" i="3"/>
  <c r="AX178" i="3"/>
  <c r="AX170" i="3"/>
  <c r="AX162" i="3"/>
  <c r="AX154" i="3"/>
  <c r="AX146" i="3"/>
  <c r="AX138" i="3"/>
  <c r="AX130" i="3"/>
  <c r="AX177" i="3"/>
  <c r="AX169" i="3"/>
  <c r="AX161" i="3"/>
  <c r="AX153" i="3"/>
  <c r="AX145" i="3"/>
  <c r="AX137" i="3"/>
  <c r="AX129" i="3"/>
  <c r="AX121" i="3"/>
  <c r="AX113" i="3"/>
  <c r="AX105" i="3"/>
  <c r="AX97" i="3"/>
  <c r="AX89" i="3"/>
  <c r="AX81" i="3"/>
  <c r="AX73" i="3"/>
  <c r="AX65" i="3"/>
  <c r="AX57" i="3"/>
  <c r="AX49" i="3"/>
  <c r="AX41" i="3"/>
  <c r="AX33" i="3"/>
  <c r="AX25" i="3"/>
  <c r="AX17" i="3"/>
  <c r="AX157" i="3"/>
  <c r="AX134" i="3"/>
  <c r="AX117" i="3"/>
  <c r="AX101" i="3"/>
  <c r="AX85" i="3"/>
  <c r="AX69" i="3"/>
  <c r="AX53" i="3"/>
  <c r="AX37" i="3"/>
  <c r="AX21" i="3"/>
  <c r="AX174" i="3"/>
  <c r="AX155" i="3"/>
  <c r="AX133" i="3"/>
  <c r="AX115" i="3"/>
  <c r="AX99" i="3"/>
  <c r="AX83" i="3"/>
  <c r="AX67" i="3"/>
  <c r="AX51" i="3"/>
  <c r="AX35" i="3"/>
  <c r="AX19" i="3"/>
  <c r="AX173" i="3"/>
  <c r="AX150" i="3"/>
  <c r="AX131" i="3"/>
  <c r="AX114" i="3"/>
  <c r="AX98" i="3"/>
  <c r="AX82" i="3"/>
  <c r="AX66" i="3"/>
  <c r="AX50" i="3"/>
  <c r="AX34" i="3"/>
  <c r="AX18" i="3"/>
  <c r="AX166" i="3"/>
  <c r="AX147" i="3"/>
  <c r="AX125" i="3"/>
  <c r="AX109" i="3"/>
  <c r="AX93" i="3"/>
  <c r="AX77" i="3"/>
  <c r="AX61" i="3"/>
  <c r="AX45" i="3"/>
  <c r="AX29" i="3"/>
  <c r="AX165" i="3"/>
  <c r="AX142" i="3"/>
  <c r="AX123" i="3"/>
  <c r="AX107" i="3"/>
  <c r="AX91" i="3"/>
  <c r="AX75" i="3"/>
  <c r="AX59" i="3"/>
  <c r="AX43" i="3"/>
  <c r="AX27" i="3"/>
  <c r="AX158" i="3"/>
  <c r="AX106" i="3"/>
  <c r="AX62" i="3"/>
  <c r="AX22" i="3"/>
  <c r="AX149" i="3"/>
  <c r="AX102" i="3"/>
  <c r="AX58" i="3"/>
  <c r="AX14" i="3"/>
  <c r="AX141" i="3"/>
  <c r="AX94" i="3"/>
  <c r="AX54" i="3"/>
  <c r="AX139" i="3"/>
  <c r="AX90" i="3"/>
  <c r="AX46" i="3"/>
  <c r="AX126" i="3"/>
  <c r="AX86" i="3"/>
  <c r="AX42" i="3"/>
  <c r="AX171" i="3"/>
  <c r="AX122" i="3"/>
  <c r="AX26" i="3"/>
  <c r="AX118" i="3"/>
  <c r="AX110" i="3"/>
  <c r="AX78" i="3"/>
  <c r="AX74" i="3"/>
  <c r="AX38" i="3"/>
  <c r="AX163" i="3"/>
  <c r="AX70" i="3"/>
  <c r="AX30" i="3"/>
  <c r="AX13" i="3"/>
  <c r="O3" i="1"/>
  <c r="P3" i="1"/>
  <c r="M8" i="10" l="1"/>
  <c r="M7" i="10"/>
  <c r="Z7" i="10"/>
  <c r="Z8" i="10"/>
  <c r="Z9" i="10" s="1"/>
  <c r="AI9" i="10"/>
  <c r="R7" i="10"/>
  <c r="R8" i="10"/>
  <c r="R9" i="10" s="1"/>
  <c r="O8" i="10"/>
  <c r="O9" i="10" s="1"/>
  <c r="O7" i="10"/>
  <c r="AN9" i="10"/>
  <c r="AY16" i="10"/>
  <c r="AY47" i="10"/>
  <c r="AY25" i="10"/>
  <c r="AY29" i="10"/>
  <c r="AY32" i="10"/>
  <c r="AY46" i="10"/>
  <c r="AY67" i="10"/>
  <c r="AY58" i="10"/>
  <c r="AY86" i="10"/>
  <c r="AY84" i="10"/>
  <c r="AY103" i="10"/>
  <c r="AY88" i="10"/>
  <c r="AY114" i="10"/>
  <c r="AY110" i="10"/>
  <c r="AY134" i="10"/>
  <c r="AY113" i="10"/>
  <c r="AY125" i="10"/>
  <c r="AY154" i="10"/>
  <c r="AY158" i="10"/>
  <c r="AY168" i="10"/>
  <c r="AY167" i="10"/>
  <c r="Q7" i="10"/>
  <c r="Q8" i="10"/>
  <c r="Q9" i="10" s="1"/>
  <c r="AT8" i="10"/>
  <c r="AT7" i="10"/>
  <c r="AW7" i="10"/>
  <c r="AW8" i="10"/>
  <c r="AY19" i="10"/>
  <c r="AY80" i="10"/>
  <c r="AY60" i="10"/>
  <c r="AY27" i="10"/>
  <c r="AY40" i="10"/>
  <c r="AY54" i="10"/>
  <c r="AY70" i="10"/>
  <c r="AY63" i="10"/>
  <c r="AY94" i="10"/>
  <c r="AY89" i="10"/>
  <c r="AY109" i="10"/>
  <c r="AY96" i="10"/>
  <c r="AY104" i="10"/>
  <c r="AY144" i="10"/>
  <c r="AY135" i="10"/>
  <c r="AY121" i="10"/>
  <c r="AY133" i="10"/>
  <c r="AY153" i="10"/>
  <c r="AY176" i="10"/>
  <c r="AY162" i="10"/>
  <c r="AY175" i="10"/>
  <c r="D8" i="10"/>
  <c r="D9" i="10" s="1"/>
  <c r="D7" i="10"/>
  <c r="AD8" i="10"/>
  <c r="AD7" i="10"/>
  <c r="T8" i="10"/>
  <c r="T7" i="10"/>
  <c r="AH7" i="10"/>
  <c r="AH8" i="10"/>
  <c r="AH9" i="10" s="1"/>
  <c r="AK8" i="10"/>
  <c r="AK9" i="10" s="1"/>
  <c r="AK7" i="10"/>
  <c r="F8" i="10"/>
  <c r="F9" i="10" s="1"/>
  <c r="F7" i="10"/>
  <c r="AY24" i="10"/>
  <c r="AY31" i="10"/>
  <c r="AY20" i="10"/>
  <c r="AY36" i="10"/>
  <c r="AY48" i="10"/>
  <c r="AY33" i="10"/>
  <c r="AY73" i="10"/>
  <c r="AY106" i="10"/>
  <c r="AY100" i="10"/>
  <c r="AY92" i="10"/>
  <c r="AY82" i="10"/>
  <c r="AY91" i="10"/>
  <c r="AY112" i="10"/>
  <c r="AY137" i="10"/>
  <c r="AY118" i="10"/>
  <c r="AY124" i="10"/>
  <c r="AY142" i="10"/>
  <c r="AY159" i="10"/>
  <c r="AY156" i="10"/>
  <c r="AY170" i="10"/>
  <c r="J7" i="10"/>
  <c r="J8" i="10"/>
  <c r="J9" i="10" s="1"/>
  <c r="AO7" i="10"/>
  <c r="AO8" i="10"/>
  <c r="AB8" i="10"/>
  <c r="AB9" i="10" s="1"/>
  <c r="AB7" i="10"/>
  <c r="I7" i="10"/>
  <c r="I8" i="10"/>
  <c r="I9" i="10" s="1"/>
  <c r="AY34" i="10"/>
  <c r="AY35" i="10"/>
  <c r="AZ35" i="10" s="1"/>
  <c r="AY28" i="10"/>
  <c r="AY39" i="10"/>
  <c r="AY56" i="10"/>
  <c r="AY41" i="10"/>
  <c r="AZ41" i="10" s="1"/>
  <c r="AY62" i="10"/>
  <c r="AZ62" i="10" s="1"/>
  <c r="AY66" i="10"/>
  <c r="AZ66" i="10" s="1"/>
  <c r="AY64" i="10"/>
  <c r="AY93" i="10"/>
  <c r="AZ93" i="10" s="1"/>
  <c r="AY128" i="10"/>
  <c r="AY99" i="10"/>
  <c r="AY141" i="10"/>
  <c r="AY117" i="10"/>
  <c r="AZ117" i="10" s="1"/>
  <c r="AY122" i="10"/>
  <c r="AZ122" i="10" s="1"/>
  <c r="AY138" i="10"/>
  <c r="AZ138" i="10" s="1"/>
  <c r="AY149" i="10"/>
  <c r="AY151" i="10"/>
  <c r="AZ151" i="10" s="1"/>
  <c r="AY161" i="10"/>
  <c r="AY178" i="10"/>
  <c r="N8" i="10"/>
  <c r="N7" i="10"/>
  <c r="AG7" i="10"/>
  <c r="AG8" i="10"/>
  <c r="Y7" i="10"/>
  <c r="Y8" i="10"/>
  <c r="Y9" i="10" s="1"/>
  <c r="AM8" i="10"/>
  <c r="AM7" i="10"/>
  <c r="AC8" i="10"/>
  <c r="AC9" i="10" s="1"/>
  <c r="AC7" i="10"/>
  <c r="AY44" i="10"/>
  <c r="AZ44" i="10" s="1"/>
  <c r="AY21" i="10"/>
  <c r="AY37" i="10"/>
  <c r="AZ37" i="10" s="1"/>
  <c r="AY52" i="10"/>
  <c r="AZ52" i="10" s="1"/>
  <c r="AY42" i="10"/>
  <c r="AZ42" i="10" s="1"/>
  <c r="AY51" i="10"/>
  <c r="AY49" i="10"/>
  <c r="AZ49" i="10" s="1"/>
  <c r="AY65" i="10"/>
  <c r="AZ65" i="10" s="1"/>
  <c r="AY74" i="10"/>
  <c r="AZ74" i="10" s="1"/>
  <c r="AY72" i="10"/>
  <c r="AY95" i="10"/>
  <c r="AZ95" i="10" s="1"/>
  <c r="AY108" i="10"/>
  <c r="AZ108" i="10" s="1"/>
  <c r="AY115" i="10"/>
  <c r="AZ115" i="10" s="1"/>
  <c r="AY107" i="10"/>
  <c r="AY123" i="10"/>
  <c r="AZ123" i="10" s="1"/>
  <c r="AY126" i="10"/>
  <c r="AZ126" i="10" s="1"/>
  <c r="AY143" i="10"/>
  <c r="AZ143" i="10" s="1"/>
  <c r="AY152" i="10"/>
  <c r="AY146" i="10"/>
  <c r="AZ146" i="10" s="1"/>
  <c r="AY163" i="10"/>
  <c r="AZ163" i="10" s="1"/>
  <c r="AY171" i="10"/>
  <c r="AZ171" i="10" s="1"/>
  <c r="AE8" i="10"/>
  <c r="AE7" i="10"/>
  <c r="AU8" i="10"/>
  <c r="AU7" i="10"/>
  <c r="AS8" i="10"/>
  <c r="AS9" i="10" s="1"/>
  <c r="AS7" i="10"/>
  <c r="G8" i="10"/>
  <c r="G9" i="10" s="1"/>
  <c r="G7" i="10"/>
  <c r="AY50" i="10"/>
  <c r="AY14" i="10"/>
  <c r="AZ14" i="10" s="1"/>
  <c r="AY55" i="10"/>
  <c r="AZ55" i="10" s="1"/>
  <c r="AY78" i="10"/>
  <c r="AZ78" i="10" s="1"/>
  <c r="AY43" i="10"/>
  <c r="AY59" i="10"/>
  <c r="AZ59" i="10" s="1"/>
  <c r="AY57" i="10"/>
  <c r="AZ57" i="10" s="1"/>
  <c r="AY68" i="10"/>
  <c r="AZ68" i="10" s="1"/>
  <c r="AY81" i="10"/>
  <c r="AY79" i="10"/>
  <c r="AZ79" i="10" s="1"/>
  <c r="AY105" i="10"/>
  <c r="AZ105" i="10" s="1"/>
  <c r="AY116" i="10"/>
  <c r="AZ116" i="10" s="1"/>
  <c r="AY119" i="10"/>
  <c r="AY139" i="10"/>
  <c r="AZ139" i="10" s="1"/>
  <c r="AY120" i="10"/>
  <c r="AZ120" i="10" s="1"/>
  <c r="AY127" i="10"/>
  <c r="AZ127" i="10" s="1"/>
  <c r="AY132" i="10"/>
  <c r="AY147" i="10"/>
  <c r="AZ147" i="10" s="1"/>
  <c r="AY155" i="10"/>
  <c r="AZ155" i="10" s="1"/>
  <c r="AY166" i="10"/>
  <c r="AZ166" i="10" s="1"/>
  <c r="AY169" i="10"/>
  <c r="L8" i="10"/>
  <c r="L7" i="10"/>
  <c r="S9" i="10"/>
  <c r="V8" i="10"/>
  <c r="V9" i="10" s="1"/>
  <c r="V7" i="10"/>
  <c r="AJ8" i="10"/>
  <c r="AJ9" i="10" s="1"/>
  <c r="AJ7" i="10"/>
  <c r="P9" i="10"/>
  <c r="W8" i="10"/>
  <c r="W7" i="10"/>
  <c r="AY53" i="10"/>
  <c r="AZ53" i="10" s="1"/>
  <c r="AY18" i="10"/>
  <c r="AY26" i="10"/>
  <c r="AZ26" i="10" s="1"/>
  <c r="AY15" i="10"/>
  <c r="AZ15" i="10" s="1"/>
  <c r="AY45" i="10"/>
  <c r="AZ45" i="10" s="1"/>
  <c r="AY30" i="10"/>
  <c r="AY75" i="10"/>
  <c r="AZ75" i="10" s="1"/>
  <c r="AY71" i="10"/>
  <c r="AZ71" i="10" s="1"/>
  <c r="AY61" i="10"/>
  <c r="AZ61" i="10" s="1"/>
  <c r="AY85" i="10"/>
  <c r="AY111" i="10"/>
  <c r="AZ111" i="10" s="1"/>
  <c r="AY90" i="10"/>
  <c r="AZ90" i="10" s="1"/>
  <c r="AY131" i="10"/>
  <c r="AZ131" i="10" s="1"/>
  <c r="AY157" i="10"/>
  <c r="AY136" i="10"/>
  <c r="AZ136" i="10" s="1"/>
  <c r="AY129" i="10"/>
  <c r="AZ129" i="10" s="1"/>
  <c r="AY150" i="10"/>
  <c r="AZ150" i="10" s="1"/>
  <c r="AY140" i="10"/>
  <c r="AY174" i="10"/>
  <c r="AZ174" i="10" s="1"/>
  <c r="AY173" i="10"/>
  <c r="AZ173" i="10" s="1"/>
  <c r="AY177" i="10"/>
  <c r="AZ177" i="10" s="1"/>
  <c r="U8" i="10"/>
  <c r="U7" i="10"/>
  <c r="AL8" i="10"/>
  <c r="AL7" i="10"/>
  <c r="AP7" i="10"/>
  <c r="AP8" i="10"/>
  <c r="E8" i="10"/>
  <c r="E9" i="10" s="1"/>
  <c r="E7" i="10"/>
  <c r="AR8" i="10"/>
  <c r="AR9" i="10" s="1"/>
  <c r="AR7" i="10"/>
  <c r="B7" i="10"/>
  <c r="AY13" i="10"/>
  <c r="AZ13" i="10" s="1"/>
  <c r="B8" i="10"/>
  <c r="B9" i="10" s="1"/>
  <c r="AY22" i="10"/>
  <c r="AZ22" i="10" s="1"/>
  <c r="AY17" i="10"/>
  <c r="AZ17" i="10" s="1"/>
  <c r="AY23" i="10"/>
  <c r="AZ23" i="10" s="1"/>
  <c r="AY77" i="10"/>
  <c r="AZ77" i="10" s="1"/>
  <c r="AY38" i="10"/>
  <c r="AZ38" i="10" s="1"/>
  <c r="AY83" i="10"/>
  <c r="AZ83" i="10" s="1"/>
  <c r="AY97" i="10"/>
  <c r="AZ97" i="10" s="1"/>
  <c r="AY69" i="10"/>
  <c r="AZ69" i="10" s="1"/>
  <c r="AY76" i="10"/>
  <c r="AZ76" i="10" s="1"/>
  <c r="AY87" i="10"/>
  <c r="AZ87" i="10" s="1"/>
  <c r="AY98" i="10"/>
  <c r="AZ98" i="10" s="1"/>
  <c r="AY101" i="10"/>
  <c r="AZ101" i="10" s="1"/>
  <c r="AY102" i="10"/>
  <c r="AZ102" i="10" s="1"/>
  <c r="AY160" i="10"/>
  <c r="AZ160" i="10" s="1"/>
  <c r="AY145" i="10"/>
  <c r="AZ145" i="10" s="1"/>
  <c r="AY130" i="10"/>
  <c r="AZ130" i="10" s="1"/>
  <c r="AY148" i="10"/>
  <c r="AZ148" i="10" s="1"/>
  <c r="AY165" i="10"/>
  <c r="AZ165" i="10" s="1"/>
  <c r="AY164" i="10"/>
  <c r="AZ164" i="10" s="1"/>
  <c r="AY172" i="10"/>
  <c r="AZ172" i="10" s="1"/>
  <c r="E7" i="3"/>
  <c r="AA8" i="3"/>
  <c r="AI8" i="3"/>
  <c r="E8" i="3"/>
  <c r="U8" i="3"/>
  <c r="AK9" i="3"/>
  <c r="AT8" i="3"/>
  <c r="AT7" i="3"/>
  <c r="F8" i="3"/>
  <c r="F7" i="3"/>
  <c r="Z8" i="3"/>
  <c r="Z7" i="3"/>
  <c r="AN8" i="3"/>
  <c r="AN7" i="3"/>
  <c r="M8" i="3"/>
  <c r="M7" i="3"/>
  <c r="AS8" i="3"/>
  <c r="AS9" i="3" s="1"/>
  <c r="AS7" i="3"/>
  <c r="G8" i="3"/>
  <c r="G7" i="3"/>
  <c r="Q8" i="3"/>
  <c r="Q7" i="3"/>
  <c r="AJ8" i="3"/>
  <c r="AJ7" i="3"/>
  <c r="AC8" i="3"/>
  <c r="AC9" i="3" s="1"/>
  <c r="AC7" i="3"/>
  <c r="AM8" i="3"/>
  <c r="AM7" i="3"/>
  <c r="AB8" i="3"/>
  <c r="AB7" i="3"/>
  <c r="AV8" i="3"/>
  <c r="AV7" i="3"/>
  <c r="O8" i="3"/>
  <c r="O9" i="3" s="1"/>
  <c r="O7" i="3"/>
  <c r="K8" i="3"/>
  <c r="K7" i="3"/>
  <c r="I8" i="3"/>
  <c r="I7" i="3"/>
  <c r="AL8" i="3"/>
  <c r="AL7" i="3"/>
  <c r="T8" i="3"/>
  <c r="T9" i="3" s="1"/>
  <c r="T7" i="3"/>
  <c r="W8" i="3"/>
  <c r="W7" i="3"/>
  <c r="AI7" i="3"/>
  <c r="AI9" i="3" s="1"/>
  <c r="AG8" i="3"/>
  <c r="AG7" i="3"/>
  <c r="L8" i="3"/>
  <c r="L9" i="3" s="1"/>
  <c r="L7" i="3"/>
  <c r="V8" i="3"/>
  <c r="V7" i="3"/>
  <c r="AY173" i="3"/>
  <c r="AP8" i="3"/>
  <c r="AP7" i="3"/>
  <c r="AR8" i="3"/>
  <c r="AR7" i="3"/>
  <c r="S8" i="3"/>
  <c r="S7" i="3"/>
  <c r="AX8" i="3"/>
  <c r="AX9" i="3" s="1"/>
  <c r="AX7" i="3"/>
  <c r="D8" i="3"/>
  <c r="D7" i="3"/>
  <c r="AD8" i="3"/>
  <c r="AD7" i="3"/>
  <c r="AH8" i="3"/>
  <c r="AH7" i="3"/>
  <c r="Y8" i="3"/>
  <c r="Y7" i="3"/>
  <c r="B8" i="3"/>
  <c r="AO8" i="3"/>
  <c r="AO7" i="3"/>
  <c r="P8" i="3"/>
  <c r="P9" i="3" s="1"/>
  <c r="P7" i="3"/>
  <c r="H8" i="3"/>
  <c r="H7" i="3"/>
  <c r="AW8" i="3"/>
  <c r="AW7" i="3"/>
  <c r="N8" i="3"/>
  <c r="N7" i="3"/>
  <c r="AQ8" i="3"/>
  <c r="AQ7" i="3"/>
  <c r="J8" i="3"/>
  <c r="J7" i="3"/>
  <c r="AU8" i="3"/>
  <c r="AU7" i="3"/>
  <c r="AE8" i="3"/>
  <c r="AE7" i="3"/>
  <c r="AA7" i="3"/>
  <c r="AA9" i="3" s="1"/>
  <c r="U7" i="3"/>
  <c r="U9" i="3" s="1"/>
  <c r="AY174" i="3"/>
  <c r="X8" i="3"/>
  <c r="X7" i="3"/>
  <c r="R8" i="3"/>
  <c r="R7" i="3"/>
  <c r="AF8" i="3"/>
  <c r="AF7" i="3"/>
  <c r="AY13" i="3"/>
  <c r="AZ13" i="3" s="1"/>
  <c r="C8" i="3"/>
  <c r="C9" i="3" s="1"/>
  <c r="C7" i="3"/>
  <c r="K2" i="6"/>
  <c r="AY62" i="3"/>
  <c r="AY38" i="3"/>
  <c r="AY166" i="3"/>
  <c r="AY169" i="3"/>
  <c r="AZ169" i="3" s="1"/>
  <c r="AY177" i="3"/>
  <c r="AY32" i="3"/>
  <c r="AY33" i="3"/>
  <c r="AY28" i="3"/>
  <c r="AY92" i="3"/>
  <c r="AY156" i="3"/>
  <c r="AY61" i="3"/>
  <c r="AY125" i="3"/>
  <c r="AZ125" i="3" s="1"/>
  <c r="AY23" i="3"/>
  <c r="AY87" i="3"/>
  <c r="AY151" i="3"/>
  <c r="AY50" i="3"/>
  <c r="AY114" i="3"/>
  <c r="AY19" i="3"/>
  <c r="AY83" i="3"/>
  <c r="AY147" i="3"/>
  <c r="AZ147" i="3" s="1"/>
  <c r="AY121" i="3"/>
  <c r="AY89" i="3"/>
  <c r="AY22" i="3"/>
  <c r="AY24" i="3"/>
  <c r="AY30" i="3"/>
  <c r="AY54" i="3"/>
  <c r="AY56" i="3"/>
  <c r="AY36" i="3"/>
  <c r="AZ36" i="3" s="1"/>
  <c r="AY100" i="3"/>
  <c r="AY164" i="3"/>
  <c r="AY69" i="3"/>
  <c r="AY133" i="3"/>
  <c r="AY31" i="3"/>
  <c r="AY95" i="3"/>
  <c r="AY159" i="3"/>
  <c r="AY58" i="3"/>
  <c r="AZ58" i="3" s="1"/>
  <c r="AY122" i="3"/>
  <c r="AY27" i="3"/>
  <c r="AY91" i="3"/>
  <c r="AY155" i="3"/>
  <c r="AY57" i="3"/>
  <c r="AY17" i="3"/>
  <c r="AY145" i="3"/>
  <c r="AY41" i="3"/>
  <c r="AZ41" i="3" s="1"/>
  <c r="AY46" i="3"/>
  <c r="AY49" i="3"/>
  <c r="AY73" i="3"/>
  <c r="AY78" i="3"/>
  <c r="AY44" i="3"/>
  <c r="AY108" i="3"/>
  <c r="AY172" i="3"/>
  <c r="AY77" i="3"/>
  <c r="AZ77" i="3" s="1"/>
  <c r="AY141" i="3"/>
  <c r="AY39" i="3"/>
  <c r="AY103" i="3"/>
  <c r="AY167" i="3"/>
  <c r="AY66" i="3"/>
  <c r="AY130" i="3"/>
  <c r="AY35" i="3"/>
  <c r="AY99" i="3"/>
  <c r="AZ99" i="3" s="1"/>
  <c r="AY163" i="3"/>
  <c r="B7" i="3"/>
  <c r="AY16" i="3"/>
  <c r="AY80" i="3"/>
  <c r="AY40" i="3"/>
  <c r="AY64" i="3"/>
  <c r="AY65" i="3"/>
  <c r="AY72" i="3"/>
  <c r="AZ72" i="3" s="1"/>
  <c r="AY96" i="3"/>
  <c r="AY97" i="3"/>
  <c r="AZ97" i="3" s="1"/>
  <c r="AY52" i="3"/>
  <c r="AY116" i="3"/>
  <c r="AY21" i="3"/>
  <c r="AY85" i="3"/>
  <c r="AY149" i="3"/>
  <c r="AY47" i="3"/>
  <c r="AZ47" i="3" s="1"/>
  <c r="AY111" i="3"/>
  <c r="AZ111" i="3" s="1"/>
  <c r="AY178" i="3"/>
  <c r="AZ178" i="3" s="1"/>
  <c r="AY74" i="3"/>
  <c r="AY138" i="3"/>
  <c r="AY43" i="3"/>
  <c r="AY107" i="3"/>
  <c r="AY171" i="3"/>
  <c r="AY70" i="3"/>
  <c r="AZ70" i="3" s="1"/>
  <c r="AY134" i="3"/>
  <c r="AZ134" i="3" s="1"/>
  <c r="AY102" i="3"/>
  <c r="AZ102" i="3" s="1"/>
  <c r="AY86" i="3"/>
  <c r="AY88" i="3"/>
  <c r="AY94" i="3"/>
  <c r="AY118" i="3"/>
  <c r="AY120" i="3"/>
  <c r="AY60" i="3"/>
  <c r="AZ60" i="3" s="1"/>
  <c r="AY124" i="3"/>
  <c r="AZ124" i="3" s="1"/>
  <c r="AY29" i="3"/>
  <c r="AZ29" i="3" s="1"/>
  <c r="AY93" i="3"/>
  <c r="AY157" i="3"/>
  <c r="AY55" i="3"/>
  <c r="AY119" i="3"/>
  <c r="AY18" i="3"/>
  <c r="AY82" i="3"/>
  <c r="AZ82" i="3" s="1"/>
  <c r="AY146" i="3"/>
  <c r="AZ146" i="3" s="1"/>
  <c r="AY51" i="3"/>
  <c r="AZ51" i="3" s="1"/>
  <c r="AY115" i="3"/>
  <c r="AY175" i="3"/>
  <c r="AY112" i="3"/>
  <c r="AY25" i="3"/>
  <c r="AY153" i="3"/>
  <c r="AY105" i="3"/>
  <c r="AZ105" i="3" s="1"/>
  <c r="AY110" i="3"/>
  <c r="AZ110" i="3" s="1"/>
  <c r="AY113" i="3"/>
  <c r="AZ113" i="3" s="1"/>
  <c r="AY137" i="3"/>
  <c r="AY142" i="3"/>
  <c r="AY68" i="3"/>
  <c r="AY132" i="3"/>
  <c r="AY37" i="3"/>
  <c r="AY101" i="3"/>
  <c r="AZ101" i="3" s="1"/>
  <c r="AY165" i="3"/>
  <c r="AZ165" i="3" s="1"/>
  <c r="AY63" i="3"/>
  <c r="AZ63" i="3" s="1"/>
  <c r="AY127" i="3"/>
  <c r="AY26" i="3"/>
  <c r="AY90" i="3"/>
  <c r="AY154" i="3"/>
  <c r="AY59" i="3"/>
  <c r="AY123" i="3"/>
  <c r="AZ123" i="3" s="1"/>
  <c r="AY126" i="3"/>
  <c r="AZ126" i="3" s="1"/>
  <c r="AY81" i="3"/>
  <c r="AZ81" i="3" s="1"/>
  <c r="AY48" i="3"/>
  <c r="AY128" i="3"/>
  <c r="AY129" i="3"/>
  <c r="AY136" i="3"/>
  <c r="AY160" i="3"/>
  <c r="AY161" i="3"/>
  <c r="AZ161" i="3" s="1"/>
  <c r="AY76" i="3"/>
  <c r="AZ76" i="3" s="1"/>
  <c r="AY140" i="3"/>
  <c r="AZ140" i="3" s="1"/>
  <c r="AY45" i="3"/>
  <c r="AY109" i="3"/>
  <c r="AY176" i="3"/>
  <c r="AY71" i="3"/>
  <c r="AY135" i="3"/>
  <c r="AY34" i="3"/>
  <c r="AZ34" i="3" s="1"/>
  <c r="AY98" i="3"/>
  <c r="AZ98" i="3" s="1"/>
  <c r="AY162" i="3"/>
  <c r="AZ162" i="3" s="1"/>
  <c r="AY67" i="3"/>
  <c r="AY131" i="3"/>
  <c r="AY168" i="3"/>
  <c r="AY144" i="3"/>
  <c r="AY104" i="3"/>
  <c r="AY150" i="3"/>
  <c r="AZ150" i="3" s="1"/>
  <c r="AY152" i="3"/>
  <c r="AZ152" i="3" s="1"/>
  <c r="AY158" i="3"/>
  <c r="AZ158" i="3" s="1"/>
  <c r="AY14" i="3"/>
  <c r="AY20" i="3"/>
  <c r="AY84" i="3"/>
  <c r="AY148" i="3"/>
  <c r="AY53" i="3"/>
  <c r="AY117" i="3"/>
  <c r="AZ117" i="3" s="1"/>
  <c r="AY15" i="3"/>
  <c r="AZ15" i="3" s="1"/>
  <c r="AY79" i="3"/>
  <c r="AZ79" i="3" s="1"/>
  <c r="AY143" i="3"/>
  <c r="AY42" i="3"/>
  <c r="AY106" i="3"/>
  <c r="AY170" i="3"/>
  <c r="AY75" i="3"/>
  <c r="AY139" i="3"/>
  <c r="AZ139" i="3" s="1"/>
  <c r="M2" i="4"/>
  <c r="E2" i="4"/>
  <c r="N3" i="4"/>
  <c r="E40" i="4"/>
  <c r="F40" i="4" s="1"/>
  <c r="E88" i="4"/>
  <c r="F88" i="4" s="1"/>
  <c r="E144" i="4"/>
  <c r="F144" i="4" s="1"/>
  <c r="E17" i="4"/>
  <c r="F17" i="4" s="1"/>
  <c r="E57" i="4"/>
  <c r="F57" i="4" s="1"/>
  <c r="E89" i="4"/>
  <c r="F89" i="4" s="1"/>
  <c r="E105" i="4"/>
  <c r="F105" i="4" s="1"/>
  <c r="E161" i="4"/>
  <c r="F161" i="4" s="1"/>
  <c r="E10" i="4"/>
  <c r="F10" i="4" s="1"/>
  <c r="E18" i="4"/>
  <c r="F18" i="4" s="1"/>
  <c r="E26" i="4"/>
  <c r="F26" i="4" s="1"/>
  <c r="E34" i="4"/>
  <c r="F34" i="4" s="1"/>
  <c r="E42" i="4"/>
  <c r="F42" i="4" s="1"/>
  <c r="E50" i="4"/>
  <c r="F50" i="4" s="1"/>
  <c r="E58" i="4"/>
  <c r="F58" i="4" s="1"/>
  <c r="E66" i="4"/>
  <c r="F66" i="4" s="1"/>
  <c r="E74" i="4"/>
  <c r="F74" i="4" s="1"/>
  <c r="E82" i="4"/>
  <c r="F82" i="4" s="1"/>
  <c r="E90" i="4"/>
  <c r="F90" i="4" s="1"/>
  <c r="E98" i="4"/>
  <c r="F98" i="4" s="1"/>
  <c r="E106" i="4"/>
  <c r="F106" i="4" s="1"/>
  <c r="E114" i="4"/>
  <c r="F114" i="4" s="1"/>
  <c r="E122" i="4"/>
  <c r="F122" i="4" s="1"/>
  <c r="E130" i="4"/>
  <c r="F130" i="4" s="1"/>
  <c r="E138" i="4"/>
  <c r="F138" i="4" s="1"/>
  <c r="E146" i="4"/>
  <c r="F146" i="4" s="1"/>
  <c r="E154" i="4"/>
  <c r="F154" i="4" s="1"/>
  <c r="E162" i="4"/>
  <c r="F162" i="4" s="1"/>
  <c r="E24" i="4"/>
  <c r="F24" i="4" s="1"/>
  <c r="E64" i="4"/>
  <c r="F64" i="4" s="1"/>
  <c r="E104" i="4"/>
  <c r="F104" i="4" s="1"/>
  <c r="E136" i="4"/>
  <c r="F136" i="4" s="1"/>
  <c r="E9" i="4"/>
  <c r="F9" i="4" s="1"/>
  <c r="E49" i="4"/>
  <c r="F49" i="4" s="1"/>
  <c r="E97" i="4"/>
  <c r="F97" i="4" s="1"/>
  <c r="E113" i="4"/>
  <c r="F113" i="4" s="1"/>
  <c r="E153" i="4"/>
  <c r="F153" i="4" s="1"/>
  <c r="E3" i="4"/>
  <c r="F3" i="4" s="1"/>
  <c r="E11" i="4"/>
  <c r="F11" i="4" s="1"/>
  <c r="E19" i="4"/>
  <c r="F19" i="4" s="1"/>
  <c r="E27" i="4"/>
  <c r="F27" i="4" s="1"/>
  <c r="E35" i="4"/>
  <c r="F35" i="4" s="1"/>
  <c r="E43" i="4"/>
  <c r="F43" i="4" s="1"/>
  <c r="E51" i="4"/>
  <c r="F51" i="4" s="1"/>
  <c r="E59" i="4"/>
  <c r="F59" i="4" s="1"/>
  <c r="E67" i="4"/>
  <c r="F67" i="4" s="1"/>
  <c r="E75" i="4"/>
  <c r="F75" i="4" s="1"/>
  <c r="E83" i="4"/>
  <c r="F83" i="4" s="1"/>
  <c r="E91" i="4"/>
  <c r="F91" i="4" s="1"/>
  <c r="E99" i="4"/>
  <c r="F99" i="4" s="1"/>
  <c r="E107" i="4"/>
  <c r="F107" i="4" s="1"/>
  <c r="E115" i="4"/>
  <c r="F115" i="4" s="1"/>
  <c r="E123" i="4"/>
  <c r="F123" i="4" s="1"/>
  <c r="E131" i="4"/>
  <c r="F131" i="4" s="1"/>
  <c r="E139" i="4"/>
  <c r="F139" i="4" s="1"/>
  <c r="E147" i="4"/>
  <c r="F147" i="4" s="1"/>
  <c r="E155" i="4"/>
  <c r="F155" i="4" s="1"/>
  <c r="E163" i="4"/>
  <c r="F163" i="4" s="1"/>
  <c r="E16" i="4"/>
  <c r="F16" i="4" s="1"/>
  <c r="E48" i="4"/>
  <c r="F48" i="4" s="1"/>
  <c r="E96" i="4"/>
  <c r="F96" i="4" s="1"/>
  <c r="E160" i="4"/>
  <c r="F160" i="4" s="1"/>
  <c r="E25" i="4"/>
  <c r="F25" i="4" s="1"/>
  <c r="E65" i="4"/>
  <c r="F65" i="4" s="1"/>
  <c r="E145" i="4"/>
  <c r="F145" i="4" s="1"/>
  <c r="E4" i="4"/>
  <c r="F4" i="4" s="1"/>
  <c r="E12" i="4"/>
  <c r="E20" i="4"/>
  <c r="F20" i="4" s="1"/>
  <c r="E28" i="4"/>
  <c r="F28" i="4" s="1"/>
  <c r="E36" i="4"/>
  <c r="F36" i="4" s="1"/>
  <c r="E44" i="4"/>
  <c r="F44" i="4" s="1"/>
  <c r="E52" i="4"/>
  <c r="F52" i="4" s="1"/>
  <c r="E60" i="4"/>
  <c r="F60" i="4" s="1"/>
  <c r="E68" i="4"/>
  <c r="F68" i="4" s="1"/>
  <c r="E76" i="4"/>
  <c r="F76" i="4" s="1"/>
  <c r="E84" i="4"/>
  <c r="F84" i="4" s="1"/>
  <c r="E92" i="4"/>
  <c r="F92" i="4" s="1"/>
  <c r="E100" i="4"/>
  <c r="F100" i="4" s="1"/>
  <c r="E108" i="4"/>
  <c r="F108" i="4" s="1"/>
  <c r="E116" i="4"/>
  <c r="F116" i="4" s="1"/>
  <c r="E124" i="4"/>
  <c r="F124" i="4" s="1"/>
  <c r="E132" i="4"/>
  <c r="F132" i="4" s="1"/>
  <c r="E140" i="4"/>
  <c r="F140" i="4" s="1"/>
  <c r="E148" i="4"/>
  <c r="F148" i="4" s="1"/>
  <c r="E156" i="4"/>
  <c r="F156" i="4" s="1"/>
  <c r="E164" i="4"/>
  <c r="F164" i="4" s="1"/>
  <c r="E32" i="4"/>
  <c r="F32" i="4" s="1"/>
  <c r="E80" i="4"/>
  <c r="F80" i="4" s="1"/>
  <c r="E128" i="4"/>
  <c r="F128" i="4" s="1"/>
  <c r="E33" i="4"/>
  <c r="F33" i="4" s="1"/>
  <c r="E73" i="4"/>
  <c r="F73" i="4" s="1"/>
  <c r="E137" i="4"/>
  <c r="F137" i="4" s="1"/>
  <c r="E5" i="4"/>
  <c r="F5" i="4" s="1"/>
  <c r="E13" i="4"/>
  <c r="F13" i="4" s="1"/>
  <c r="E21" i="4"/>
  <c r="F21" i="4" s="1"/>
  <c r="E29" i="4"/>
  <c r="F29" i="4" s="1"/>
  <c r="E37" i="4"/>
  <c r="F37" i="4" s="1"/>
  <c r="E45" i="4"/>
  <c r="F45" i="4" s="1"/>
  <c r="E53" i="4"/>
  <c r="F53" i="4" s="1"/>
  <c r="E61" i="4"/>
  <c r="F61" i="4" s="1"/>
  <c r="E69" i="4"/>
  <c r="F69" i="4" s="1"/>
  <c r="E77" i="4"/>
  <c r="F77" i="4" s="1"/>
  <c r="E85" i="4"/>
  <c r="F85" i="4" s="1"/>
  <c r="E93" i="4"/>
  <c r="F93" i="4" s="1"/>
  <c r="E101" i="4"/>
  <c r="F101" i="4" s="1"/>
  <c r="E109" i="4"/>
  <c r="F109" i="4" s="1"/>
  <c r="E117" i="4"/>
  <c r="F117" i="4" s="1"/>
  <c r="E125" i="4"/>
  <c r="F125" i="4" s="1"/>
  <c r="E133" i="4"/>
  <c r="F133" i="4" s="1"/>
  <c r="E141" i="4"/>
  <c r="F141" i="4" s="1"/>
  <c r="E149" i="4"/>
  <c r="F149" i="4" s="1"/>
  <c r="E157" i="4"/>
  <c r="F157" i="4" s="1"/>
  <c r="E165" i="4"/>
  <c r="F165" i="4" s="1"/>
  <c r="E8" i="4"/>
  <c r="F8" i="4" s="1"/>
  <c r="E72" i="4"/>
  <c r="F72" i="4" s="1"/>
  <c r="E120" i="4"/>
  <c r="F120" i="4" s="1"/>
  <c r="E121" i="4"/>
  <c r="F121" i="4" s="1"/>
  <c r="E6" i="4"/>
  <c r="F6" i="4" s="1"/>
  <c r="E14" i="4"/>
  <c r="F14" i="4" s="1"/>
  <c r="E22" i="4"/>
  <c r="F22" i="4" s="1"/>
  <c r="E30" i="4"/>
  <c r="F30" i="4" s="1"/>
  <c r="E38" i="4"/>
  <c r="F38" i="4" s="1"/>
  <c r="E46" i="4"/>
  <c r="F46" i="4" s="1"/>
  <c r="E54" i="4"/>
  <c r="F54" i="4" s="1"/>
  <c r="E62" i="4"/>
  <c r="F62" i="4" s="1"/>
  <c r="E70" i="4"/>
  <c r="F70" i="4" s="1"/>
  <c r="E78" i="4"/>
  <c r="F78" i="4" s="1"/>
  <c r="E86" i="4"/>
  <c r="F86" i="4" s="1"/>
  <c r="E94" i="4"/>
  <c r="F94" i="4" s="1"/>
  <c r="E102" i="4"/>
  <c r="F102" i="4" s="1"/>
  <c r="E110" i="4"/>
  <c r="F110" i="4" s="1"/>
  <c r="E118" i="4"/>
  <c r="F118" i="4" s="1"/>
  <c r="E126" i="4"/>
  <c r="F126" i="4" s="1"/>
  <c r="E134" i="4"/>
  <c r="F134" i="4" s="1"/>
  <c r="E142" i="4"/>
  <c r="F142" i="4" s="1"/>
  <c r="E150" i="4"/>
  <c r="F150" i="4" s="1"/>
  <c r="E158" i="4"/>
  <c r="F158" i="4" s="1"/>
  <c r="E166" i="4"/>
  <c r="F166" i="4" s="1"/>
  <c r="E56" i="4"/>
  <c r="F56" i="4" s="1"/>
  <c r="E112" i="4"/>
  <c r="F112" i="4" s="1"/>
  <c r="E152" i="4"/>
  <c r="F152" i="4" s="1"/>
  <c r="E41" i="4"/>
  <c r="F41" i="4" s="1"/>
  <c r="E81" i="4"/>
  <c r="F81" i="4" s="1"/>
  <c r="E129" i="4"/>
  <c r="F129" i="4" s="1"/>
  <c r="E7" i="4"/>
  <c r="F7" i="4" s="1"/>
  <c r="E15" i="4"/>
  <c r="F15" i="4" s="1"/>
  <c r="E23" i="4"/>
  <c r="F23" i="4" s="1"/>
  <c r="E31" i="4"/>
  <c r="F31" i="4" s="1"/>
  <c r="E39" i="4"/>
  <c r="F39" i="4" s="1"/>
  <c r="E47" i="4"/>
  <c r="F47" i="4" s="1"/>
  <c r="E55" i="4"/>
  <c r="F55" i="4" s="1"/>
  <c r="E63" i="4"/>
  <c r="F63" i="4" s="1"/>
  <c r="E71" i="4"/>
  <c r="F71" i="4" s="1"/>
  <c r="E79" i="4"/>
  <c r="F79" i="4" s="1"/>
  <c r="E87" i="4"/>
  <c r="F87" i="4" s="1"/>
  <c r="E95" i="4"/>
  <c r="F95" i="4" s="1"/>
  <c r="E103" i="4"/>
  <c r="F103" i="4" s="1"/>
  <c r="E111" i="4"/>
  <c r="F111" i="4" s="1"/>
  <c r="E119" i="4"/>
  <c r="F119" i="4" s="1"/>
  <c r="E127" i="4"/>
  <c r="F127" i="4" s="1"/>
  <c r="E135" i="4"/>
  <c r="F135" i="4" s="1"/>
  <c r="E143" i="4"/>
  <c r="F143" i="4" s="1"/>
  <c r="E151" i="4"/>
  <c r="F151" i="4" s="1"/>
  <c r="E159" i="4"/>
  <c r="F159" i="4" s="1"/>
  <c r="E167" i="4"/>
  <c r="F167" i="4" s="1"/>
  <c r="AM9" i="10" l="1"/>
  <c r="AP9" i="10"/>
  <c r="AZ157" i="10"/>
  <c r="AZ30" i="10"/>
  <c r="W9" i="10"/>
  <c r="AZ132" i="10"/>
  <c r="AZ81" i="10"/>
  <c r="AZ50" i="10"/>
  <c r="AU9" i="10"/>
  <c r="AZ152" i="10"/>
  <c r="AZ72" i="10"/>
  <c r="AZ21" i="10"/>
  <c r="AZ141" i="10"/>
  <c r="AZ56" i="10"/>
  <c r="AZ112" i="10"/>
  <c r="AZ48" i="10"/>
  <c r="AZ162" i="10"/>
  <c r="AZ96" i="10"/>
  <c r="AZ27" i="10"/>
  <c r="AT9" i="10"/>
  <c r="AZ154" i="10"/>
  <c r="AZ84" i="10"/>
  <c r="AZ47" i="10"/>
  <c r="AZ178" i="10"/>
  <c r="AZ99" i="10"/>
  <c r="AZ39" i="10"/>
  <c r="AZ170" i="10"/>
  <c r="AZ91" i="10"/>
  <c r="AZ36" i="10"/>
  <c r="AZ176" i="10"/>
  <c r="AZ109" i="10"/>
  <c r="AZ60" i="10"/>
  <c r="AZ125" i="10"/>
  <c r="AZ86" i="10"/>
  <c r="AZ16" i="10"/>
  <c r="V10" i="10" s="1"/>
  <c r="L9" i="10"/>
  <c r="AZ161" i="10"/>
  <c r="AZ128" i="10"/>
  <c r="AZ28" i="10"/>
  <c r="AZ156" i="10"/>
  <c r="AZ82" i="10"/>
  <c r="AZ20" i="10"/>
  <c r="AD9" i="10"/>
  <c r="AZ153" i="10"/>
  <c r="AZ89" i="10"/>
  <c r="AZ80" i="10"/>
  <c r="AZ113" i="10"/>
  <c r="AZ58" i="10"/>
  <c r="AZ159" i="10"/>
  <c r="AZ92" i="10"/>
  <c r="AZ31" i="10"/>
  <c r="AZ133" i="10"/>
  <c r="AZ94" i="10"/>
  <c r="AZ19" i="10"/>
  <c r="AZ134" i="10"/>
  <c r="AZ67" i="10"/>
  <c r="AL9" i="10"/>
  <c r="AZ140" i="10"/>
  <c r="AZ85" i="10"/>
  <c r="AZ18" i="10"/>
  <c r="F10" i="10" s="1"/>
  <c r="AZ169" i="10"/>
  <c r="AZ119" i="10"/>
  <c r="AZ43" i="10"/>
  <c r="AE9" i="10"/>
  <c r="AZ107" i="10"/>
  <c r="AZ51" i="10"/>
  <c r="AG9" i="10"/>
  <c r="AZ149" i="10"/>
  <c r="AZ64" i="10"/>
  <c r="AZ34" i="10"/>
  <c r="AO9" i="10"/>
  <c r="AZ142" i="10"/>
  <c r="AZ100" i="10"/>
  <c r="AZ24" i="10"/>
  <c r="AO10" i="10" s="1"/>
  <c r="AH10" i="10"/>
  <c r="AZ121" i="10"/>
  <c r="AZ63" i="10"/>
  <c r="AW9" i="10"/>
  <c r="AZ110" i="10"/>
  <c r="AZ46" i="10"/>
  <c r="AZ124" i="10"/>
  <c r="AZ106" i="10"/>
  <c r="AZ135" i="10"/>
  <c r="AZ70" i="10"/>
  <c r="AZ167" i="10"/>
  <c r="AZ114" i="10"/>
  <c r="AZ32" i="10"/>
  <c r="AZ118" i="10"/>
  <c r="AZ73" i="10"/>
  <c r="AZ144" i="10"/>
  <c r="AZ54" i="10"/>
  <c r="AW10" i="10"/>
  <c r="AZ168" i="10"/>
  <c r="AZ88" i="10"/>
  <c r="AZ29" i="10"/>
  <c r="Q10" i="10" s="1"/>
  <c r="M9" i="10"/>
  <c r="U9" i="10"/>
  <c r="N9" i="10"/>
  <c r="AZ137" i="10"/>
  <c r="AZ33" i="10"/>
  <c r="T9" i="10"/>
  <c r="AZ175" i="10"/>
  <c r="AZ104" i="10"/>
  <c r="M10" i="10" s="1"/>
  <c r="AZ40" i="10"/>
  <c r="AD10" i="10" s="1"/>
  <c r="AZ158" i="10"/>
  <c r="AZ103" i="10"/>
  <c r="AZ25" i="10"/>
  <c r="AE9" i="3"/>
  <c r="AO9" i="3"/>
  <c r="B9" i="3"/>
  <c r="AZ39" i="3"/>
  <c r="J9" i="3"/>
  <c r="F9" i="3"/>
  <c r="AD9" i="3"/>
  <c r="AR9" i="3"/>
  <c r="AL9" i="3"/>
  <c r="AV9" i="3"/>
  <c r="AT9" i="3"/>
  <c r="I9" i="3"/>
  <c r="Q9" i="3"/>
  <c r="AN9" i="3"/>
  <c r="E9" i="3"/>
  <c r="AZ49" i="3"/>
  <c r="AZ27" i="3"/>
  <c r="AZ164" i="3"/>
  <c r="AZ89" i="3"/>
  <c r="AZ104" i="3"/>
  <c r="AZ59" i="3"/>
  <c r="AZ153" i="3"/>
  <c r="AZ120" i="3"/>
  <c r="AZ149" i="3"/>
  <c r="AZ35" i="3"/>
  <c r="AZ145" i="3"/>
  <c r="AZ56" i="3"/>
  <c r="AZ61" i="3"/>
  <c r="X9" i="3"/>
  <c r="AU9" i="3"/>
  <c r="H9" i="3"/>
  <c r="S9" i="3"/>
  <c r="AZ173" i="3"/>
  <c r="AG9" i="3"/>
  <c r="K9" i="3"/>
  <c r="G9" i="3"/>
  <c r="AZ53" i="3"/>
  <c r="AZ160" i="3"/>
  <c r="AZ37" i="3"/>
  <c r="AZ18" i="3"/>
  <c r="AZ171" i="3"/>
  <c r="AZ65" i="3"/>
  <c r="AZ172" i="3"/>
  <c r="AZ159" i="3"/>
  <c r="AZ83" i="3"/>
  <c r="AZ166" i="3"/>
  <c r="AZ170" i="3"/>
  <c r="AZ148" i="3"/>
  <c r="AZ71" i="3"/>
  <c r="AZ136" i="3"/>
  <c r="AZ154" i="3"/>
  <c r="AZ132" i="3"/>
  <c r="AZ25" i="3"/>
  <c r="AZ119" i="3"/>
  <c r="AZ118" i="3"/>
  <c r="AZ107" i="3"/>
  <c r="AZ85" i="3"/>
  <c r="AZ64" i="3"/>
  <c r="AZ130" i="3"/>
  <c r="AZ108" i="3"/>
  <c r="AZ17" i="3"/>
  <c r="AZ95" i="3"/>
  <c r="AZ54" i="3"/>
  <c r="AZ19" i="3"/>
  <c r="AZ156" i="3"/>
  <c r="AZ38" i="3"/>
  <c r="AZ174" i="3"/>
  <c r="N9" i="3"/>
  <c r="Y9" i="3"/>
  <c r="AB9" i="3"/>
  <c r="AZ144" i="3"/>
  <c r="AZ106" i="3"/>
  <c r="AZ84" i="3"/>
  <c r="AZ168" i="3"/>
  <c r="AZ176" i="3"/>
  <c r="AZ129" i="3"/>
  <c r="AZ90" i="3"/>
  <c r="AZ68" i="3"/>
  <c r="AZ112" i="3"/>
  <c r="AZ55" i="3"/>
  <c r="AZ94" i="3"/>
  <c r="AZ43" i="3"/>
  <c r="AZ21" i="3"/>
  <c r="AZ40" i="3"/>
  <c r="AZ66" i="3"/>
  <c r="AZ44" i="3"/>
  <c r="AZ57" i="3"/>
  <c r="AZ31" i="3"/>
  <c r="AZ30" i="3"/>
  <c r="AZ114" i="3"/>
  <c r="AZ92" i="3"/>
  <c r="AZ62" i="3"/>
  <c r="AF9" i="3"/>
  <c r="D9" i="3"/>
  <c r="V9" i="3"/>
  <c r="AJ9" i="3"/>
  <c r="AZ75" i="3"/>
  <c r="AZ42" i="3"/>
  <c r="AZ131" i="3"/>
  <c r="AZ109" i="3"/>
  <c r="AZ128" i="3"/>
  <c r="AZ26" i="3"/>
  <c r="AZ142" i="3"/>
  <c r="AZ175" i="3"/>
  <c r="AZ157" i="3"/>
  <c r="AZ88" i="3"/>
  <c r="AZ138" i="3"/>
  <c r="AZ116" i="3"/>
  <c r="AZ80" i="3"/>
  <c r="AZ167" i="3"/>
  <c r="AZ78" i="3"/>
  <c r="AZ155" i="3"/>
  <c r="AZ133" i="3"/>
  <c r="AZ24" i="3"/>
  <c r="AZ50" i="3"/>
  <c r="AZ28" i="3"/>
  <c r="AZ135" i="3"/>
  <c r="AZ20" i="3"/>
  <c r="AZ143" i="3"/>
  <c r="AZ14" i="3"/>
  <c r="AO10" i="3" s="1"/>
  <c r="AZ67" i="3"/>
  <c r="AZ45" i="3"/>
  <c r="AZ48" i="3"/>
  <c r="AZ127" i="3"/>
  <c r="AZ137" i="3"/>
  <c r="AZ115" i="3"/>
  <c r="AZ93" i="3"/>
  <c r="AZ86" i="3"/>
  <c r="AZ74" i="3"/>
  <c r="AZ52" i="3"/>
  <c r="AZ16" i="3"/>
  <c r="AZ103" i="3"/>
  <c r="AZ73" i="3"/>
  <c r="AZ91" i="3"/>
  <c r="AZ69" i="3"/>
  <c r="AZ22" i="3"/>
  <c r="AZ151" i="3"/>
  <c r="AZ33" i="3"/>
  <c r="R9" i="3"/>
  <c r="AW9" i="3"/>
  <c r="AH9" i="3"/>
  <c r="W9" i="3"/>
  <c r="AM9" i="3"/>
  <c r="AS10" i="3"/>
  <c r="Z9" i="3"/>
  <c r="AZ87" i="3"/>
  <c r="AZ32" i="3"/>
  <c r="AZ96" i="3"/>
  <c r="AZ163" i="3"/>
  <c r="AZ141" i="3"/>
  <c r="AZ46" i="3"/>
  <c r="AJ10" i="3" s="1"/>
  <c r="AZ122" i="3"/>
  <c r="AZ100" i="3"/>
  <c r="AZ121" i="3"/>
  <c r="AZ23" i="3"/>
  <c r="AZ177" i="3"/>
  <c r="AQ9" i="3"/>
  <c r="H10" i="3"/>
  <c r="AP9" i="3"/>
  <c r="M9" i="3"/>
  <c r="N2" i="4"/>
  <c r="F12" i="4"/>
  <c r="O2" i="4" s="1"/>
  <c r="J10" i="10" l="1"/>
  <c r="AR10" i="10"/>
  <c r="AB10" i="10"/>
  <c r="AI10" i="10"/>
  <c r="AV10" i="10"/>
  <c r="Z10" i="10"/>
  <c r="AT10" i="10"/>
  <c r="N10" i="10"/>
  <c r="AF10" i="10"/>
  <c r="AN10" i="10"/>
  <c r="D10" i="10"/>
  <c r="Y10" i="10"/>
  <c r="C10" i="10"/>
  <c r="AA10" i="10"/>
  <c r="AJ10" i="10"/>
  <c r="AU10" i="10"/>
  <c r="X10" i="10"/>
  <c r="S10" i="10"/>
  <c r="AC10" i="10"/>
  <c r="AG10" i="10"/>
  <c r="AK10" i="10"/>
  <c r="AE10" i="10"/>
  <c r="G10" i="10"/>
  <c r="T10" i="10"/>
  <c r="P10" i="10"/>
  <c r="I10" i="10"/>
  <c r="O10" i="10"/>
  <c r="U10" i="10"/>
  <c r="K10" i="10"/>
  <c r="R10" i="10"/>
  <c r="E10" i="10"/>
  <c r="W10" i="10"/>
  <c r="AL10" i="10"/>
  <c r="L10" i="10"/>
  <c r="AP10" i="10"/>
  <c r="B10" i="10"/>
  <c r="AX10" i="10"/>
  <c r="AM10" i="10"/>
  <c r="H10" i="10"/>
  <c r="AQ10" i="10"/>
  <c r="AS10" i="10"/>
  <c r="AV10" i="3"/>
  <c r="AE10" i="3"/>
  <c r="O10" i="3"/>
  <c r="Q10" i="3"/>
  <c r="AH10" i="3"/>
  <c r="AW10" i="3"/>
  <c r="B10" i="3"/>
  <c r="AQ10" i="3"/>
  <c r="L10" i="3"/>
  <c r="R10" i="3"/>
  <c r="AR10" i="3"/>
  <c r="Y10" i="3"/>
  <c r="P10" i="3"/>
  <c r="T10" i="3"/>
  <c r="I10" i="3"/>
  <c r="D10" i="3"/>
  <c r="C10" i="3"/>
  <c r="N10" i="3"/>
  <c r="AF10" i="3"/>
  <c r="M10" i="3"/>
  <c r="X10" i="3"/>
  <c r="AX10" i="3"/>
  <c r="Z10" i="3"/>
  <c r="G10" i="3"/>
  <c r="AU10" i="3"/>
  <c r="AP10" i="3"/>
  <c r="AA10" i="3"/>
  <c r="AM10" i="3"/>
  <c r="J10" i="3"/>
  <c r="AT10" i="3"/>
  <c r="F10" i="3"/>
  <c r="U10" i="3"/>
  <c r="K10" i="3"/>
  <c r="AN10" i="3"/>
  <c r="AD10" i="3"/>
  <c r="E10" i="3"/>
  <c r="W10" i="3"/>
  <c r="AL10" i="3"/>
  <c r="AB10" i="3"/>
  <c r="AG10" i="3"/>
  <c r="AI10" i="3"/>
  <c r="V10" i="3"/>
  <c r="S10" i="3"/>
  <c r="AC10" i="3"/>
  <c r="AK10" i="3"/>
</calcChain>
</file>

<file path=xl/sharedStrings.xml><?xml version="1.0" encoding="utf-8"?>
<sst xmlns="http://schemas.openxmlformats.org/spreadsheetml/2006/main" count="381" uniqueCount="88">
  <si>
    <t>Date</t>
  </si>
  <si>
    <t>Close</t>
  </si>
  <si>
    <t>Index_100</t>
  </si>
  <si>
    <t>Mean</t>
  </si>
  <si>
    <t>SD</t>
  </si>
  <si>
    <t>Unweighted</t>
  </si>
  <si>
    <t>NIFTY</t>
  </si>
  <si>
    <t>RELIANCE</t>
  </si>
  <si>
    <t>HDFCBANK</t>
  </si>
  <si>
    <t>BHARTIAIRTEL</t>
  </si>
  <si>
    <t>TCS</t>
  </si>
  <si>
    <t>ICICBANK</t>
  </si>
  <si>
    <t>SBI</t>
  </si>
  <si>
    <t>INFOSYS</t>
  </si>
  <si>
    <t>HUL</t>
  </si>
  <si>
    <t>BAJAJFIN</t>
  </si>
  <si>
    <t>ITC</t>
  </si>
  <si>
    <t>LT</t>
  </si>
  <si>
    <t>MARUTISUZUKI</t>
  </si>
  <si>
    <t>M&amp;M</t>
  </si>
  <si>
    <t>KOTAKMAHINDRA</t>
  </si>
  <si>
    <t>HCLTECH</t>
  </si>
  <si>
    <t>SUNPHARMA</t>
  </si>
  <si>
    <t>ULTRATECH</t>
  </si>
  <si>
    <t>AXISBANK</t>
  </si>
  <si>
    <t>BAJFINSERV</t>
  </si>
  <si>
    <t>TITAN</t>
  </si>
  <si>
    <t>NTPC</t>
  </si>
  <si>
    <t>ETERNAL</t>
  </si>
  <si>
    <t>ADANIPORTS</t>
  </si>
  <si>
    <t>ONGC</t>
  </si>
  <si>
    <t>BEL</t>
  </si>
  <si>
    <t>JSW STEEL</t>
  </si>
  <si>
    <t>WIPRO</t>
  </si>
  <si>
    <t>POWER GRID</t>
  </si>
  <si>
    <t>TATA MOTORS</t>
  </si>
  <si>
    <t>BAJAJ AUTO</t>
  </si>
  <si>
    <t>asian paints</t>
  </si>
  <si>
    <t>COAL INDIA</t>
  </si>
  <si>
    <t>NESTLE INDIA</t>
  </si>
  <si>
    <t>TATA STEEL</t>
  </si>
  <si>
    <t>JIO FINANCIAL</t>
  </si>
  <si>
    <t>GRASIM INDUSTRIES</t>
  </si>
  <si>
    <t>EICHERMOTORS</t>
  </si>
  <si>
    <t>TRENT</t>
  </si>
  <si>
    <t>SBI LIFE INSURANCE</t>
  </si>
  <si>
    <t>HDFC INSURANCE</t>
  </si>
  <si>
    <t>HINDALCO INDUSTRIES</t>
  </si>
  <si>
    <t>TECH MAHINDRA</t>
  </si>
  <si>
    <t>CIPLA</t>
  </si>
  <si>
    <t>APOLLO HOSPITAL</t>
  </si>
  <si>
    <t>SHRIRAM FINANCE</t>
  </si>
  <si>
    <t>TATA CONSUMER</t>
  </si>
  <si>
    <t>DR REDDYS LAB</t>
  </si>
  <si>
    <t>HERO MOTOCORP</t>
  </si>
  <si>
    <t xml:space="preserve">INDUSIND </t>
  </si>
  <si>
    <t>CV%</t>
  </si>
  <si>
    <t>Equal Investment Value</t>
  </si>
  <si>
    <t>Company</t>
  </si>
  <si>
    <t>MDD</t>
  </si>
  <si>
    <t>Rolling Peak_100</t>
  </si>
  <si>
    <t>Drawdown_100</t>
  </si>
  <si>
    <t>Rolling Peak UW</t>
  </si>
  <si>
    <t>Drawdown UW</t>
  </si>
  <si>
    <t>This proves that we have done our weighing of values correctly as  all values in row 1 and 2 are the same</t>
  </si>
  <si>
    <t>Weighted_100</t>
  </si>
  <si>
    <t>NIFTY_100</t>
  </si>
  <si>
    <t>Actual Share Value on 1st Jan</t>
  </si>
  <si>
    <t>No of Shares basis equal investment</t>
  </si>
  <si>
    <t>Overalll Investment Value</t>
  </si>
  <si>
    <t>/company</t>
  </si>
  <si>
    <t>Sum</t>
  </si>
  <si>
    <t>Rebased_100</t>
  </si>
  <si>
    <t>Drawdown_NIFTY</t>
  </si>
  <si>
    <t>Rolling Peak_NIFTY</t>
  </si>
  <si>
    <t>Rolling Peak_EQ</t>
  </si>
  <si>
    <t>Drawdown_EQ</t>
  </si>
  <si>
    <t>EQ_25</t>
  </si>
  <si>
    <t>Monthly Data Chart</t>
  </si>
  <si>
    <t>Correlation</t>
  </si>
  <si>
    <t>Based to 100</t>
  </si>
  <si>
    <t>Drawdown</t>
  </si>
  <si>
    <t>Rolling Peak</t>
  </si>
  <si>
    <t>Standard Deviation</t>
  </si>
  <si>
    <t>x</t>
  </si>
  <si>
    <t>ASIAN PAINTS</t>
  </si>
  <si>
    <t>Image 6. EQ_25 vs BAJAJFIN day to day performance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</si>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</sst>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/>
    <xf numFmtId="14" fontId="5" fillId="0" borderId="0" xfId="0" applyNumberFormat="1" applyFont="1"/>
    <xf numFmtId="2" fontId="5" fillId="0" borderId="0" xfId="0" applyNumberFormat="1" applyFont="1"/>
    <xf numFmtId="2" fontId="0" fillId="0" borderId="0" xfId="0" applyNumberFormat="1"/>
    <xf numFmtId="10" fontId="0" fillId="0" borderId="0" xfId="0" applyNumberFormat="1"/>
    <xf numFmtId="10" fontId="5" fillId="0" borderId="0" xfId="0" applyNumberFormat="1" applyFont="1"/>
    <xf numFmtId="0" fontId="7" fillId="3" borderId="0" xfId="0" applyFont="1" applyFill="1" applyAlignment="1">
      <alignment horizontal="center"/>
    </xf>
    <xf numFmtId="0" fontId="7" fillId="3" borderId="0" xfId="0" applyFont="1" applyFill="1"/>
    <xf numFmtId="2" fontId="4" fillId="0" borderId="0" xfId="0" applyNumberFormat="1" applyFont="1"/>
    <xf numFmtId="0" fontId="6" fillId="4" borderId="0" xfId="0" applyFont="1" applyFill="1"/>
    <xf numFmtId="14" fontId="4" fillId="0" borderId="0" xfId="0" applyNumberFormat="1" applyFont="1"/>
    <xf numFmtId="14" fontId="3" fillId="0" borderId="0" xfId="0" applyNumberFormat="1" applyFont="1"/>
    <xf numFmtId="0" fontId="2" fillId="4" borderId="0" xfId="0" applyFont="1" applyFill="1"/>
    <xf numFmtId="0" fontId="6" fillId="0" borderId="0" xfId="0" applyFont="1"/>
    <xf numFmtId="0" fontId="6" fillId="4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6" fillId="2" borderId="0" xfId="0" applyFont="1" applyFill="1"/>
    <xf numFmtId="14" fontId="8" fillId="2" borderId="0" xfId="0" applyNumberFormat="1" applyFont="1" applyFill="1"/>
    <xf numFmtId="3" fontId="6" fillId="2" borderId="0" xfId="0" applyNumberFormat="1" applyFont="1" applyFill="1"/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/>
    <xf numFmtId="0" fontId="6" fillId="3" borderId="0" xfId="0" applyFont="1" applyFill="1"/>
    <xf numFmtId="164" fontId="0" fillId="3" borderId="0" xfId="0" applyNumberFormat="1" applyFill="1"/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/>
    <xf numFmtId="14" fontId="6" fillId="2" borderId="0" xfId="0" applyNumberFormat="1" applyFont="1" applyFill="1"/>
    <xf numFmtId="14" fontId="6" fillId="0" borderId="0" xfId="0" applyNumberFormat="1" applyFont="1"/>
    <xf numFmtId="0" fontId="1" fillId="4" borderId="0" xfId="0" applyFont="1" applyFill="1"/>
    <xf numFmtId="0" fontId="9" fillId="0" borderId="0" xfId="0" applyFont="1" applyAlignment="1">
      <alignment horizontal="left" vertical="center"/>
    </xf>
    <xf numFmtId="0" fontId="9" fillId="0" borderId="0" xfId="0" applyFont="1"/>
    <xf numFmtId="0" fontId="6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NIFTY_100</a:t>
            </a:r>
            <a:r>
              <a:rPr lang="en-IN" baseline="0"/>
              <a:t> vs EQ_25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'NIFTY_100 vs EQ_25 STATS'!$L$11</c:f>
              <c:strCache>
                <c:ptCount val="1"/>
                <c:pt idx="0">
                  <c:v>NIFTY_100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'NIFTY_100 vs EQ_25 STATS'!$K$12:$K$20</c:f>
              <c:numCache>
                <c:formatCode>m/d/yyyy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45719</c:v>
                </c:pt>
                <c:pt idx="3">
                  <c:v>45748</c:v>
                </c:pt>
                <c:pt idx="4">
                  <c:v>45779</c:v>
                </c:pt>
                <c:pt idx="5">
                  <c:v>45810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'NIFTY_100 vs EQ_25 STATS'!$L$12:$L$20</c:f>
              <c:numCache>
                <c:formatCode>0.00</c:formatCode>
                <c:ptCount val="9"/>
                <c:pt idx="0" formatCode="General">
                  <c:v>100</c:v>
                </c:pt>
                <c:pt idx="1">
                  <c:v>98.901776952267838</c:v>
                </c:pt>
                <c:pt idx="2">
                  <c:v>93.161745195405771</c:v>
                </c:pt>
                <c:pt idx="3">
                  <c:v>97.568957456755484</c:v>
                </c:pt>
                <c:pt idx="4">
                  <c:v>102.54307603536215</c:v>
                </c:pt>
                <c:pt idx="5">
                  <c:v>104.10101546146426</c:v>
                </c:pt>
                <c:pt idx="6">
                  <c:v>107.57658078836198</c:v>
                </c:pt>
                <c:pt idx="7">
                  <c:v>103.46398291699835</c:v>
                </c:pt>
                <c:pt idx="8">
                  <c:v>103.71542650645034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3-462B-B7E9-87F375EC4010}"/>
            </c:ext>
          </c:extLst>
        </c:ser>
        <c:ser>
          <c:idx val="1"/>
          <c:order val="1"/>
          <c:tx>
            <c:strRef>
              <c:f>'NIFTY_100 vs EQ_25 STATS'!$M$11</c:f>
              <c:strCache>
                <c:ptCount val="1"/>
                <c:pt idx="0">
                  <c:v>EQ_25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'NIFTY_100 vs EQ_25 STATS'!$K$12:$K$20</c:f>
              <c:numCache>
                <c:formatCode>m/d/yyyy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45719</c:v>
                </c:pt>
                <c:pt idx="3">
                  <c:v>45748</c:v>
                </c:pt>
                <c:pt idx="4">
                  <c:v>45779</c:v>
                </c:pt>
                <c:pt idx="5">
                  <c:v>45810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'NIFTY_100 vs EQ_25 STATS'!$M$12:$M$20</c:f>
              <c:numCache>
                <c:formatCode>0.00</c:formatCode>
                <c:ptCount val="9"/>
                <c:pt idx="0" formatCode="General">
                  <c:v>100</c:v>
                </c:pt>
                <c:pt idx="1">
                  <c:v>99.41937217556783</c:v>
                </c:pt>
                <c:pt idx="2">
                  <c:v>93.316289568325899</c:v>
                </c:pt>
                <c:pt idx="3">
                  <c:v>97.619193789811931</c:v>
                </c:pt>
                <c:pt idx="4">
                  <c:v>101.2474459854932</c:v>
                </c:pt>
                <c:pt idx="5">
                  <c:v>103.51874120861426</c:v>
                </c:pt>
                <c:pt idx="6">
                  <c:v>107.32735029485963</c:v>
                </c:pt>
                <c:pt idx="7">
                  <c:v>102.63190476228424</c:v>
                </c:pt>
                <c:pt idx="8">
                  <c:v>105.44246625268502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B3-462B-B7E9-87F375EC4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676672"/>
        <c:axId val="806674872"/>
      </c:lineChart>
      <c:dateAx>
        <c:axId val="806676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74872"/>
        <c:crosses val="autoZero"/>
        <c:auto val="1"/>
        <c:lblOffset val="100"/>
        <c:baseTimeUnit val="months"/>
      </c:dateAx>
      <c:valAx>
        <c:axId val="80667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EQ_25vsBAJAJFIN!$B$1</c:f>
              <c:strCache>
                <c:ptCount val="1"/>
                <c:pt idx="0">
                  <c:v>EQ_25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EQ_25vsBAJAJFIN!$A:$A</c:f>
              <c:strCache>
                <c:ptCount val="167"/>
                <c:pt idx="0">
                  <c:v>Date</c:v>
                </c:pt>
                <c:pt idx="1">
                  <c:v>01-01-2025</c:v>
                </c:pt>
                <c:pt idx="2">
                  <c:v>02-01-2025</c:v>
                </c:pt>
                <c:pt idx="3">
                  <c:v>03-01-2025</c:v>
                </c:pt>
                <c:pt idx="4">
                  <c:v>06-01-2025</c:v>
                </c:pt>
                <c:pt idx="5">
                  <c:v>07-01-2025</c:v>
                </c:pt>
                <c:pt idx="6">
                  <c:v>08-01-2025</c:v>
                </c:pt>
                <c:pt idx="7">
                  <c:v>09-01-2025</c:v>
                </c:pt>
                <c:pt idx="8">
                  <c:v>10-01-2025</c:v>
                </c:pt>
                <c:pt idx="9">
                  <c:v>13-01-2025</c:v>
                </c:pt>
                <c:pt idx="10">
                  <c:v>14-01-2025</c:v>
                </c:pt>
                <c:pt idx="11">
                  <c:v>15-01-2025</c:v>
                </c:pt>
                <c:pt idx="12">
                  <c:v>16-01-2025</c:v>
                </c:pt>
                <c:pt idx="13">
                  <c:v>17-01-2025</c:v>
                </c:pt>
                <c:pt idx="14">
                  <c:v>20-01-2025</c:v>
                </c:pt>
                <c:pt idx="15">
                  <c:v>21-01-2025</c:v>
                </c:pt>
                <c:pt idx="16">
                  <c:v>22-01-2025</c:v>
                </c:pt>
                <c:pt idx="17">
                  <c:v>23-01-2025</c:v>
                </c:pt>
                <c:pt idx="18">
                  <c:v>24-01-2025</c:v>
                </c:pt>
                <c:pt idx="19">
                  <c:v>27-01-2025</c:v>
                </c:pt>
                <c:pt idx="20">
                  <c:v>28-01-2025</c:v>
                </c:pt>
                <c:pt idx="21">
                  <c:v>29-01-2025</c:v>
                </c:pt>
                <c:pt idx="22">
                  <c:v>30-01-2025</c:v>
                </c:pt>
                <c:pt idx="23">
                  <c:v>31-01-2025</c:v>
                </c:pt>
                <c:pt idx="24">
                  <c:v>01-02-2025</c:v>
                </c:pt>
                <c:pt idx="25">
                  <c:v>03-02-2025</c:v>
                </c:pt>
                <c:pt idx="26">
                  <c:v>04-02-2025</c:v>
                </c:pt>
                <c:pt idx="27">
                  <c:v>05-02-2025</c:v>
                </c:pt>
                <c:pt idx="28">
                  <c:v>06-02-2025</c:v>
                </c:pt>
                <c:pt idx="29">
                  <c:v>07-02-2025</c:v>
                </c:pt>
                <c:pt idx="30">
                  <c:v>10-02-2025</c:v>
                </c:pt>
                <c:pt idx="31">
                  <c:v>11-02-2025</c:v>
                </c:pt>
                <c:pt idx="32">
                  <c:v>12-02-2025</c:v>
                </c:pt>
                <c:pt idx="33">
                  <c:v>13-02-2025</c:v>
                </c:pt>
                <c:pt idx="34">
                  <c:v>14-02-2025</c:v>
                </c:pt>
                <c:pt idx="35">
                  <c:v>17-02-2025</c:v>
                </c:pt>
                <c:pt idx="36">
                  <c:v>18-02-2025</c:v>
                </c:pt>
                <c:pt idx="37">
                  <c:v>19-02-2025</c:v>
                </c:pt>
                <c:pt idx="38">
                  <c:v>20-02-2025</c:v>
                </c:pt>
                <c:pt idx="39">
                  <c:v>21-02-2025</c:v>
                </c:pt>
                <c:pt idx="40">
                  <c:v>24-02-2025</c:v>
                </c:pt>
                <c:pt idx="41">
                  <c:v>25-02-2025</c:v>
                </c:pt>
                <c:pt idx="42">
                  <c:v>27-02-2025</c:v>
                </c:pt>
                <c:pt idx="43">
                  <c:v>28-02-2025</c:v>
                </c:pt>
                <c:pt idx="44">
                  <c:v>03-03-2025</c:v>
                </c:pt>
                <c:pt idx="45">
                  <c:v>04-03-2025</c:v>
                </c:pt>
                <c:pt idx="46">
                  <c:v>05-03-2025</c:v>
                </c:pt>
                <c:pt idx="47">
                  <c:v>06-03-2025</c:v>
                </c:pt>
                <c:pt idx="48">
                  <c:v>07-03-2025</c:v>
                </c:pt>
                <c:pt idx="49">
                  <c:v>10-03-2025</c:v>
                </c:pt>
                <c:pt idx="50">
                  <c:v>11-03-2025</c:v>
                </c:pt>
                <c:pt idx="51">
                  <c:v>12-03-2025</c:v>
                </c:pt>
                <c:pt idx="52">
                  <c:v>13-03-2025</c:v>
                </c:pt>
                <c:pt idx="53">
                  <c:v>17-03-2025</c:v>
                </c:pt>
                <c:pt idx="54">
                  <c:v>18-03-2025</c:v>
                </c:pt>
                <c:pt idx="55">
                  <c:v>19-03-2025</c:v>
                </c:pt>
                <c:pt idx="56">
                  <c:v>20-03-2025</c:v>
                </c:pt>
                <c:pt idx="57">
                  <c:v>21-03-2025</c:v>
                </c:pt>
                <c:pt idx="58">
                  <c:v>24-03-2025</c:v>
                </c:pt>
                <c:pt idx="59">
                  <c:v>25-03-2025</c:v>
                </c:pt>
                <c:pt idx="60">
                  <c:v>26-03-2025</c:v>
                </c:pt>
                <c:pt idx="61">
                  <c:v>27-03-2025</c:v>
                </c:pt>
                <c:pt idx="62">
                  <c:v>28-03-2025</c:v>
                </c:pt>
                <c:pt idx="63">
                  <c:v>01-04-2025</c:v>
                </c:pt>
                <c:pt idx="64">
                  <c:v>02-04-2025</c:v>
                </c:pt>
                <c:pt idx="65">
                  <c:v>03-04-2025</c:v>
                </c:pt>
                <c:pt idx="66">
                  <c:v>04-04-2025</c:v>
                </c:pt>
                <c:pt idx="67">
                  <c:v>07-04-2025</c:v>
                </c:pt>
                <c:pt idx="68">
                  <c:v>08-04-2025</c:v>
                </c:pt>
                <c:pt idx="69">
                  <c:v>09-04-2025</c:v>
                </c:pt>
                <c:pt idx="70">
                  <c:v>11-04-2025</c:v>
                </c:pt>
                <c:pt idx="71">
                  <c:v>15-04-2025</c:v>
                </c:pt>
                <c:pt idx="72">
                  <c:v>16-04-2025</c:v>
                </c:pt>
                <c:pt idx="73">
                  <c:v>17-04-2025</c:v>
                </c:pt>
                <c:pt idx="74">
                  <c:v>21-04-2025</c:v>
                </c:pt>
                <c:pt idx="75">
                  <c:v>22-04-2025</c:v>
                </c:pt>
                <c:pt idx="76">
                  <c:v>23-04-2025</c:v>
                </c:pt>
                <c:pt idx="77">
                  <c:v>24-04-2025</c:v>
                </c:pt>
                <c:pt idx="78">
                  <c:v>25-04-2025</c:v>
                </c:pt>
                <c:pt idx="79">
                  <c:v>28-04-2025</c:v>
                </c:pt>
                <c:pt idx="80">
                  <c:v>29-04-2025</c:v>
                </c:pt>
                <c:pt idx="81">
                  <c:v>30-04-2025</c:v>
                </c:pt>
                <c:pt idx="82">
                  <c:v>02-05-2025</c:v>
                </c:pt>
                <c:pt idx="83">
                  <c:v>05-05-2025</c:v>
                </c:pt>
                <c:pt idx="84">
                  <c:v>06-05-2025</c:v>
                </c:pt>
                <c:pt idx="85">
                  <c:v>07-05-2025</c:v>
                </c:pt>
                <c:pt idx="86">
                  <c:v>08-05-2025</c:v>
                </c:pt>
                <c:pt idx="87">
                  <c:v>09-05-2025</c:v>
                </c:pt>
                <c:pt idx="88">
                  <c:v>12-05-2025</c:v>
                </c:pt>
                <c:pt idx="89">
                  <c:v>13-05-2025</c:v>
                </c:pt>
                <c:pt idx="90">
                  <c:v>14-05-2025</c:v>
                </c:pt>
                <c:pt idx="91">
                  <c:v>15-05-2025</c:v>
                </c:pt>
                <c:pt idx="92">
                  <c:v>16-05-2025</c:v>
                </c:pt>
                <c:pt idx="93">
                  <c:v>19-05-2025</c:v>
                </c:pt>
                <c:pt idx="94">
                  <c:v>20-05-2025</c:v>
                </c:pt>
                <c:pt idx="95">
                  <c:v>21-05-2025</c:v>
                </c:pt>
                <c:pt idx="96">
                  <c:v>22-05-2025</c:v>
                </c:pt>
                <c:pt idx="97">
                  <c:v>23-05-2025</c:v>
                </c:pt>
                <c:pt idx="98">
                  <c:v>26-05-2025</c:v>
                </c:pt>
                <c:pt idx="99">
                  <c:v>27-05-2025</c:v>
                </c:pt>
                <c:pt idx="100">
                  <c:v>28-05-2025</c:v>
                </c:pt>
                <c:pt idx="101">
                  <c:v>29-05-2025</c:v>
                </c:pt>
                <c:pt idx="102">
                  <c:v>30-05-2025</c:v>
                </c:pt>
                <c:pt idx="103">
                  <c:v>02-06-2025</c:v>
                </c:pt>
                <c:pt idx="104">
                  <c:v>03-06-2025</c:v>
                </c:pt>
                <c:pt idx="105">
                  <c:v>04-06-2025</c:v>
                </c:pt>
                <c:pt idx="106">
                  <c:v>05-06-2025</c:v>
                </c:pt>
                <c:pt idx="107">
                  <c:v>06-06-2025</c:v>
                </c:pt>
                <c:pt idx="108">
                  <c:v>09-06-2025</c:v>
                </c:pt>
                <c:pt idx="109">
                  <c:v>10-06-2025</c:v>
                </c:pt>
                <c:pt idx="110">
                  <c:v>11-06-2025</c:v>
                </c:pt>
                <c:pt idx="111">
                  <c:v>12-06-2025</c:v>
                </c:pt>
                <c:pt idx="112">
                  <c:v>13-06-2025</c:v>
                </c:pt>
                <c:pt idx="113">
                  <c:v>16-06-2025</c:v>
                </c:pt>
                <c:pt idx="114">
                  <c:v>17-06-2025</c:v>
                </c:pt>
                <c:pt idx="115">
                  <c:v>18-06-2025</c:v>
                </c:pt>
                <c:pt idx="116">
                  <c:v>19-06-2025</c:v>
                </c:pt>
                <c:pt idx="117">
                  <c:v>20-06-2025</c:v>
                </c:pt>
                <c:pt idx="118">
                  <c:v>23-06-2025</c:v>
                </c:pt>
                <c:pt idx="119">
                  <c:v>24-06-2025</c:v>
                </c:pt>
                <c:pt idx="120">
                  <c:v>25-06-2025</c:v>
                </c:pt>
                <c:pt idx="121">
                  <c:v>26-06-2025</c:v>
                </c:pt>
                <c:pt idx="122">
                  <c:v>27-06-2025</c:v>
                </c:pt>
                <c:pt idx="123">
                  <c:v>30-06-2025</c:v>
                </c:pt>
                <c:pt idx="124">
                  <c:v>01-07-2025</c:v>
                </c:pt>
                <c:pt idx="125">
                  <c:v>02-07-2025</c:v>
                </c:pt>
                <c:pt idx="126">
                  <c:v>03-07-2025</c:v>
                </c:pt>
                <c:pt idx="127">
                  <c:v>04-07-2025</c:v>
                </c:pt>
                <c:pt idx="128">
                  <c:v>07-07-2025</c:v>
                </c:pt>
                <c:pt idx="129">
                  <c:v>08-07-2025</c:v>
                </c:pt>
                <c:pt idx="130">
                  <c:v>09-07-2025</c:v>
                </c:pt>
                <c:pt idx="131">
                  <c:v>10-07-2025</c:v>
                </c:pt>
                <c:pt idx="132">
                  <c:v>11-07-2025</c:v>
                </c:pt>
                <c:pt idx="133">
                  <c:v>14-07-2025</c:v>
                </c:pt>
                <c:pt idx="134">
                  <c:v>15-07-2025</c:v>
                </c:pt>
                <c:pt idx="135">
                  <c:v>16-07-2025</c:v>
                </c:pt>
                <c:pt idx="136">
                  <c:v>17-07-2025</c:v>
                </c:pt>
                <c:pt idx="137">
                  <c:v>18-07-2025</c:v>
                </c:pt>
                <c:pt idx="138">
                  <c:v>21-07-2025</c:v>
                </c:pt>
                <c:pt idx="139">
                  <c:v>22-07-2025</c:v>
                </c:pt>
                <c:pt idx="140">
                  <c:v>23-07-2025</c:v>
                </c:pt>
                <c:pt idx="141">
                  <c:v>24-07-2025</c:v>
                </c:pt>
                <c:pt idx="142">
                  <c:v>25-07-2025</c:v>
                </c:pt>
                <c:pt idx="143">
                  <c:v>28-07-2025</c:v>
                </c:pt>
                <c:pt idx="144">
                  <c:v>29-07-2025</c:v>
                </c:pt>
                <c:pt idx="145">
                  <c:v>30-07-2025</c:v>
                </c:pt>
                <c:pt idx="146">
                  <c:v>31-07-2025</c:v>
                </c:pt>
                <c:pt idx="147">
                  <c:v>01-08-2025</c:v>
                </c:pt>
                <c:pt idx="148">
                  <c:v>04-08-2025</c:v>
                </c:pt>
                <c:pt idx="149">
                  <c:v>05-08-2025</c:v>
                </c:pt>
                <c:pt idx="150">
                  <c:v>06-08-2025</c:v>
                </c:pt>
                <c:pt idx="151">
                  <c:v>07-08-2025</c:v>
                </c:pt>
                <c:pt idx="152">
                  <c:v>08-08-2025</c:v>
                </c:pt>
                <c:pt idx="153">
                  <c:v>11-08-2025</c:v>
                </c:pt>
                <c:pt idx="154">
                  <c:v>12-08-2025</c:v>
                </c:pt>
                <c:pt idx="155">
                  <c:v>13-08-2025</c:v>
                </c:pt>
                <c:pt idx="156">
                  <c:v>14-08-2025</c:v>
                </c:pt>
                <c:pt idx="157">
                  <c:v>18-08-2025</c:v>
                </c:pt>
                <c:pt idx="158">
                  <c:v>19-08-2025</c:v>
                </c:pt>
                <c:pt idx="159">
                  <c:v>20-08-2025</c:v>
                </c:pt>
                <c:pt idx="160">
                  <c:v>21-08-2025</c:v>
                </c:pt>
                <c:pt idx="161">
                  <c:v>22-08-2025</c:v>
                </c:pt>
                <c:pt idx="162">
                  <c:v>25-08-2025</c:v>
                </c:pt>
                <c:pt idx="163">
                  <c:v>26-08-2025</c:v>
                </c:pt>
                <c:pt idx="164">
                  <c:v>28-08-2025</c:v>
                </c:pt>
                <c:pt idx="165">
                  <c:v>29-08-2025</c:v>
                </c:pt>
                <c:pt idx="166">
                  <c:v>01-09-2025</c:v>
                </c:pt>
              </c:strCache>
            </c:strRef>
          </c:cat>
          <c:val>
            <c:numRef>
              <c:f>EQ_25vsBAJAJFIN!$B$2:$B$167</c:f>
              <c:numCache>
                <c:formatCode>0.00</c:formatCode>
                <c:ptCount val="166"/>
                <c:pt idx="0">
                  <c:v>100</c:v>
                </c:pt>
                <c:pt idx="1">
                  <c:v>102.27570779063562</c:v>
                </c:pt>
                <c:pt idx="2">
                  <c:v>101.89595519777401</c:v>
                </c:pt>
                <c:pt idx="3">
                  <c:v>100.12243930933198</c:v>
                </c:pt>
                <c:pt idx="4">
                  <c:v>100.47834074413942</c:v>
                </c:pt>
                <c:pt idx="5">
                  <c:v>100.26648551311381</c:v>
                </c:pt>
                <c:pt idx="6">
                  <c:v>99.604174078026844</c:v>
                </c:pt>
                <c:pt idx="7">
                  <c:v>98.825808165956246</c:v>
                </c:pt>
                <c:pt idx="8">
                  <c:v>96.857484295060587</c:v>
                </c:pt>
                <c:pt idx="9">
                  <c:v>97.632483938302002</c:v>
                </c:pt>
                <c:pt idx="10">
                  <c:v>97.75977819749032</c:v>
                </c:pt>
                <c:pt idx="11">
                  <c:v>98.30502850554285</c:v>
                </c:pt>
                <c:pt idx="12">
                  <c:v>98.421701862968206</c:v>
                </c:pt>
                <c:pt idx="13">
                  <c:v>98.843090661267269</c:v>
                </c:pt>
                <c:pt idx="14">
                  <c:v>97.374382689409273</c:v>
                </c:pt>
                <c:pt idx="15">
                  <c:v>97.649028159314526</c:v>
                </c:pt>
                <c:pt idx="16">
                  <c:v>98.210166035693547</c:v>
                </c:pt>
                <c:pt idx="17">
                  <c:v>97.523569085240112</c:v>
                </c:pt>
                <c:pt idx="18">
                  <c:v>95.966688487278887</c:v>
                </c:pt>
                <c:pt idx="19">
                  <c:v>96.121721445971602</c:v>
                </c:pt>
                <c:pt idx="20">
                  <c:v>97.538931309906303</c:v>
                </c:pt>
                <c:pt idx="21">
                  <c:v>97.852004770646118</c:v>
                </c:pt>
                <c:pt idx="22">
                  <c:v>99.373964387941399</c:v>
                </c:pt>
                <c:pt idx="23">
                  <c:v>99.41937217556783</c:v>
                </c:pt>
                <c:pt idx="24">
                  <c:v>98.941729987861081</c:v>
                </c:pt>
                <c:pt idx="25">
                  <c:v>100.19949615418228</c:v>
                </c:pt>
                <c:pt idx="26">
                  <c:v>100.10187402961645</c:v>
                </c:pt>
                <c:pt idx="27">
                  <c:v>99.506661817125845</c:v>
                </c:pt>
                <c:pt idx="28">
                  <c:v>99.728010384013558</c:v>
                </c:pt>
                <c:pt idx="29">
                  <c:v>98.714129837737389</c:v>
                </c:pt>
                <c:pt idx="30">
                  <c:v>96.934759160000283</c:v>
                </c:pt>
                <c:pt idx="31">
                  <c:v>96.86673694312617</c:v>
                </c:pt>
                <c:pt idx="32">
                  <c:v>97.112162992042371</c:v>
                </c:pt>
                <c:pt idx="33">
                  <c:v>96.148962974982766</c:v>
                </c:pt>
                <c:pt idx="34">
                  <c:v>96.573696193852854</c:v>
                </c:pt>
                <c:pt idx="35">
                  <c:v>96.586727863634508</c:v>
                </c:pt>
                <c:pt idx="36">
                  <c:v>96.738488592483407</c:v>
                </c:pt>
                <c:pt idx="37">
                  <c:v>97.169001780204738</c:v>
                </c:pt>
                <c:pt idx="38">
                  <c:v>96.697326439506469</c:v>
                </c:pt>
                <c:pt idx="39">
                  <c:v>95.753620955599928</c:v>
                </c:pt>
                <c:pt idx="40">
                  <c:v>95.522561726894722</c:v>
                </c:pt>
                <c:pt idx="41">
                  <c:v>95.460255977402952</c:v>
                </c:pt>
                <c:pt idx="42">
                  <c:v>93.110438505054944</c:v>
                </c:pt>
                <c:pt idx="43">
                  <c:v>93.316289568325899</c:v>
                </c:pt>
                <c:pt idx="44">
                  <c:v>93.088108775665518</c:v>
                </c:pt>
                <c:pt idx="45">
                  <c:v>94.533516432327446</c:v>
                </c:pt>
                <c:pt idx="46">
                  <c:v>95.56547709296774</c:v>
                </c:pt>
                <c:pt idx="47">
                  <c:v>95.42745712954374</c:v>
                </c:pt>
                <c:pt idx="48">
                  <c:v>94.759042827025525</c:v>
                </c:pt>
                <c:pt idx="49">
                  <c:v>94.508327537800923</c:v>
                </c:pt>
                <c:pt idx="50">
                  <c:v>94.289790020283377</c:v>
                </c:pt>
                <c:pt idx="51">
                  <c:v>93.784755498062651</c:v>
                </c:pt>
                <c:pt idx="52">
                  <c:v>94.438914901124392</c:v>
                </c:pt>
                <c:pt idx="53">
                  <c:v>95.897713425062904</c:v>
                </c:pt>
                <c:pt idx="54">
                  <c:v>96.526673772566085</c:v>
                </c:pt>
                <c:pt idx="55">
                  <c:v>97.561282690200386</c:v>
                </c:pt>
                <c:pt idx="56">
                  <c:v>98.296729106332805</c:v>
                </c:pt>
                <c:pt idx="57">
                  <c:v>99.375066240948769</c:v>
                </c:pt>
                <c:pt idx="58">
                  <c:v>99.096354664279247</c:v>
                </c:pt>
                <c:pt idx="59">
                  <c:v>98.355813534461092</c:v>
                </c:pt>
                <c:pt idx="60">
                  <c:v>98.927716943658737</c:v>
                </c:pt>
                <c:pt idx="61">
                  <c:v>98.475275651156139</c:v>
                </c:pt>
                <c:pt idx="62">
                  <c:v>97.619193789811931</c:v>
                </c:pt>
                <c:pt idx="63">
                  <c:v>98.255459583933529</c:v>
                </c:pt>
                <c:pt idx="64">
                  <c:v>98.142240452246284</c:v>
                </c:pt>
                <c:pt idx="65">
                  <c:v>96.070620974803433</c:v>
                </c:pt>
                <c:pt idx="66">
                  <c:v>92.963013295252736</c:v>
                </c:pt>
                <c:pt idx="67">
                  <c:v>94.826900999712308</c:v>
                </c:pt>
                <c:pt idx="68">
                  <c:v>94.284043733374418</c:v>
                </c:pt>
                <c:pt idx="69">
                  <c:v>96.266731457401747</c:v>
                </c:pt>
                <c:pt idx="70">
                  <c:v>98.338035777642304</c:v>
                </c:pt>
                <c:pt idx="71">
                  <c:v>98.91383590011867</c:v>
                </c:pt>
                <c:pt idx="72">
                  <c:v>100.23743764101656</c:v>
                </c:pt>
                <c:pt idx="73">
                  <c:v>101.49214900467621</c:v>
                </c:pt>
                <c:pt idx="74">
                  <c:v>101.35223476429205</c:v>
                </c:pt>
                <c:pt idx="75">
                  <c:v>102.32057087474359</c:v>
                </c:pt>
                <c:pt idx="76">
                  <c:v>102.25857193697007</c:v>
                </c:pt>
                <c:pt idx="77">
                  <c:v>101.01086788076914</c:v>
                </c:pt>
                <c:pt idx="78">
                  <c:v>101.93620697920365</c:v>
                </c:pt>
                <c:pt idx="79">
                  <c:v>101.77656484958666</c:v>
                </c:pt>
                <c:pt idx="80">
                  <c:v>101.55003011540515</c:v>
                </c:pt>
                <c:pt idx="81">
                  <c:v>101.2474459854932</c:v>
                </c:pt>
                <c:pt idx="82">
                  <c:v>101.87558205359637</c:v>
                </c:pt>
                <c:pt idx="83">
                  <c:v>101.36204846492195</c:v>
                </c:pt>
                <c:pt idx="84">
                  <c:v>101.59315222559484</c:v>
                </c:pt>
                <c:pt idx="85">
                  <c:v>100.70119301035103</c:v>
                </c:pt>
                <c:pt idx="86">
                  <c:v>99.997212172517351</c:v>
                </c:pt>
                <c:pt idx="87">
                  <c:v>103.57369775811848</c:v>
                </c:pt>
                <c:pt idx="88">
                  <c:v>102.53106398755992</c:v>
                </c:pt>
                <c:pt idx="89">
                  <c:v>103.14133610855514</c:v>
                </c:pt>
                <c:pt idx="90">
                  <c:v>104.99053230529039</c:v>
                </c:pt>
                <c:pt idx="91">
                  <c:v>104.95614487960437</c:v>
                </c:pt>
                <c:pt idx="92">
                  <c:v>104.76865066577695</c:v>
                </c:pt>
                <c:pt idx="93">
                  <c:v>103.54836145569325</c:v>
                </c:pt>
                <c:pt idx="94">
                  <c:v>104.17145489097777</c:v>
                </c:pt>
                <c:pt idx="95">
                  <c:v>103.28753334141101</c:v>
                </c:pt>
                <c:pt idx="96">
                  <c:v>104.37874342136659</c:v>
                </c:pt>
                <c:pt idx="97">
                  <c:v>104.98201192753463</c:v>
                </c:pt>
                <c:pt idx="98">
                  <c:v>104.44396945080648</c:v>
                </c:pt>
                <c:pt idx="99">
                  <c:v>103.98948417493187</c:v>
                </c:pt>
                <c:pt idx="100">
                  <c:v>104.31424828523581</c:v>
                </c:pt>
                <c:pt idx="101">
                  <c:v>103.61909371799889</c:v>
                </c:pt>
                <c:pt idx="102">
                  <c:v>103.51874120861426</c:v>
                </c:pt>
                <c:pt idx="103">
                  <c:v>102.76799554251707</c:v>
                </c:pt>
                <c:pt idx="104">
                  <c:v>102.9802333929446</c:v>
                </c:pt>
                <c:pt idx="105">
                  <c:v>103.37390702999552</c:v>
                </c:pt>
                <c:pt idx="106">
                  <c:v>104.60348011051795</c:v>
                </c:pt>
                <c:pt idx="107">
                  <c:v>105.29046628030039</c:v>
                </c:pt>
                <c:pt idx="108">
                  <c:v>105.51735073715621</c:v>
                </c:pt>
                <c:pt idx="109">
                  <c:v>105.60461254493249</c:v>
                </c:pt>
                <c:pt idx="110">
                  <c:v>104.42342127532574</c:v>
                </c:pt>
                <c:pt idx="111">
                  <c:v>103.8859080217194</c:v>
                </c:pt>
                <c:pt idx="112">
                  <c:v>104.89787289574566</c:v>
                </c:pt>
                <c:pt idx="113">
                  <c:v>104.28849743611781</c:v>
                </c:pt>
                <c:pt idx="114">
                  <c:v>104.1342043344381</c:v>
                </c:pt>
                <c:pt idx="115">
                  <c:v>104.00625204133651</c:v>
                </c:pt>
                <c:pt idx="116">
                  <c:v>105.13683000177301</c:v>
                </c:pt>
                <c:pt idx="117">
                  <c:v>104.89860640513935</c:v>
                </c:pt>
                <c:pt idx="118">
                  <c:v>105.33244647416298</c:v>
                </c:pt>
                <c:pt idx="119">
                  <c:v>106.02144030077835</c:v>
                </c:pt>
                <c:pt idx="120">
                  <c:v>107.20305850091769</c:v>
                </c:pt>
                <c:pt idx="121">
                  <c:v>107.52616710415199</c:v>
                </c:pt>
                <c:pt idx="122">
                  <c:v>107.26277211061743</c:v>
                </c:pt>
                <c:pt idx="123">
                  <c:v>107.32735029485963</c:v>
                </c:pt>
                <c:pt idx="124">
                  <c:v>107.10783892127634</c:v>
                </c:pt>
                <c:pt idx="125">
                  <c:v>106.88063080014443</c:v>
                </c:pt>
                <c:pt idx="126">
                  <c:v>106.83181859886781</c:v>
                </c:pt>
                <c:pt idx="127">
                  <c:v>106.79530273661402</c:v>
                </c:pt>
                <c:pt idx="128">
                  <c:v>106.8823410220235</c:v>
                </c:pt>
                <c:pt idx="129">
                  <c:v>106.73591240645467</c:v>
                </c:pt>
                <c:pt idx="130">
                  <c:v>106.26082094840412</c:v>
                </c:pt>
                <c:pt idx="131">
                  <c:v>105.51192766234756</c:v>
                </c:pt>
                <c:pt idx="132">
                  <c:v>105.3254966595819</c:v>
                </c:pt>
                <c:pt idx="133">
                  <c:v>105.86900714095042</c:v>
                </c:pt>
                <c:pt idx="134">
                  <c:v>105.82506527280829</c:v>
                </c:pt>
                <c:pt idx="135">
                  <c:v>105.61752622469618</c:v>
                </c:pt>
                <c:pt idx="136">
                  <c:v>105.12237381768192</c:v>
                </c:pt>
                <c:pt idx="137">
                  <c:v>105.46640653774266</c:v>
                </c:pt>
                <c:pt idx="138">
                  <c:v>105.24296209918947</c:v>
                </c:pt>
                <c:pt idx="139">
                  <c:v>105.72946656342586</c:v>
                </c:pt>
                <c:pt idx="140">
                  <c:v>105.13968082159543</c:v>
                </c:pt>
                <c:pt idx="141">
                  <c:v>104.1041000383409</c:v>
                </c:pt>
                <c:pt idx="142">
                  <c:v>103.41687212394406</c:v>
                </c:pt>
                <c:pt idx="143">
                  <c:v>103.98757370726759</c:v>
                </c:pt>
                <c:pt idx="144">
                  <c:v>103.95860109539321</c:v>
                </c:pt>
                <c:pt idx="145">
                  <c:v>103.71246353465328</c:v>
                </c:pt>
                <c:pt idx="146">
                  <c:v>102.63190476228424</c:v>
                </c:pt>
                <c:pt idx="147">
                  <c:v>103.80304303010672</c:v>
                </c:pt>
                <c:pt idx="148">
                  <c:v>103.8372457388701</c:v>
                </c:pt>
                <c:pt idx="149">
                  <c:v>103.358289027822</c:v>
                </c:pt>
                <c:pt idx="150">
                  <c:v>103.53999160730827</c:v>
                </c:pt>
                <c:pt idx="151">
                  <c:v>102.66546838231689</c:v>
                </c:pt>
                <c:pt idx="152">
                  <c:v>103.54501841004836</c:v>
                </c:pt>
                <c:pt idx="153">
                  <c:v>103.35324945036508</c:v>
                </c:pt>
                <c:pt idx="154">
                  <c:v>104.26312202875503</c:v>
                </c:pt>
                <c:pt idx="155">
                  <c:v>104.15735366555126</c:v>
                </c:pt>
                <c:pt idx="156">
                  <c:v>105.83030290256895</c:v>
                </c:pt>
                <c:pt idx="157">
                  <c:v>106.23885582321873</c:v>
                </c:pt>
                <c:pt idx="158">
                  <c:v>106.53685737010987</c:v>
                </c:pt>
                <c:pt idx="159">
                  <c:v>104.84715593464706</c:v>
                </c:pt>
                <c:pt idx="160">
                  <c:v>105.64142053748726</c:v>
                </c:pt>
                <c:pt idx="161">
                  <c:v>106.06490416357373</c:v>
                </c:pt>
                <c:pt idx="162">
                  <c:v>104.98483864873319</c:v>
                </c:pt>
                <c:pt idx="163">
                  <c:v>104.28812853190421</c:v>
                </c:pt>
                <c:pt idx="164">
                  <c:v>104.19498598453028</c:v>
                </c:pt>
                <c:pt idx="165">
                  <c:v>105.44246625268502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A-45C9-A0C8-13206ECD117E}"/>
            </c:ext>
          </c:extLst>
        </c:ser>
        <c:ser>
          <c:idx val="2"/>
          <c:order val="2"/>
          <c:tx>
            <c:strRef>
              <c:f>EQ_25vsBAJAJFIN!$C$1</c:f>
              <c:strCache>
                <c:ptCount val="1"/>
                <c:pt idx="0">
                  <c:v>BAJAJFIN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EQ_25vsBAJAJFIN!$A:$A</c:f>
              <c:strCache>
                <c:ptCount val="167"/>
                <c:pt idx="0">
                  <c:v>Date</c:v>
                </c:pt>
                <c:pt idx="1">
                  <c:v>01-01-2025</c:v>
                </c:pt>
                <c:pt idx="2">
                  <c:v>02-01-2025</c:v>
                </c:pt>
                <c:pt idx="3">
                  <c:v>03-01-2025</c:v>
                </c:pt>
                <c:pt idx="4">
                  <c:v>06-01-2025</c:v>
                </c:pt>
                <c:pt idx="5">
                  <c:v>07-01-2025</c:v>
                </c:pt>
                <c:pt idx="6">
                  <c:v>08-01-2025</c:v>
                </c:pt>
                <c:pt idx="7">
                  <c:v>09-01-2025</c:v>
                </c:pt>
                <c:pt idx="8">
                  <c:v>10-01-2025</c:v>
                </c:pt>
                <c:pt idx="9">
                  <c:v>13-01-2025</c:v>
                </c:pt>
                <c:pt idx="10">
                  <c:v>14-01-2025</c:v>
                </c:pt>
                <c:pt idx="11">
                  <c:v>15-01-2025</c:v>
                </c:pt>
                <c:pt idx="12">
                  <c:v>16-01-2025</c:v>
                </c:pt>
                <c:pt idx="13">
                  <c:v>17-01-2025</c:v>
                </c:pt>
                <c:pt idx="14">
                  <c:v>20-01-2025</c:v>
                </c:pt>
                <c:pt idx="15">
                  <c:v>21-01-2025</c:v>
                </c:pt>
                <c:pt idx="16">
                  <c:v>22-01-2025</c:v>
                </c:pt>
                <c:pt idx="17">
                  <c:v>23-01-2025</c:v>
                </c:pt>
                <c:pt idx="18">
                  <c:v>24-01-2025</c:v>
                </c:pt>
                <c:pt idx="19">
                  <c:v>27-01-2025</c:v>
                </c:pt>
                <c:pt idx="20">
                  <c:v>28-01-2025</c:v>
                </c:pt>
                <c:pt idx="21">
                  <c:v>29-01-2025</c:v>
                </c:pt>
                <c:pt idx="22">
                  <c:v>30-01-2025</c:v>
                </c:pt>
                <c:pt idx="23">
                  <c:v>31-01-2025</c:v>
                </c:pt>
                <c:pt idx="24">
                  <c:v>01-02-2025</c:v>
                </c:pt>
                <c:pt idx="25">
                  <c:v>03-02-2025</c:v>
                </c:pt>
                <c:pt idx="26">
                  <c:v>04-02-2025</c:v>
                </c:pt>
                <c:pt idx="27">
                  <c:v>05-02-2025</c:v>
                </c:pt>
                <c:pt idx="28">
                  <c:v>06-02-2025</c:v>
                </c:pt>
                <c:pt idx="29">
                  <c:v>07-02-2025</c:v>
                </c:pt>
                <c:pt idx="30">
                  <c:v>10-02-2025</c:v>
                </c:pt>
                <c:pt idx="31">
                  <c:v>11-02-2025</c:v>
                </c:pt>
                <c:pt idx="32">
                  <c:v>12-02-2025</c:v>
                </c:pt>
                <c:pt idx="33">
                  <c:v>13-02-2025</c:v>
                </c:pt>
                <c:pt idx="34">
                  <c:v>14-02-2025</c:v>
                </c:pt>
                <c:pt idx="35">
                  <c:v>17-02-2025</c:v>
                </c:pt>
                <c:pt idx="36">
                  <c:v>18-02-2025</c:v>
                </c:pt>
                <c:pt idx="37">
                  <c:v>19-02-2025</c:v>
                </c:pt>
                <c:pt idx="38">
                  <c:v>20-02-2025</c:v>
                </c:pt>
                <c:pt idx="39">
                  <c:v>21-02-2025</c:v>
                </c:pt>
                <c:pt idx="40">
                  <c:v>24-02-2025</c:v>
                </c:pt>
                <c:pt idx="41">
                  <c:v>25-02-2025</c:v>
                </c:pt>
                <c:pt idx="42">
                  <c:v>27-02-2025</c:v>
                </c:pt>
                <c:pt idx="43">
                  <c:v>28-02-2025</c:v>
                </c:pt>
                <c:pt idx="44">
                  <c:v>03-03-2025</c:v>
                </c:pt>
                <c:pt idx="45">
                  <c:v>04-03-2025</c:v>
                </c:pt>
                <c:pt idx="46">
                  <c:v>05-03-2025</c:v>
                </c:pt>
                <c:pt idx="47">
                  <c:v>06-03-2025</c:v>
                </c:pt>
                <c:pt idx="48">
                  <c:v>07-03-2025</c:v>
                </c:pt>
                <c:pt idx="49">
                  <c:v>10-03-2025</c:v>
                </c:pt>
                <c:pt idx="50">
                  <c:v>11-03-2025</c:v>
                </c:pt>
                <c:pt idx="51">
                  <c:v>12-03-2025</c:v>
                </c:pt>
                <c:pt idx="52">
                  <c:v>13-03-2025</c:v>
                </c:pt>
                <c:pt idx="53">
                  <c:v>17-03-2025</c:v>
                </c:pt>
                <c:pt idx="54">
                  <c:v>18-03-2025</c:v>
                </c:pt>
                <c:pt idx="55">
                  <c:v>19-03-2025</c:v>
                </c:pt>
                <c:pt idx="56">
                  <c:v>20-03-2025</c:v>
                </c:pt>
                <c:pt idx="57">
                  <c:v>21-03-2025</c:v>
                </c:pt>
                <c:pt idx="58">
                  <c:v>24-03-2025</c:v>
                </c:pt>
                <c:pt idx="59">
                  <c:v>25-03-2025</c:v>
                </c:pt>
                <c:pt idx="60">
                  <c:v>26-03-2025</c:v>
                </c:pt>
                <c:pt idx="61">
                  <c:v>27-03-2025</c:v>
                </c:pt>
                <c:pt idx="62">
                  <c:v>28-03-2025</c:v>
                </c:pt>
                <c:pt idx="63">
                  <c:v>01-04-2025</c:v>
                </c:pt>
                <c:pt idx="64">
                  <c:v>02-04-2025</c:v>
                </c:pt>
                <c:pt idx="65">
                  <c:v>03-04-2025</c:v>
                </c:pt>
                <c:pt idx="66">
                  <c:v>04-04-2025</c:v>
                </c:pt>
                <c:pt idx="67">
                  <c:v>07-04-2025</c:v>
                </c:pt>
                <c:pt idx="68">
                  <c:v>08-04-2025</c:v>
                </c:pt>
                <c:pt idx="69">
                  <c:v>09-04-2025</c:v>
                </c:pt>
                <c:pt idx="70">
                  <c:v>11-04-2025</c:v>
                </c:pt>
                <c:pt idx="71">
                  <c:v>15-04-2025</c:v>
                </c:pt>
                <c:pt idx="72">
                  <c:v>16-04-2025</c:v>
                </c:pt>
                <c:pt idx="73">
                  <c:v>17-04-2025</c:v>
                </c:pt>
                <c:pt idx="74">
                  <c:v>21-04-2025</c:v>
                </c:pt>
                <c:pt idx="75">
                  <c:v>22-04-2025</c:v>
                </c:pt>
                <c:pt idx="76">
                  <c:v>23-04-2025</c:v>
                </c:pt>
                <c:pt idx="77">
                  <c:v>24-04-2025</c:v>
                </c:pt>
                <c:pt idx="78">
                  <c:v>25-04-2025</c:v>
                </c:pt>
                <c:pt idx="79">
                  <c:v>28-04-2025</c:v>
                </c:pt>
                <c:pt idx="80">
                  <c:v>29-04-2025</c:v>
                </c:pt>
                <c:pt idx="81">
                  <c:v>30-04-2025</c:v>
                </c:pt>
                <c:pt idx="82">
                  <c:v>02-05-2025</c:v>
                </c:pt>
                <c:pt idx="83">
                  <c:v>05-05-2025</c:v>
                </c:pt>
                <c:pt idx="84">
                  <c:v>06-05-2025</c:v>
                </c:pt>
                <c:pt idx="85">
                  <c:v>07-05-2025</c:v>
                </c:pt>
                <c:pt idx="86">
                  <c:v>08-05-2025</c:v>
                </c:pt>
                <c:pt idx="87">
                  <c:v>09-05-2025</c:v>
                </c:pt>
                <c:pt idx="88">
                  <c:v>12-05-2025</c:v>
                </c:pt>
                <c:pt idx="89">
                  <c:v>13-05-2025</c:v>
                </c:pt>
                <c:pt idx="90">
                  <c:v>14-05-2025</c:v>
                </c:pt>
                <c:pt idx="91">
                  <c:v>15-05-2025</c:v>
                </c:pt>
                <c:pt idx="92">
                  <c:v>16-05-2025</c:v>
                </c:pt>
                <c:pt idx="93">
                  <c:v>19-05-2025</c:v>
                </c:pt>
                <c:pt idx="94">
                  <c:v>20-05-2025</c:v>
                </c:pt>
                <c:pt idx="95">
                  <c:v>21-05-2025</c:v>
                </c:pt>
                <c:pt idx="96">
                  <c:v>22-05-2025</c:v>
                </c:pt>
                <c:pt idx="97">
                  <c:v>23-05-2025</c:v>
                </c:pt>
                <c:pt idx="98">
                  <c:v>26-05-2025</c:v>
                </c:pt>
                <c:pt idx="99">
                  <c:v>27-05-2025</c:v>
                </c:pt>
                <c:pt idx="100">
                  <c:v>28-05-2025</c:v>
                </c:pt>
                <c:pt idx="101">
                  <c:v>29-05-2025</c:v>
                </c:pt>
                <c:pt idx="102">
                  <c:v>30-05-2025</c:v>
                </c:pt>
                <c:pt idx="103">
                  <c:v>02-06-2025</c:v>
                </c:pt>
                <c:pt idx="104">
                  <c:v>03-06-2025</c:v>
                </c:pt>
                <c:pt idx="105">
                  <c:v>04-06-2025</c:v>
                </c:pt>
                <c:pt idx="106">
                  <c:v>05-06-2025</c:v>
                </c:pt>
                <c:pt idx="107">
                  <c:v>06-06-2025</c:v>
                </c:pt>
                <c:pt idx="108">
                  <c:v>09-06-2025</c:v>
                </c:pt>
                <c:pt idx="109">
                  <c:v>10-06-2025</c:v>
                </c:pt>
                <c:pt idx="110">
                  <c:v>11-06-2025</c:v>
                </c:pt>
                <c:pt idx="111">
                  <c:v>12-06-2025</c:v>
                </c:pt>
                <c:pt idx="112">
                  <c:v>13-06-2025</c:v>
                </c:pt>
                <c:pt idx="113">
                  <c:v>16-06-2025</c:v>
                </c:pt>
                <c:pt idx="114">
                  <c:v>17-06-2025</c:v>
                </c:pt>
                <c:pt idx="115">
                  <c:v>18-06-2025</c:v>
                </c:pt>
                <c:pt idx="116">
                  <c:v>19-06-2025</c:v>
                </c:pt>
                <c:pt idx="117">
                  <c:v>20-06-2025</c:v>
                </c:pt>
                <c:pt idx="118">
                  <c:v>23-06-2025</c:v>
                </c:pt>
                <c:pt idx="119">
                  <c:v>24-06-2025</c:v>
                </c:pt>
                <c:pt idx="120">
                  <c:v>25-06-2025</c:v>
                </c:pt>
                <c:pt idx="121">
                  <c:v>26-06-2025</c:v>
                </c:pt>
                <c:pt idx="122">
                  <c:v>27-06-2025</c:v>
                </c:pt>
                <c:pt idx="123">
                  <c:v>30-06-2025</c:v>
                </c:pt>
                <c:pt idx="124">
                  <c:v>01-07-2025</c:v>
                </c:pt>
                <c:pt idx="125">
                  <c:v>02-07-2025</c:v>
                </c:pt>
                <c:pt idx="126">
                  <c:v>03-07-2025</c:v>
                </c:pt>
                <c:pt idx="127">
                  <c:v>04-07-2025</c:v>
                </c:pt>
                <c:pt idx="128">
                  <c:v>07-07-2025</c:v>
                </c:pt>
                <c:pt idx="129">
                  <c:v>08-07-2025</c:v>
                </c:pt>
                <c:pt idx="130">
                  <c:v>09-07-2025</c:v>
                </c:pt>
                <c:pt idx="131">
                  <c:v>10-07-2025</c:v>
                </c:pt>
                <c:pt idx="132">
                  <c:v>11-07-2025</c:v>
                </c:pt>
                <c:pt idx="133">
                  <c:v>14-07-2025</c:v>
                </c:pt>
                <c:pt idx="134">
                  <c:v>15-07-2025</c:v>
                </c:pt>
                <c:pt idx="135">
                  <c:v>16-07-2025</c:v>
                </c:pt>
                <c:pt idx="136">
                  <c:v>17-07-2025</c:v>
                </c:pt>
                <c:pt idx="137">
                  <c:v>18-07-2025</c:v>
                </c:pt>
                <c:pt idx="138">
                  <c:v>21-07-2025</c:v>
                </c:pt>
                <c:pt idx="139">
                  <c:v>22-07-2025</c:v>
                </c:pt>
                <c:pt idx="140">
                  <c:v>23-07-2025</c:v>
                </c:pt>
                <c:pt idx="141">
                  <c:v>24-07-2025</c:v>
                </c:pt>
                <c:pt idx="142">
                  <c:v>25-07-2025</c:v>
                </c:pt>
                <c:pt idx="143">
                  <c:v>28-07-2025</c:v>
                </c:pt>
                <c:pt idx="144">
                  <c:v>29-07-2025</c:v>
                </c:pt>
                <c:pt idx="145">
                  <c:v>30-07-2025</c:v>
                </c:pt>
                <c:pt idx="146">
                  <c:v>31-07-2025</c:v>
                </c:pt>
                <c:pt idx="147">
                  <c:v>01-08-2025</c:v>
                </c:pt>
                <c:pt idx="148">
                  <c:v>04-08-2025</c:v>
                </c:pt>
                <c:pt idx="149">
                  <c:v>05-08-2025</c:v>
                </c:pt>
                <c:pt idx="150">
                  <c:v>06-08-2025</c:v>
                </c:pt>
                <c:pt idx="151">
                  <c:v>07-08-2025</c:v>
                </c:pt>
                <c:pt idx="152">
                  <c:v>08-08-2025</c:v>
                </c:pt>
                <c:pt idx="153">
                  <c:v>11-08-2025</c:v>
                </c:pt>
                <c:pt idx="154">
                  <c:v>12-08-2025</c:v>
                </c:pt>
                <c:pt idx="155">
                  <c:v>13-08-2025</c:v>
                </c:pt>
                <c:pt idx="156">
                  <c:v>14-08-2025</c:v>
                </c:pt>
                <c:pt idx="157">
                  <c:v>18-08-2025</c:v>
                </c:pt>
                <c:pt idx="158">
                  <c:v>19-08-2025</c:v>
                </c:pt>
                <c:pt idx="159">
                  <c:v>20-08-2025</c:v>
                </c:pt>
                <c:pt idx="160">
                  <c:v>21-08-2025</c:v>
                </c:pt>
                <c:pt idx="161">
                  <c:v>22-08-2025</c:v>
                </c:pt>
                <c:pt idx="162">
                  <c:v>25-08-2025</c:v>
                </c:pt>
                <c:pt idx="163">
                  <c:v>26-08-2025</c:v>
                </c:pt>
                <c:pt idx="164">
                  <c:v>28-08-2025</c:v>
                </c:pt>
                <c:pt idx="165">
                  <c:v>29-08-2025</c:v>
                </c:pt>
                <c:pt idx="166">
                  <c:v>01-09-2025</c:v>
                </c:pt>
              </c:strCache>
            </c:strRef>
          </c:cat>
          <c:val>
            <c:numRef>
              <c:f>EQ_25vsBAJAJFIN!$C$2:$C$167</c:f>
              <c:numCache>
                <c:formatCode>0.00</c:formatCode>
                <c:ptCount val="166"/>
                <c:pt idx="0">
                  <c:v>100</c:v>
                </c:pt>
                <c:pt idx="1">
                  <c:v>106.54477816388621</c:v>
                </c:pt>
                <c:pt idx="2">
                  <c:v>106.80431992848183</c:v>
                </c:pt>
                <c:pt idx="3">
                  <c:v>105.96946058569925</c:v>
                </c:pt>
                <c:pt idx="4">
                  <c:v>106.03722982423255</c:v>
                </c:pt>
                <c:pt idx="5">
                  <c:v>106.05741640592332</c:v>
                </c:pt>
                <c:pt idx="6">
                  <c:v>104.93273542600899</c:v>
                </c:pt>
                <c:pt idx="7">
                  <c:v>105.08557668738194</c:v>
                </c:pt>
                <c:pt idx="8">
                  <c:v>103.10873358037864</c:v>
                </c:pt>
                <c:pt idx="9">
                  <c:v>105.76326907271496</c:v>
                </c:pt>
                <c:pt idx="10">
                  <c:v>103.49083673381109</c:v>
                </c:pt>
                <c:pt idx="11">
                  <c:v>104.67751935748994</c:v>
                </c:pt>
                <c:pt idx="12">
                  <c:v>103.55860597234438</c:v>
                </c:pt>
                <c:pt idx="13">
                  <c:v>107.27870459821493</c:v>
                </c:pt>
                <c:pt idx="14">
                  <c:v>105.13748504030107</c:v>
                </c:pt>
                <c:pt idx="15">
                  <c:v>106.66013005926204</c:v>
                </c:pt>
                <c:pt idx="16">
                  <c:v>107.32484535636526</c:v>
                </c:pt>
                <c:pt idx="17">
                  <c:v>107.25707611783197</c:v>
                </c:pt>
                <c:pt idx="18">
                  <c:v>105.19227719060457</c:v>
                </c:pt>
                <c:pt idx="19">
                  <c:v>109.67946592072441</c:v>
                </c:pt>
                <c:pt idx="20">
                  <c:v>111.88701281847939</c:v>
                </c:pt>
                <c:pt idx="21">
                  <c:v>113.93306706270818</c:v>
                </c:pt>
                <c:pt idx="22">
                  <c:v>113.69515377849552</c:v>
                </c:pt>
                <c:pt idx="23">
                  <c:v>115.3533372745231</c:v>
                </c:pt>
                <c:pt idx="24">
                  <c:v>121.4915000072095</c:v>
                </c:pt>
                <c:pt idx="25">
                  <c:v>122.20523985984745</c:v>
                </c:pt>
                <c:pt idx="26">
                  <c:v>122.69836921257912</c:v>
                </c:pt>
                <c:pt idx="27">
                  <c:v>122.66664744135079</c:v>
                </c:pt>
                <c:pt idx="28">
                  <c:v>122.18937897423328</c:v>
                </c:pt>
                <c:pt idx="29">
                  <c:v>119.48726082505443</c:v>
                </c:pt>
                <c:pt idx="30">
                  <c:v>118.10880567531325</c:v>
                </c:pt>
                <c:pt idx="31">
                  <c:v>118.43900047582656</c:v>
                </c:pt>
                <c:pt idx="32">
                  <c:v>121.24926102692024</c:v>
                </c:pt>
                <c:pt idx="33">
                  <c:v>121.00846394532321</c:v>
                </c:pt>
                <c:pt idx="34">
                  <c:v>121.50303519674708</c:v>
                </c:pt>
                <c:pt idx="35">
                  <c:v>122.06970138278086</c:v>
                </c:pt>
                <c:pt idx="36">
                  <c:v>121.6890401280406</c:v>
                </c:pt>
                <c:pt idx="37">
                  <c:v>121.11228065116147</c:v>
                </c:pt>
                <c:pt idx="38">
                  <c:v>121.07190748777992</c:v>
                </c:pt>
                <c:pt idx="39">
                  <c:v>120.46919383444119</c:v>
                </c:pt>
                <c:pt idx="40">
                  <c:v>122.39989618329416</c:v>
                </c:pt>
                <c:pt idx="41">
                  <c:v>125.5230487505948</c:v>
                </c:pt>
                <c:pt idx="42">
                  <c:v>122.99828414055629</c:v>
                </c:pt>
                <c:pt idx="43">
                  <c:v>124.40413536544924</c:v>
                </c:pt>
                <c:pt idx="44">
                  <c:v>123.79997981341833</c:v>
                </c:pt>
                <c:pt idx="45">
                  <c:v>119.65884676942598</c:v>
                </c:pt>
                <c:pt idx="46">
                  <c:v>121.27665710207202</c:v>
                </c:pt>
                <c:pt idx="47">
                  <c:v>121.18437558577135</c:v>
                </c:pt>
                <c:pt idx="48">
                  <c:v>120.29184029530084</c:v>
                </c:pt>
                <c:pt idx="49">
                  <c:v>120.2601185240725</c:v>
                </c:pt>
                <c:pt idx="50">
                  <c:v>122.33789453952966</c:v>
                </c:pt>
                <c:pt idx="51">
                  <c:v>121.4136374778308</c:v>
                </c:pt>
                <c:pt idx="52">
                  <c:v>123.71923348665523</c:v>
                </c:pt>
                <c:pt idx="53">
                  <c:v>125.19285395008146</c:v>
                </c:pt>
                <c:pt idx="54">
                  <c:v>125.90082620795062</c:v>
                </c:pt>
                <c:pt idx="55">
                  <c:v>125.15248078669994</c:v>
                </c:pt>
                <c:pt idx="56">
                  <c:v>128.56112929505574</c:v>
                </c:pt>
                <c:pt idx="57">
                  <c:v>131.07003301948006</c:v>
                </c:pt>
                <c:pt idx="58">
                  <c:v>130.73983821896675</c:v>
                </c:pt>
                <c:pt idx="59">
                  <c:v>127.8387380502646</c:v>
                </c:pt>
                <c:pt idx="60">
                  <c:v>129.8271163468055</c:v>
                </c:pt>
                <c:pt idx="61">
                  <c:v>128.98648940925409</c:v>
                </c:pt>
                <c:pt idx="62">
                  <c:v>125.41923204475655</c:v>
                </c:pt>
                <c:pt idx="63">
                  <c:v>125.00108142401916</c:v>
                </c:pt>
                <c:pt idx="64">
                  <c:v>123.92542499963955</c:v>
                </c:pt>
                <c:pt idx="65">
                  <c:v>125.7177050740415</c:v>
                </c:pt>
                <c:pt idx="66">
                  <c:v>123.54187994751489</c:v>
                </c:pt>
                <c:pt idx="67">
                  <c:v>127.20718642308194</c:v>
                </c:pt>
                <c:pt idx="68">
                  <c:v>125.96138595302295</c:v>
                </c:pt>
                <c:pt idx="69">
                  <c:v>128.63322422966564</c:v>
                </c:pt>
                <c:pt idx="70">
                  <c:v>131.80395945380877</c:v>
                </c:pt>
                <c:pt idx="71">
                  <c:v>130.58555505890158</c:v>
                </c:pt>
                <c:pt idx="72">
                  <c:v>132.11396767263133</c:v>
                </c:pt>
                <c:pt idx="73">
                  <c:v>133.71447522097097</c:v>
                </c:pt>
                <c:pt idx="74">
                  <c:v>133.52702839098524</c:v>
                </c:pt>
                <c:pt idx="75">
                  <c:v>134.42821507360892</c:v>
                </c:pt>
                <c:pt idx="76">
                  <c:v>134.11099736132542</c:v>
                </c:pt>
                <c:pt idx="77">
                  <c:v>131.38580883307139</c:v>
                </c:pt>
                <c:pt idx="78">
                  <c:v>131.11184808155377</c:v>
                </c:pt>
                <c:pt idx="79">
                  <c:v>131.11184808155377</c:v>
                </c:pt>
                <c:pt idx="80">
                  <c:v>124.50074257782649</c:v>
                </c:pt>
                <c:pt idx="81">
                  <c:v>127.78827159603767</c:v>
                </c:pt>
                <c:pt idx="82">
                  <c:v>128.7903911871152</c:v>
                </c:pt>
                <c:pt idx="83">
                  <c:v>126.85103744610903</c:v>
                </c:pt>
                <c:pt idx="84">
                  <c:v>129.57622597436304</c:v>
                </c:pt>
                <c:pt idx="85">
                  <c:v>127.35570198837831</c:v>
                </c:pt>
                <c:pt idx="86">
                  <c:v>124.59446599281935</c:v>
                </c:pt>
                <c:pt idx="87">
                  <c:v>130.03763355586636</c:v>
                </c:pt>
                <c:pt idx="88">
                  <c:v>130.37647974853289</c:v>
                </c:pt>
                <c:pt idx="89">
                  <c:v>130.93882023849005</c:v>
                </c:pt>
                <c:pt idx="90">
                  <c:v>132.48886133260277</c:v>
                </c:pt>
                <c:pt idx="91">
                  <c:v>132.17885311378024</c:v>
                </c:pt>
                <c:pt idx="92">
                  <c:v>133.45493345637536</c:v>
                </c:pt>
                <c:pt idx="93">
                  <c:v>130.90998226464609</c:v>
                </c:pt>
                <c:pt idx="94">
                  <c:v>132.61863221490057</c:v>
                </c:pt>
                <c:pt idx="95">
                  <c:v>131.77512147996481</c:v>
                </c:pt>
                <c:pt idx="96">
                  <c:v>133.28190561331161</c:v>
                </c:pt>
                <c:pt idx="97">
                  <c:v>133.65679927328307</c:v>
                </c:pt>
                <c:pt idx="98">
                  <c:v>132.23652906146813</c:v>
                </c:pt>
                <c:pt idx="99">
                  <c:v>133.62796129943911</c:v>
                </c:pt>
                <c:pt idx="100">
                  <c:v>132.71235562989347</c:v>
                </c:pt>
                <c:pt idx="101">
                  <c:v>132.37350943722694</c:v>
                </c:pt>
                <c:pt idx="102">
                  <c:v>131.47953224806426</c:v>
                </c:pt>
                <c:pt idx="103">
                  <c:v>129.46808357244822</c:v>
                </c:pt>
                <c:pt idx="104">
                  <c:v>129.58343546782405</c:v>
                </c:pt>
                <c:pt idx="105">
                  <c:v>128.81922916095917</c:v>
                </c:pt>
                <c:pt idx="106">
                  <c:v>135.1275359393249</c:v>
                </c:pt>
                <c:pt idx="107">
                  <c:v>138.53041685291191</c:v>
                </c:pt>
                <c:pt idx="108">
                  <c:v>136.94432829149426</c:v>
                </c:pt>
                <c:pt idx="109">
                  <c:v>135.89895173965078</c:v>
                </c:pt>
                <c:pt idx="110">
                  <c:v>135.08427897855896</c:v>
                </c:pt>
                <c:pt idx="111">
                  <c:v>134.54356696898478</c:v>
                </c:pt>
                <c:pt idx="112">
                  <c:v>135.25009732816173</c:v>
                </c:pt>
                <c:pt idx="113">
                  <c:v>133.0872492898649</c:v>
                </c:pt>
                <c:pt idx="114">
                  <c:v>132.51048981298575</c:v>
                </c:pt>
                <c:pt idx="115">
                  <c:v>129.84297723241966</c:v>
                </c:pt>
                <c:pt idx="116">
                  <c:v>130.49183164390868</c:v>
                </c:pt>
                <c:pt idx="117">
                  <c:v>132.00582527071649</c:v>
                </c:pt>
                <c:pt idx="118">
                  <c:v>132.15001513993627</c:v>
                </c:pt>
                <c:pt idx="119">
                  <c:v>133.80819863596386</c:v>
                </c:pt>
                <c:pt idx="120">
                  <c:v>137.19666056262886</c:v>
                </c:pt>
                <c:pt idx="121">
                  <c:v>136.54780615113981</c:v>
                </c:pt>
                <c:pt idx="122">
                  <c:v>135.03381252433203</c:v>
                </c:pt>
                <c:pt idx="123">
                  <c:v>135.05544100471499</c:v>
                </c:pt>
                <c:pt idx="124">
                  <c:v>133.0872492898649</c:v>
                </c:pt>
                <c:pt idx="125">
                  <c:v>131.23440947039063</c:v>
                </c:pt>
                <c:pt idx="126">
                  <c:v>133.41888598907042</c:v>
                </c:pt>
                <c:pt idx="127">
                  <c:v>133.32516257407752</c:v>
                </c:pt>
                <c:pt idx="128">
                  <c:v>133.75773218173691</c:v>
                </c:pt>
                <c:pt idx="129">
                  <c:v>135.62499098813319</c:v>
                </c:pt>
                <c:pt idx="130">
                  <c:v>136.6415295661327</c:v>
                </c:pt>
                <c:pt idx="131">
                  <c:v>134.60124291667267</c:v>
                </c:pt>
                <c:pt idx="132">
                  <c:v>132.48886133260277</c:v>
                </c:pt>
                <c:pt idx="133">
                  <c:v>133.86587458365176</c:v>
                </c:pt>
                <c:pt idx="134">
                  <c:v>132.90701195334015</c:v>
                </c:pt>
                <c:pt idx="135">
                  <c:v>133.13050625063084</c:v>
                </c:pt>
                <c:pt idx="136">
                  <c:v>135.82685680504088</c:v>
                </c:pt>
                <c:pt idx="137">
                  <c:v>136.75688146150853</c:v>
                </c:pt>
                <c:pt idx="138">
                  <c:v>137.34805992530966</c:v>
                </c:pt>
                <c:pt idx="139">
                  <c:v>139.6190503655213</c:v>
                </c:pt>
                <c:pt idx="140">
                  <c:v>138.2708750883163</c:v>
                </c:pt>
                <c:pt idx="141">
                  <c:v>131.75349299958185</c:v>
                </c:pt>
                <c:pt idx="142">
                  <c:v>126.95917984802388</c:v>
                </c:pt>
                <c:pt idx="143">
                  <c:v>127.83152855680359</c:v>
                </c:pt>
                <c:pt idx="144">
                  <c:v>127.58640577912996</c:v>
                </c:pt>
                <c:pt idx="145">
                  <c:v>127.06011275647775</c:v>
                </c:pt>
                <c:pt idx="146">
                  <c:v>126.25264948884691</c:v>
                </c:pt>
                <c:pt idx="147">
                  <c:v>127.65129122027885</c:v>
                </c:pt>
                <c:pt idx="148">
                  <c:v>128.60294435712947</c:v>
                </c:pt>
                <c:pt idx="149">
                  <c:v>126.40404885152769</c:v>
                </c:pt>
                <c:pt idx="150">
                  <c:v>126.75731403111618</c:v>
                </c:pt>
                <c:pt idx="151">
                  <c:v>126.47614378613758</c:v>
                </c:pt>
                <c:pt idx="152">
                  <c:v>126.56986720113044</c:v>
                </c:pt>
                <c:pt idx="153">
                  <c:v>122.99395844447969</c:v>
                </c:pt>
                <c:pt idx="154">
                  <c:v>124.00328752901821</c:v>
                </c:pt>
                <c:pt idx="155">
                  <c:v>124.21236283938693</c:v>
                </c:pt>
                <c:pt idx="156">
                  <c:v>130.52066961775267</c:v>
                </c:pt>
                <c:pt idx="157">
                  <c:v>130.10251899701527</c:v>
                </c:pt>
                <c:pt idx="158">
                  <c:v>128.01176589332835</c:v>
                </c:pt>
                <c:pt idx="159">
                  <c:v>129.1364468732427</c:v>
                </c:pt>
                <c:pt idx="160">
                  <c:v>128.97783801710091</c:v>
                </c:pt>
                <c:pt idx="161">
                  <c:v>129.8862341931856</c:v>
                </c:pt>
                <c:pt idx="162">
                  <c:v>126.34637290383979</c:v>
                </c:pt>
                <c:pt idx="163">
                  <c:v>126.43288682537165</c:v>
                </c:pt>
                <c:pt idx="164">
                  <c:v>126.57707669459144</c:v>
                </c:pt>
                <c:pt idx="165">
                  <c:v>128.23526019061902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A-45C9-A0C8-13206ECD1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426352"/>
        <c:axId val="760426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EQ_25vsBAJAJFIN!#REF!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EQ_25vsBAJAJFIN!$A:$A</c15:sqref>
                        </c15:formulaRef>
                      </c:ext>
                    </c:extLst>
                    <c:strCache>
                      <c:ptCount val="167"/>
                      <c:pt idx="0">
                        <c:v>Date</c:v>
                      </c:pt>
                      <c:pt idx="1">
                        <c:v>01-01-2025</c:v>
                      </c:pt>
                      <c:pt idx="2">
                        <c:v>02-01-2025</c:v>
                      </c:pt>
                      <c:pt idx="3">
                        <c:v>03-01-2025</c:v>
                      </c:pt>
                      <c:pt idx="4">
                        <c:v>06-01-2025</c:v>
                      </c:pt>
                      <c:pt idx="5">
                        <c:v>07-01-2025</c:v>
                      </c:pt>
                      <c:pt idx="6">
                        <c:v>08-01-2025</c:v>
                      </c:pt>
                      <c:pt idx="7">
                        <c:v>09-01-2025</c:v>
                      </c:pt>
                      <c:pt idx="8">
                        <c:v>10-01-2025</c:v>
                      </c:pt>
                      <c:pt idx="9">
                        <c:v>13-01-2025</c:v>
                      </c:pt>
                      <c:pt idx="10">
                        <c:v>14-01-2025</c:v>
                      </c:pt>
                      <c:pt idx="11">
                        <c:v>15-01-2025</c:v>
                      </c:pt>
                      <c:pt idx="12">
                        <c:v>16-01-2025</c:v>
                      </c:pt>
                      <c:pt idx="13">
                        <c:v>17-01-2025</c:v>
                      </c:pt>
                      <c:pt idx="14">
                        <c:v>20-01-2025</c:v>
                      </c:pt>
                      <c:pt idx="15">
                        <c:v>21-01-2025</c:v>
                      </c:pt>
                      <c:pt idx="16">
                        <c:v>22-01-2025</c:v>
                      </c:pt>
                      <c:pt idx="17">
                        <c:v>23-01-2025</c:v>
                      </c:pt>
                      <c:pt idx="18">
                        <c:v>24-01-2025</c:v>
                      </c:pt>
                      <c:pt idx="19">
                        <c:v>27-01-2025</c:v>
                      </c:pt>
                      <c:pt idx="20">
                        <c:v>28-01-2025</c:v>
                      </c:pt>
                      <c:pt idx="21">
                        <c:v>29-01-2025</c:v>
                      </c:pt>
                      <c:pt idx="22">
                        <c:v>30-01-2025</c:v>
                      </c:pt>
                      <c:pt idx="23">
                        <c:v>31-01-2025</c:v>
                      </c:pt>
                      <c:pt idx="24">
                        <c:v>01-02-2025</c:v>
                      </c:pt>
                      <c:pt idx="25">
                        <c:v>03-02-2025</c:v>
                      </c:pt>
                      <c:pt idx="26">
                        <c:v>04-02-2025</c:v>
                      </c:pt>
                      <c:pt idx="27">
                        <c:v>05-02-2025</c:v>
                      </c:pt>
                      <c:pt idx="28">
                        <c:v>06-02-2025</c:v>
                      </c:pt>
                      <c:pt idx="29">
                        <c:v>07-02-2025</c:v>
                      </c:pt>
                      <c:pt idx="30">
                        <c:v>10-02-2025</c:v>
                      </c:pt>
                      <c:pt idx="31">
                        <c:v>11-02-2025</c:v>
                      </c:pt>
                      <c:pt idx="32">
                        <c:v>12-02-2025</c:v>
                      </c:pt>
                      <c:pt idx="33">
                        <c:v>13-02-2025</c:v>
                      </c:pt>
                      <c:pt idx="34">
                        <c:v>14-02-2025</c:v>
                      </c:pt>
                      <c:pt idx="35">
                        <c:v>17-02-2025</c:v>
                      </c:pt>
                      <c:pt idx="36">
                        <c:v>18-02-2025</c:v>
                      </c:pt>
                      <c:pt idx="37">
                        <c:v>19-02-2025</c:v>
                      </c:pt>
                      <c:pt idx="38">
                        <c:v>20-02-2025</c:v>
                      </c:pt>
                      <c:pt idx="39">
                        <c:v>21-02-2025</c:v>
                      </c:pt>
                      <c:pt idx="40">
                        <c:v>24-02-2025</c:v>
                      </c:pt>
                      <c:pt idx="41">
                        <c:v>25-02-2025</c:v>
                      </c:pt>
                      <c:pt idx="42">
                        <c:v>27-02-2025</c:v>
                      </c:pt>
                      <c:pt idx="43">
                        <c:v>28-02-2025</c:v>
                      </c:pt>
                      <c:pt idx="44">
                        <c:v>03-03-2025</c:v>
                      </c:pt>
                      <c:pt idx="45">
                        <c:v>04-03-2025</c:v>
                      </c:pt>
                      <c:pt idx="46">
                        <c:v>05-03-2025</c:v>
                      </c:pt>
                      <c:pt idx="47">
                        <c:v>06-03-2025</c:v>
                      </c:pt>
                      <c:pt idx="48">
                        <c:v>07-03-2025</c:v>
                      </c:pt>
                      <c:pt idx="49">
                        <c:v>10-03-2025</c:v>
                      </c:pt>
                      <c:pt idx="50">
                        <c:v>11-03-2025</c:v>
                      </c:pt>
                      <c:pt idx="51">
                        <c:v>12-03-2025</c:v>
                      </c:pt>
                      <c:pt idx="52">
                        <c:v>13-03-2025</c:v>
                      </c:pt>
                      <c:pt idx="53">
                        <c:v>17-03-2025</c:v>
                      </c:pt>
                      <c:pt idx="54">
                        <c:v>18-03-2025</c:v>
                      </c:pt>
                      <c:pt idx="55">
                        <c:v>19-03-2025</c:v>
                      </c:pt>
                      <c:pt idx="56">
                        <c:v>20-03-2025</c:v>
                      </c:pt>
                      <c:pt idx="57">
                        <c:v>21-03-2025</c:v>
                      </c:pt>
                      <c:pt idx="58">
                        <c:v>24-03-2025</c:v>
                      </c:pt>
                      <c:pt idx="59">
                        <c:v>25-03-2025</c:v>
                      </c:pt>
                      <c:pt idx="60">
                        <c:v>26-03-2025</c:v>
                      </c:pt>
                      <c:pt idx="61">
                        <c:v>27-03-2025</c:v>
                      </c:pt>
                      <c:pt idx="62">
                        <c:v>28-03-2025</c:v>
                      </c:pt>
                      <c:pt idx="63">
                        <c:v>01-04-2025</c:v>
                      </c:pt>
                      <c:pt idx="64">
                        <c:v>02-04-2025</c:v>
                      </c:pt>
                      <c:pt idx="65">
                        <c:v>03-04-2025</c:v>
                      </c:pt>
                      <c:pt idx="66">
                        <c:v>04-04-2025</c:v>
                      </c:pt>
                      <c:pt idx="67">
                        <c:v>07-04-2025</c:v>
                      </c:pt>
                      <c:pt idx="68">
                        <c:v>08-04-2025</c:v>
                      </c:pt>
                      <c:pt idx="69">
                        <c:v>09-04-2025</c:v>
                      </c:pt>
                      <c:pt idx="70">
                        <c:v>11-04-2025</c:v>
                      </c:pt>
                      <c:pt idx="71">
                        <c:v>15-04-2025</c:v>
                      </c:pt>
                      <c:pt idx="72">
                        <c:v>16-04-2025</c:v>
                      </c:pt>
                      <c:pt idx="73">
                        <c:v>17-04-2025</c:v>
                      </c:pt>
                      <c:pt idx="74">
                        <c:v>21-04-2025</c:v>
                      </c:pt>
                      <c:pt idx="75">
                        <c:v>22-04-2025</c:v>
                      </c:pt>
                      <c:pt idx="76">
                        <c:v>23-04-2025</c:v>
                      </c:pt>
                      <c:pt idx="77">
                        <c:v>24-04-2025</c:v>
                      </c:pt>
                      <c:pt idx="78">
                        <c:v>25-04-2025</c:v>
                      </c:pt>
                      <c:pt idx="79">
                        <c:v>28-04-2025</c:v>
                      </c:pt>
                      <c:pt idx="80">
                        <c:v>29-04-2025</c:v>
                      </c:pt>
                      <c:pt idx="81">
                        <c:v>30-04-2025</c:v>
                      </c:pt>
                      <c:pt idx="82">
                        <c:v>02-05-2025</c:v>
                      </c:pt>
                      <c:pt idx="83">
                        <c:v>05-05-2025</c:v>
                      </c:pt>
                      <c:pt idx="84">
                        <c:v>06-05-2025</c:v>
                      </c:pt>
                      <c:pt idx="85">
                        <c:v>07-05-2025</c:v>
                      </c:pt>
                      <c:pt idx="86">
                        <c:v>08-05-2025</c:v>
                      </c:pt>
                      <c:pt idx="87">
                        <c:v>09-05-2025</c:v>
                      </c:pt>
                      <c:pt idx="88">
                        <c:v>12-05-2025</c:v>
                      </c:pt>
                      <c:pt idx="89">
                        <c:v>13-05-2025</c:v>
                      </c:pt>
                      <c:pt idx="90">
                        <c:v>14-05-2025</c:v>
                      </c:pt>
                      <c:pt idx="91">
                        <c:v>15-05-2025</c:v>
                      </c:pt>
                      <c:pt idx="92">
                        <c:v>16-05-2025</c:v>
                      </c:pt>
                      <c:pt idx="93">
                        <c:v>19-05-2025</c:v>
                      </c:pt>
                      <c:pt idx="94">
                        <c:v>20-05-2025</c:v>
                      </c:pt>
                      <c:pt idx="95">
                        <c:v>21-05-2025</c:v>
                      </c:pt>
                      <c:pt idx="96">
                        <c:v>22-05-2025</c:v>
                      </c:pt>
                      <c:pt idx="97">
                        <c:v>23-05-2025</c:v>
                      </c:pt>
                      <c:pt idx="98">
                        <c:v>26-05-2025</c:v>
                      </c:pt>
                      <c:pt idx="99">
                        <c:v>27-05-2025</c:v>
                      </c:pt>
                      <c:pt idx="100">
                        <c:v>28-05-2025</c:v>
                      </c:pt>
                      <c:pt idx="101">
                        <c:v>29-05-2025</c:v>
                      </c:pt>
                      <c:pt idx="102">
                        <c:v>30-05-2025</c:v>
                      </c:pt>
                      <c:pt idx="103">
                        <c:v>02-06-2025</c:v>
                      </c:pt>
                      <c:pt idx="104">
                        <c:v>03-06-2025</c:v>
                      </c:pt>
                      <c:pt idx="105">
                        <c:v>04-06-2025</c:v>
                      </c:pt>
                      <c:pt idx="106">
                        <c:v>05-06-2025</c:v>
                      </c:pt>
                      <c:pt idx="107">
                        <c:v>06-06-2025</c:v>
                      </c:pt>
                      <c:pt idx="108">
                        <c:v>09-06-2025</c:v>
                      </c:pt>
                      <c:pt idx="109">
                        <c:v>10-06-2025</c:v>
                      </c:pt>
                      <c:pt idx="110">
                        <c:v>11-06-2025</c:v>
                      </c:pt>
                      <c:pt idx="111">
                        <c:v>12-06-2025</c:v>
                      </c:pt>
                      <c:pt idx="112">
                        <c:v>13-06-2025</c:v>
                      </c:pt>
                      <c:pt idx="113">
                        <c:v>16-06-2025</c:v>
                      </c:pt>
                      <c:pt idx="114">
                        <c:v>17-06-2025</c:v>
                      </c:pt>
                      <c:pt idx="115">
                        <c:v>18-06-2025</c:v>
                      </c:pt>
                      <c:pt idx="116">
                        <c:v>19-06-2025</c:v>
                      </c:pt>
                      <c:pt idx="117">
                        <c:v>20-06-2025</c:v>
                      </c:pt>
                      <c:pt idx="118">
                        <c:v>23-06-2025</c:v>
                      </c:pt>
                      <c:pt idx="119">
                        <c:v>24-06-2025</c:v>
                      </c:pt>
                      <c:pt idx="120">
                        <c:v>25-06-2025</c:v>
                      </c:pt>
                      <c:pt idx="121">
                        <c:v>26-06-2025</c:v>
                      </c:pt>
                      <c:pt idx="122">
                        <c:v>27-06-2025</c:v>
                      </c:pt>
                      <c:pt idx="123">
                        <c:v>30-06-2025</c:v>
                      </c:pt>
                      <c:pt idx="124">
                        <c:v>01-07-2025</c:v>
                      </c:pt>
                      <c:pt idx="125">
                        <c:v>02-07-2025</c:v>
                      </c:pt>
                      <c:pt idx="126">
                        <c:v>03-07-2025</c:v>
                      </c:pt>
                      <c:pt idx="127">
                        <c:v>04-07-2025</c:v>
                      </c:pt>
                      <c:pt idx="128">
                        <c:v>07-07-2025</c:v>
                      </c:pt>
                      <c:pt idx="129">
                        <c:v>08-07-2025</c:v>
                      </c:pt>
                      <c:pt idx="130">
                        <c:v>09-07-2025</c:v>
                      </c:pt>
                      <c:pt idx="131">
                        <c:v>10-07-2025</c:v>
                      </c:pt>
                      <c:pt idx="132">
                        <c:v>11-07-2025</c:v>
                      </c:pt>
                      <c:pt idx="133">
                        <c:v>14-07-2025</c:v>
                      </c:pt>
                      <c:pt idx="134">
                        <c:v>15-07-2025</c:v>
                      </c:pt>
                      <c:pt idx="135">
                        <c:v>16-07-2025</c:v>
                      </c:pt>
                      <c:pt idx="136">
                        <c:v>17-07-2025</c:v>
                      </c:pt>
                      <c:pt idx="137">
                        <c:v>18-07-2025</c:v>
                      </c:pt>
                      <c:pt idx="138">
                        <c:v>21-07-2025</c:v>
                      </c:pt>
                      <c:pt idx="139">
                        <c:v>22-07-2025</c:v>
                      </c:pt>
                      <c:pt idx="140">
                        <c:v>23-07-2025</c:v>
                      </c:pt>
                      <c:pt idx="141">
                        <c:v>24-07-2025</c:v>
                      </c:pt>
                      <c:pt idx="142">
                        <c:v>25-07-2025</c:v>
                      </c:pt>
                      <c:pt idx="143">
                        <c:v>28-07-2025</c:v>
                      </c:pt>
                      <c:pt idx="144">
                        <c:v>29-07-2025</c:v>
                      </c:pt>
                      <c:pt idx="145">
                        <c:v>30-07-2025</c:v>
                      </c:pt>
                      <c:pt idx="146">
                        <c:v>31-07-2025</c:v>
                      </c:pt>
                      <c:pt idx="147">
                        <c:v>01-08-2025</c:v>
                      </c:pt>
                      <c:pt idx="148">
                        <c:v>04-08-2025</c:v>
                      </c:pt>
                      <c:pt idx="149">
                        <c:v>05-08-2025</c:v>
                      </c:pt>
                      <c:pt idx="150">
                        <c:v>06-08-2025</c:v>
                      </c:pt>
                      <c:pt idx="151">
                        <c:v>07-08-2025</c:v>
                      </c:pt>
                      <c:pt idx="152">
                        <c:v>08-08-2025</c:v>
                      </c:pt>
                      <c:pt idx="153">
                        <c:v>11-08-2025</c:v>
                      </c:pt>
                      <c:pt idx="154">
                        <c:v>12-08-2025</c:v>
                      </c:pt>
                      <c:pt idx="155">
                        <c:v>13-08-2025</c:v>
                      </c:pt>
                      <c:pt idx="156">
                        <c:v>14-08-2025</c:v>
                      </c:pt>
                      <c:pt idx="157">
                        <c:v>18-08-2025</c:v>
                      </c:pt>
                      <c:pt idx="158">
                        <c:v>19-08-2025</c:v>
                      </c:pt>
                      <c:pt idx="159">
                        <c:v>20-08-2025</c:v>
                      </c:pt>
                      <c:pt idx="160">
                        <c:v>21-08-2025</c:v>
                      </c:pt>
                      <c:pt idx="161">
                        <c:v>22-08-2025</c:v>
                      </c:pt>
                      <c:pt idx="162">
                        <c:v>25-08-2025</c:v>
                      </c:pt>
                      <c:pt idx="163">
                        <c:v>26-08-2025</c:v>
                      </c:pt>
                      <c:pt idx="164">
                        <c:v>28-08-2025</c:v>
                      </c:pt>
                      <c:pt idx="165">
                        <c:v>29-08-2025</c:v>
                      </c:pt>
                      <c:pt idx="166">
                        <c:v>01-09-2025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EQ_25vsBAJAJFIN!#REF!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CBA-45C9-A0C8-13206ECD117E}"/>
                  </c:ext>
                </c:extLst>
              </c15:ser>
            </c15:filteredLineSeries>
          </c:ext>
        </c:extLst>
      </c:lineChart>
      <c:catAx>
        <c:axId val="760426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0426712"/>
        <c:crosses val="autoZero"/>
        <c:auto val="1"/>
        <c:lblAlgn val="ctr"/>
        <c:lblOffset val="100"/>
        <c:noMultiLvlLbl val="0"/>
      </c:catAx>
      <c:valAx>
        <c:axId val="76042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42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115365</xdr:colOff>
      <xdr:row>7</xdr:row>
      <xdr:rowOff>95620</xdr:rowOff>
    </xdr:from>
    <xdr:to>
      <xdr:col>20</xdr:col>
      <xdr:colOff>87834</xdr:colOff>
      <xdr:row>22</xdr:row>
      <xdr:rowOff>27040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3FF05-2C55-43B7-953D-85C1C0F03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0</xdr:row>
      <xdr:rowOff>140970</xdr:rowOff>
    </xdr:from>
    <xdr:to>
      <xdr:col>11</xdr:col>
      <xdr:colOff>83820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6546C-E89B-A6BF-4EF2-56CC22586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000"/>
  <sheetViews>
    <sheetView topLeftCell="AT18" workbookViewId="0">
      <selection activeCell="AY3" sqref="AY3"/>
    </sheetView>
  </sheetViews>
  <sheetFormatPr defaultColWidth="12.6640625" defaultRowHeight="15" customHeight="1" x14ac:dyDescent="0.3"/>
  <cols>
    <col min="1" max="51" width="20.33203125" customWidth="1"/>
    <col min="52" max="60" width="8.6640625" customWidth="1"/>
  </cols>
  <sheetData>
    <row r="1" spans="1:60" ht="14.25" customHeight="1" x14ac:dyDescent="0.3">
      <c r="A1" s="15" t="s">
        <v>0</v>
      </c>
      <c r="B1" s="15" t="s">
        <v>6</v>
      </c>
      <c r="C1" s="15" t="s">
        <v>7</v>
      </c>
      <c r="D1" s="15" t="s">
        <v>8</v>
      </c>
      <c r="E1" s="15" t="s">
        <v>9</v>
      </c>
      <c r="F1" s="15" t="s">
        <v>10</v>
      </c>
      <c r="G1" s="15" t="s">
        <v>11</v>
      </c>
      <c r="H1" s="15" t="s">
        <v>12</v>
      </c>
      <c r="I1" s="15" t="s">
        <v>13</v>
      </c>
      <c r="J1" s="15" t="s">
        <v>14</v>
      </c>
      <c r="K1" s="15" t="s">
        <v>15</v>
      </c>
      <c r="L1" s="15" t="s">
        <v>16</v>
      </c>
      <c r="M1" s="15" t="s">
        <v>17</v>
      </c>
      <c r="N1" s="15" t="s">
        <v>18</v>
      </c>
      <c r="O1" s="15" t="s">
        <v>19</v>
      </c>
      <c r="P1" s="15" t="s">
        <v>20</v>
      </c>
      <c r="Q1" s="15" t="s">
        <v>21</v>
      </c>
      <c r="R1" s="15" t="s">
        <v>22</v>
      </c>
      <c r="S1" s="15" t="s">
        <v>23</v>
      </c>
      <c r="T1" s="15" t="s">
        <v>24</v>
      </c>
      <c r="U1" s="15" t="s">
        <v>25</v>
      </c>
      <c r="V1" s="15" t="s">
        <v>26</v>
      </c>
      <c r="W1" s="15" t="s">
        <v>27</v>
      </c>
      <c r="X1" s="15" t="s">
        <v>28</v>
      </c>
      <c r="Y1" s="15" t="s">
        <v>29</v>
      </c>
      <c r="Z1" s="15" t="s">
        <v>30</v>
      </c>
      <c r="AA1" s="15" t="s">
        <v>31</v>
      </c>
      <c r="AB1" s="15" t="s">
        <v>32</v>
      </c>
      <c r="AC1" s="15" t="s">
        <v>33</v>
      </c>
      <c r="AD1" s="15" t="s">
        <v>34</v>
      </c>
      <c r="AE1" s="15" t="s">
        <v>35</v>
      </c>
      <c r="AF1" s="15" t="s">
        <v>36</v>
      </c>
      <c r="AG1" s="15" t="s">
        <v>85</v>
      </c>
      <c r="AH1" s="15" t="s">
        <v>38</v>
      </c>
      <c r="AI1" s="15" t="s">
        <v>39</v>
      </c>
      <c r="AJ1" s="15" t="s">
        <v>40</v>
      </c>
      <c r="AK1" s="15" t="s">
        <v>41</v>
      </c>
      <c r="AL1" s="15" t="s">
        <v>42</v>
      </c>
      <c r="AM1" s="15" t="s">
        <v>43</v>
      </c>
      <c r="AN1" s="15" t="s">
        <v>44</v>
      </c>
      <c r="AO1" s="15" t="s">
        <v>45</v>
      </c>
      <c r="AP1" s="15" t="s">
        <v>46</v>
      </c>
      <c r="AQ1" s="15" t="s">
        <v>47</v>
      </c>
      <c r="AR1" s="15" t="s">
        <v>48</v>
      </c>
      <c r="AS1" s="15" t="s">
        <v>49</v>
      </c>
      <c r="AT1" s="15" t="s">
        <v>50</v>
      </c>
      <c r="AU1" s="15" t="s">
        <v>51</v>
      </c>
      <c r="AV1" s="15" t="s">
        <v>52</v>
      </c>
      <c r="AW1" s="15" t="s">
        <v>53</v>
      </c>
      <c r="AX1" s="15" t="s">
        <v>54</v>
      </c>
      <c r="AY1" s="15" t="s">
        <v>55</v>
      </c>
    </row>
    <row r="2" spans="1:60" ht="14.25" customHeight="1" x14ac:dyDescent="0.3">
      <c r="A2" s="2">
        <v>45658</v>
      </c>
      <c r="B2" s="1">
        <v>23742.9</v>
      </c>
      <c r="C2" s="1">
        <v>1221.25</v>
      </c>
      <c r="D2" s="1">
        <v>891.38</v>
      </c>
      <c r="E2" s="1">
        <v>1595.7</v>
      </c>
      <c r="F2" s="1">
        <v>4112.45</v>
      </c>
      <c r="G2" s="1">
        <v>1283.6500000000001</v>
      </c>
      <c r="H2" s="1">
        <v>793.2</v>
      </c>
      <c r="I2" s="1">
        <v>1882.5</v>
      </c>
      <c r="J2" s="1">
        <v>2322.1</v>
      </c>
      <c r="K2" s="1">
        <v>693.53</v>
      </c>
      <c r="L2" s="1">
        <v>457.82</v>
      </c>
      <c r="M2" s="1">
        <v>3667.5</v>
      </c>
      <c r="N2" s="1">
        <v>11208.3</v>
      </c>
      <c r="O2" s="1">
        <v>3082</v>
      </c>
      <c r="P2" s="1">
        <v>1788.4</v>
      </c>
      <c r="Q2" s="1">
        <v>1911.95</v>
      </c>
      <c r="R2" s="1">
        <v>1889.95</v>
      </c>
      <c r="S2" s="1">
        <v>11447</v>
      </c>
      <c r="T2" s="1">
        <v>1071.8</v>
      </c>
      <c r="U2" s="1">
        <v>1576.4</v>
      </c>
      <c r="V2" s="1">
        <v>3253.85</v>
      </c>
      <c r="W2" s="1">
        <v>333.65</v>
      </c>
      <c r="X2" s="1">
        <v>276.5</v>
      </c>
      <c r="Y2" s="1">
        <v>1218.7</v>
      </c>
      <c r="Z2" s="1">
        <v>236.95</v>
      </c>
      <c r="AA2" s="1">
        <v>293.89999999999998</v>
      </c>
      <c r="AB2" s="1">
        <v>905.45</v>
      </c>
      <c r="AC2" s="1">
        <v>300.3</v>
      </c>
      <c r="AD2" s="1">
        <v>310.39999999999998</v>
      </c>
      <c r="AE2" s="1">
        <v>749.25</v>
      </c>
      <c r="AF2" s="1">
        <v>8740.5499999999993</v>
      </c>
      <c r="AG2" s="1">
        <v>2304.65</v>
      </c>
      <c r="AH2" s="1">
        <v>386.4</v>
      </c>
      <c r="AI2" s="1">
        <v>1084.6199999999999</v>
      </c>
      <c r="AJ2" s="1">
        <v>136.74</v>
      </c>
      <c r="AK2" s="1">
        <v>304.45</v>
      </c>
      <c r="AL2" s="1">
        <v>2442.15</v>
      </c>
      <c r="AM2" s="1">
        <v>4885.3</v>
      </c>
      <c r="AN2" s="1">
        <v>7068.05</v>
      </c>
      <c r="AO2" s="1">
        <v>1400.4</v>
      </c>
      <c r="AP2" s="1">
        <v>617.20000000000005</v>
      </c>
      <c r="AQ2" s="1">
        <v>592.95000000000005</v>
      </c>
      <c r="AR2" s="1">
        <v>1703.85</v>
      </c>
      <c r="AS2" s="1">
        <v>1529.1</v>
      </c>
      <c r="AT2" s="1">
        <v>7369.65</v>
      </c>
      <c r="AU2" s="1">
        <v>583.73</v>
      </c>
      <c r="AV2" s="1">
        <v>920.3</v>
      </c>
      <c r="AW2" s="1">
        <v>1369</v>
      </c>
      <c r="AX2" s="1">
        <v>4184.3500000000004</v>
      </c>
      <c r="AY2" s="1">
        <v>969.4</v>
      </c>
      <c r="BH2" s="2"/>
    </row>
    <row r="3" spans="1:60" ht="14.25" customHeight="1" x14ac:dyDescent="0.3">
      <c r="A3" s="2">
        <v>45659</v>
      </c>
      <c r="B3" s="1">
        <v>24188.65</v>
      </c>
      <c r="C3" s="1">
        <v>1241.8</v>
      </c>
      <c r="D3" s="1">
        <v>896.88</v>
      </c>
      <c r="E3" s="1">
        <v>1609.7</v>
      </c>
      <c r="F3" s="1">
        <v>4175.75</v>
      </c>
      <c r="G3" s="1">
        <v>1290.5999999999999</v>
      </c>
      <c r="H3" s="1">
        <v>801.2</v>
      </c>
      <c r="I3" s="1">
        <v>1957.85</v>
      </c>
      <c r="J3" s="1">
        <v>2370</v>
      </c>
      <c r="K3" s="1">
        <v>738.92</v>
      </c>
      <c r="L3" s="1">
        <v>462.65</v>
      </c>
      <c r="M3" s="1">
        <v>3713.5</v>
      </c>
      <c r="N3" s="1">
        <v>11841.3</v>
      </c>
      <c r="O3" s="1">
        <v>3211.1</v>
      </c>
      <c r="P3" s="1">
        <v>1837.15</v>
      </c>
      <c r="Q3" s="1">
        <v>1972.2</v>
      </c>
      <c r="R3" s="1">
        <v>1878</v>
      </c>
      <c r="S3" s="1">
        <v>11797.7</v>
      </c>
      <c r="T3" s="1">
        <v>1086.5999999999999</v>
      </c>
      <c r="U3" s="1">
        <v>1700.65</v>
      </c>
      <c r="V3" s="1">
        <v>3388.95</v>
      </c>
      <c r="W3" s="1">
        <v>338</v>
      </c>
      <c r="X3" s="1">
        <v>284.60000000000002</v>
      </c>
      <c r="Y3" s="1">
        <v>1226</v>
      </c>
      <c r="Z3" s="1">
        <v>246.07</v>
      </c>
      <c r="AA3" s="1">
        <v>296.8</v>
      </c>
      <c r="AB3" s="1">
        <v>912.5</v>
      </c>
      <c r="AC3" s="1">
        <v>303.8</v>
      </c>
      <c r="AD3" s="1">
        <v>315.14999999999998</v>
      </c>
      <c r="AE3" s="1">
        <v>765.05</v>
      </c>
      <c r="AF3" s="1">
        <v>9079.5</v>
      </c>
      <c r="AG3" s="1">
        <v>2343.25</v>
      </c>
      <c r="AH3" s="1">
        <v>392.95</v>
      </c>
      <c r="AI3" s="1">
        <v>1100.0999999999999</v>
      </c>
      <c r="AJ3" s="1">
        <v>138.18</v>
      </c>
      <c r="AK3" s="1">
        <v>304.7</v>
      </c>
      <c r="AL3" s="1">
        <v>2543.9499999999998</v>
      </c>
      <c r="AM3" s="1">
        <v>5308.1</v>
      </c>
      <c r="AN3" s="1">
        <v>7321</v>
      </c>
      <c r="AO3" s="1">
        <v>1422.25</v>
      </c>
      <c r="AP3" s="1">
        <v>620.15</v>
      </c>
      <c r="AQ3" s="1">
        <v>599</v>
      </c>
      <c r="AR3" s="1">
        <v>1726.95</v>
      </c>
      <c r="AS3" s="1">
        <v>1537.9</v>
      </c>
      <c r="AT3" s="1">
        <v>7421.65</v>
      </c>
      <c r="AU3" s="1">
        <v>612.01</v>
      </c>
      <c r="AV3" s="1">
        <v>929.65</v>
      </c>
      <c r="AW3" s="1">
        <v>1375.05</v>
      </c>
      <c r="AX3" s="1">
        <v>4311.5</v>
      </c>
      <c r="AY3" s="1">
        <v>991.35</v>
      </c>
      <c r="BH3" s="2"/>
    </row>
    <row r="4" spans="1:60" ht="14.25" customHeight="1" x14ac:dyDescent="0.3">
      <c r="A4" s="2">
        <v>45660</v>
      </c>
      <c r="B4" s="1">
        <v>24004.75</v>
      </c>
      <c r="C4" s="1">
        <v>1251.1500000000001</v>
      </c>
      <c r="D4" s="1">
        <v>874.6</v>
      </c>
      <c r="E4" s="1">
        <v>1598.85</v>
      </c>
      <c r="F4" s="1">
        <v>4099.8999999999996</v>
      </c>
      <c r="G4" s="1">
        <v>1265.05</v>
      </c>
      <c r="H4" s="1">
        <v>793.4</v>
      </c>
      <c r="I4" s="1">
        <v>1938.75</v>
      </c>
      <c r="J4" s="1">
        <v>2406.25</v>
      </c>
      <c r="K4" s="1">
        <v>740.72</v>
      </c>
      <c r="L4" s="1">
        <v>455.6</v>
      </c>
      <c r="M4" s="1">
        <v>3659.9</v>
      </c>
      <c r="N4" s="1">
        <v>11934.25</v>
      </c>
      <c r="O4" s="1">
        <v>3190.55</v>
      </c>
      <c r="P4" s="1">
        <v>1838.65</v>
      </c>
      <c r="Q4" s="1">
        <v>1946.65</v>
      </c>
      <c r="R4" s="1">
        <v>1849.65</v>
      </c>
      <c r="S4" s="1">
        <v>11786</v>
      </c>
      <c r="T4" s="1">
        <v>1084.9000000000001</v>
      </c>
      <c r="U4" s="1">
        <v>1701.1</v>
      </c>
      <c r="V4" s="1">
        <v>3451.65</v>
      </c>
      <c r="W4" s="1">
        <v>339.85</v>
      </c>
      <c r="X4" s="1">
        <v>272.85000000000002</v>
      </c>
      <c r="Y4" s="1">
        <v>1199.55</v>
      </c>
      <c r="Z4" s="1">
        <v>258.89</v>
      </c>
      <c r="AA4" s="1">
        <v>291.95</v>
      </c>
      <c r="AB4" s="1">
        <v>915.05</v>
      </c>
      <c r="AC4" s="1">
        <v>294.45</v>
      </c>
      <c r="AD4" s="1">
        <v>316.05</v>
      </c>
      <c r="AE4" s="1">
        <v>790.4</v>
      </c>
      <c r="AF4" s="1">
        <v>8965.7000000000007</v>
      </c>
      <c r="AG4" s="1">
        <v>2335.9499999999998</v>
      </c>
      <c r="AH4" s="1">
        <v>393.65</v>
      </c>
      <c r="AI4" s="1">
        <v>1116.3499999999999</v>
      </c>
      <c r="AJ4" s="1">
        <v>138.36000000000001</v>
      </c>
      <c r="AK4" s="1">
        <v>307.45</v>
      </c>
      <c r="AL4" s="1">
        <v>2510</v>
      </c>
      <c r="AM4" s="1">
        <v>5310.75</v>
      </c>
      <c r="AN4" s="1">
        <v>7307.7</v>
      </c>
      <c r="AO4" s="1">
        <v>1447.7</v>
      </c>
      <c r="AP4" s="1">
        <v>623</v>
      </c>
      <c r="AQ4" s="1">
        <v>591.15</v>
      </c>
      <c r="AR4" s="1">
        <v>1689.45</v>
      </c>
      <c r="AS4" s="1">
        <v>1511.25</v>
      </c>
      <c r="AT4" s="1">
        <v>7298.35</v>
      </c>
      <c r="AU4" s="1">
        <v>609.66999999999996</v>
      </c>
      <c r="AV4" s="1">
        <v>939.45</v>
      </c>
      <c r="AW4" s="1">
        <v>1352.65</v>
      </c>
      <c r="AX4" s="1">
        <v>4243.1000000000004</v>
      </c>
      <c r="AY4" s="1">
        <v>997.9</v>
      </c>
      <c r="BH4" s="2"/>
    </row>
    <row r="5" spans="1:60" ht="14.25" customHeight="1" x14ac:dyDescent="0.3">
      <c r="A5" s="2">
        <v>45663</v>
      </c>
      <c r="B5" s="1">
        <v>23616.05</v>
      </c>
      <c r="C5" s="1">
        <v>1218</v>
      </c>
      <c r="D5" s="1">
        <v>855.25</v>
      </c>
      <c r="E5" s="1">
        <v>1588.45</v>
      </c>
      <c r="F5" s="1">
        <v>4095</v>
      </c>
      <c r="G5" s="1">
        <v>1264.0999999999999</v>
      </c>
      <c r="H5" s="1">
        <v>776.4</v>
      </c>
      <c r="I5" s="1">
        <v>1937.85</v>
      </c>
      <c r="J5" s="1">
        <v>2376.1999999999998</v>
      </c>
      <c r="K5" s="1">
        <v>734.93</v>
      </c>
      <c r="L5" s="1">
        <v>442.65</v>
      </c>
      <c r="M5" s="1">
        <v>3603.2</v>
      </c>
      <c r="N5" s="1">
        <v>11755.65</v>
      </c>
      <c r="O5" s="1">
        <v>3105.7</v>
      </c>
      <c r="P5" s="1">
        <v>1779.65</v>
      </c>
      <c r="Q5" s="1">
        <v>1953.05</v>
      </c>
      <c r="R5" s="1">
        <v>1847.4</v>
      </c>
      <c r="S5" s="1">
        <v>11503.6</v>
      </c>
      <c r="T5" s="1">
        <v>1063.4000000000001</v>
      </c>
      <c r="U5" s="1">
        <v>1684.6</v>
      </c>
      <c r="V5" s="1">
        <v>3470.4</v>
      </c>
      <c r="W5" s="1">
        <v>327.5</v>
      </c>
      <c r="X5" s="1">
        <v>264.85000000000002</v>
      </c>
      <c r="Y5" s="1">
        <v>1163.05</v>
      </c>
      <c r="Z5" s="1">
        <v>254.36</v>
      </c>
      <c r="AA5" s="1">
        <v>282.14999999999998</v>
      </c>
      <c r="AB5" s="1">
        <v>900.9</v>
      </c>
      <c r="AC5" s="1">
        <v>294.3</v>
      </c>
      <c r="AD5" s="1">
        <v>306</v>
      </c>
      <c r="AE5" s="1">
        <v>776.25</v>
      </c>
      <c r="AF5" s="1">
        <v>8823.85</v>
      </c>
      <c r="AG5" s="1">
        <v>2267.15</v>
      </c>
      <c r="AH5" s="1">
        <v>378.75</v>
      </c>
      <c r="AI5" s="1">
        <v>1092.5</v>
      </c>
      <c r="AJ5" s="1">
        <v>132.18</v>
      </c>
      <c r="AK5" s="1">
        <v>296.7</v>
      </c>
      <c r="AL5" s="1">
        <v>2460.5500000000002</v>
      </c>
      <c r="AM5" s="1">
        <v>5250.1</v>
      </c>
      <c r="AN5" s="1">
        <v>6998.35</v>
      </c>
      <c r="AO5" s="1">
        <v>1434.65</v>
      </c>
      <c r="AP5" s="1">
        <v>605.95000000000005</v>
      </c>
      <c r="AQ5" s="1">
        <v>574.1</v>
      </c>
      <c r="AR5" s="1">
        <v>1686.3</v>
      </c>
      <c r="AS5" s="1">
        <v>1491.4</v>
      </c>
      <c r="AT5" s="1">
        <v>7429.15</v>
      </c>
      <c r="AU5" s="1">
        <v>593.91</v>
      </c>
      <c r="AV5" s="1">
        <v>946.9</v>
      </c>
      <c r="AW5" s="1">
        <v>1350.35</v>
      </c>
      <c r="AX5" s="1">
        <v>4202.8</v>
      </c>
      <c r="AY5" s="1">
        <v>970.05</v>
      </c>
      <c r="BH5" s="2"/>
    </row>
    <row r="6" spans="1:60" ht="14.25" customHeight="1" x14ac:dyDescent="0.3">
      <c r="A6" s="2">
        <v>45664</v>
      </c>
      <c r="B6" s="1">
        <v>23707.9</v>
      </c>
      <c r="C6" s="1">
        <v>1240.8499999999999</v>
      </c>
      <c r="D6" s="1">
        <v>856.7</v>
      </c>
      <c r="E6" s="1">
        <v>1590.85</v>
      </c>
      <c r="F6" s="1">
        <v>4028.3</v>
      </c>
      <c r="G6" s="1">
        <v>1279.25</v>
      </c>
      <c r="H6" s="1">
        <v>778.75</v>
      </c>
      <c r="I6" s="1">
        <v>1930.85</v>
      </c>
      <c r="J6" s="1">
        <v>2390.8000000000002</v>
      </c>
      <c r="K6" s="1">
        <v>735.4</v>
      </c>
      <c r="L6" s="1">
        <v>441.1</v>
      </c>
      <c r="M6" s="1">
        <v>3643.3</v>
      </c>
      <c r="N6" s="1">
        <v>11721.3</v>
      </c>
      <c r="O6" s="1">
        <v>3108.85</v>
      </c>
      <c r="P6" s="1">
        <v>1772.05</v>
      </c>
      <c r="Q6" s="1">
        <v>1915.9</v>
      </c>
      <c r="R6" s="1">
        <v>1853.4</v>
      </c>
      <c r="S6" s="1">
        <v>11618.55</v>
      </c>
      <c r="T6" s="1">
        <v>1067.5</v>
      </c>
      <c r="U6" s="1">
        <v>1682.75</v>
      </c>
      <c r="V6" s="1">
        <v>3505.1</v>
      </c>
      <c r="W6" s="1">
        <v>328.6</v>
      </c>
      <c r="X6" s="1">
        <v>252.45</v>
      </c>
      <c r="Y6" s="1">
        <v>1174</v>
      </c>
      <c r="Z6" s="1">
        <v>263.49</v>
      </c>
      <c r="AA6" s="1">
        <v>287</v>
      </c>
      <c r="AB6" s="1">
        <v>911.8</v>
      </c>
      <c r="AC6" s="1">
        <v>294.05</v>
      </c>
      <c r="AD6" s="1">
        <v>305.05</v>
      </c>
      <c r="AE6" s="1">
        <v>793.25</v>
      </c>
      <c r="AF6" s="1">
        <v>8810.2999999999993</v>
      </c>
      <c r="AG6" s="1">
        <v>2292.6</v>
      </c>
      <c r="AH6" s="1">
        <v>379.8</v>
      </c>
      <c r="AI6" s="1">
        <v>1106.32</v>
      </c>
      <c r="AJ6" s="1">
        <v>133.38</v>
      </c>
      <c r="AK6" s="1">
        <v>299.14999999999998</v>
      </c>
      <c r="AL6" s="1">
        <v>2467.25</v>
      </c>
      <c r="AM6" s="1">
        <v>5177.3</v>
      </c>
      <c r="AN6" s="1">
        <v>6874.3</v>
      </c>
      <c r="AO6" s="1">
        <v>1477.75</v>
      </c>
      <c r="AP6" s="1">
        <v>619.85</v>
      </c>
      <c r="AQ6" s="1">
        <v>584.5</v>
      </c>
      <c r="AR6" s="1">
        <v>1671.15</v>
      </c>
      <c r="AS6" s="1">
        <v>1497.45</v>
      </c>
      <c r="AT6" s="1">
        <v>7436.75</v>
      </c>
      <c r="AU6" s="1">
        <v>591.67999999999995</v>
      </c>
      <c r="AV6" s="1">
        <v>955</v>
      </c>
      <c r="AW6" s="1">
        <v>1351.55</v>
      </c>
      <c r="AX6" s="1">
        <v>4162.05</v>
      </c>
      <c r="AY6" s="1">
        <v>983.6</v>
      </c>
      <c r="BH6" s="2"/>
    </row>
    <row r="7" spans="1:60" ht="14.25" customHeight="1" x14ac:dyDescent="0.3">
      <c r="A7" s="2">
        <v>45665</v>
      </c>
      <c r="B7" s="1">
        <v>23688.95</v>
      </c>
      <c r="C7" s="1">
        <v>1265.5</v>
      </c>
      <c r="D7" s="1">
        <v>847.15</v>
      </c>
      <c r="E7" s="1">
        <v>1599.2</v>
      </c>
      <c r="F7" s="1">
        <v>4108.3999999999996</v>
      </c>
      <c r="G7" s="1">
        <v>1263.75</v>
      </c>
      <c r="H7" s="1">
        <v>771.15</v>
      </c>
      <c r="I7" s="1">
        <v>1933.15</v>
      </c>
      <c r="J7" s="1">
        <v>2401</v>
      </c>
      <c r="K7" s="1">
        <v>735.54</v>
      </c>
      <c r="L7" s="1">
        <v>449.55</v>
      </c>
      <c r="M7" s="1">
        <v>3596.35</v>
      </c>
      <c r="N7" s="1">
        <v>11822</v>
      </c>
      <c r="O7" s="1">
        <v>3086.1</v>
      </c>
      <c r="P7" s="1">
        <v>1768.65</v>
      </c>
      <c r="Q7" s="1">
        <v>1932.25</v>
      </c>
      <c r="R7" s="1">
        <v>1837.75</v>
      </c>
      <c r="S7" s="1">
        <v>11403.55</v>
      </c>
      <c r="T7" s="1">
        <v>1074.95</v>
      </c>
      <c r="U7" s="1">
        <v>1697</v>
      </c>
      <c r="V7" s="1">
        <v>3484.05</v>
      </c>
      <c r="W7" s="1">
        <v>325.39999999999998</v>
      </c>
      <c r="X7" s="1">
        <v>250.05</v>
      </c>
      <c r="Y7" s="1">
        <v>1152.3</v>
      </c>
      <c r="Z7" s="1">
        <v>271.33</v>
      </c>
      <c r="AA7" s="1">
        <v>282.10000000000002</v>
      </c>
      <c r="AB7" s="1">
        <v>902.3</v>
      </c>
      <c r="AC7" s="1">
        <v>297.55</v>
      </c>
      <c r="AD7" s="1">
        <v>306.64999999999998</v>
      </c>
      <c r="AE7" s="1">
        <v>794.95</v>
      </c>
      <c r="AF7" s="1">
        <v>8642.25</v>
      </c>
      <c r="AG7" s="1">
        <v>2334.35</v>
      </c>
      <c r="AH7" s="1">
        <v>380.35</v>
      </c>
      <c r="AI7" s="1">
        <v>1109.95</v>
      </c>
      <c r="AJ7" s="1">
        <v>132.63999999999999</v>
      </c>
      <c r="AK7" s="1">
        <v>298.60000000000002</v>
      </c>
      <c r="AL7" s="1">
        <v>2435.75</v>
      </c>
      <c r="AM7" s="1">
        <v>5163.2</v>
      </c>
      <c r="AN7" s="1">
        <v>6699.1</v>
      </c>
      <c r="AO7" s="1">
        <v>1463.15</v>
      </c>
      <c r="AP7" s="1">
        <v>618</v>
      </c>
      <c r="AQ7" s="1">
        <v>586.65</v>
      </c>
      <c r="AR7" s="1">
        <v>1663.75</v>
      </c>
      <c r="AS7" s="1">
        <v>1494.9</v>
      </c>
      <c r="AT7" s="1">
        <v>7142.65</v>
      </c>
      <c r="AU7" s="1">
        <v>579.75</v>
      </c>
      <c r="AV7" s="1">
        <v>961.6</v>
      </c>
      <c r="AW7" s="1">
        <v>1370.75</v>
      </c>
      <c r="AX7" s="1">
        <v>4138.1000000000004</v>
      </c>
      <c r="AY7" s="1">
        <v>981.05</v>
      </c>
      <c r="BH7" s="2"/>
    </row>
    <row r="8" spans="1:60" ht="14.25" customHeight="1" x14ac:dyDescent="0.3">
      <c r="A8" s="2">
        <v>45666</v>
      </c>
      <c r="B8" s="1">
        <v>23526.5</v>
      </c>
      <c r="C8" s="1">
        <v>1254.75</v>
      </c>
      <c r="D8" s="1">
        <v>833.9</v>
      </c>
      <c r="E8" s="1">
        <v>1607.05</v>
      </c>
      <c r="F8" s="1">
        <v>4038.85</v>
      </c>
      <c r="G8" s="1">
        <v>1262.4000000000001</v>
      </c>
      <c r="H8" s="1">
        <v>760.45</v>
      </c>
      <c r="I8" s="1">
        <v>1917.3</v>
      </c>
      <c r="J8" s="1">
        <v>2435.4</v>
      </c>
      <c r="K8" s="1">
        <v>727.74</v>
      </c>
      <c r="L8" s="1">
        <v>450.1</v>
      </c>
      <c r="M8" s="1">
        <v>3527.9</v>
      </c>
      <c r="N8" s="1">
        <v>11740.55</v>
      </c>
      <c r="O8" s="1">
        <v>3126.5</v>
      </c>
      <c r="P8" s="1">
        <v>1790.2</v>
      </c>
      <c r="Q8" s="1">
        <v>1934.8</v>
      </c>
      <c r="R8" s="1">
        <v>1826.35</v>
      </c>
      <c r="S8" s="1">
        <v>11259.8</v>
      </c>
      <c r="T8" s="1">
        <v>1061.75</v>
      </c>
      <c r="U8" s="1">
        <v>1690.3</v>
      </c>
      <c r="V8" s="1">
        <v>3487.05</v>
      </c>
      <c r="W8" s="1">
        <v>320.35000000000002</v>
      </c>
      <c r="X8" s="1">
        <v>245.35</v>
      </c>
      <c r="Y8" s="1">
        <v>1132.3499999999999</v>
      </c>
      <c r="Z8" s="1">
        <v>263.18</v>
      </c>
      <c r="AA8" s="1">
        <v>281.25</v>
      </c>
      <c r="AB8" s="1">
        <v>890.95</v>
      </c>
      <c r="AC8" s="1">
        <v>292.3</v>
      </c>
      <c r="AD8" s="1">
        <v>305.25</v>
      </c>
      <c r="AE8" s="1">
        <v>780.1</v>
      </c>
      <c r="AF8" s="1">
        <v>8835.85</v>
      </c>
      <c r="AG8" s="1">
        <v>2350.1999999999998</v>
      </c>
      <c r="AH8" s="1">
        <v>372.2</v>
      </c>
      <c r="AI8" s="1">
        <v>1128.03</v>
      </c>
      <c r="AJ8" s="1">
        <v>129.93</v>
      </c>
      <c r="AK8" s="1">
        <v>289.25</v>
      </c>
      <c r="AL8" s="1">
        <v>2410.4</v>
      </c>
      <c r="AM8" s="1">
        <v>5139.8999999999996</v>
      </c>
      <c r="AN8" s="1">
        <v>6621.7</v>
      </c>
      <c r="AO8" s="1">
        <v>1468.45</v>
      </c>
      <c r="AP8" s="1">
        <v>612.20000000000005</v>
      </c>
      <c r="AQ8" s="1">
        <v>589.25</v>
      </c>
      <c r="AR8" s="1">
        <v>1642.8</v>
      </c>
      <c r="AS8" s="1">
        <v>1488.2</v>
      </c>
      <c r="AT8" s="1">
        <v>7091.55</v>
      </c>
      <c r="AU8" s="1">
        <v>561.97</v>
      </c>
      <c r="AV8" s="1">
        <v>970.1</v>
      </c>
      <c r="AW8" s="1">
        <v>1371.6</v>
      </c>
      <c r="AX8" s="1">
        <v>4141.25</v>
      </c>
      <c r="AY8" s="1">
        <v>980.9</v>
      </c>
      <c r="BH8" s="2"/>
    </row>
    <row r="9" spans="1:60" ht="14.25" customHeight="1" x14ac:dyDescent="0.3">
      <c r="A9" s="2">
        <v>45667</v>
      </c>
      <c r="B9" s="1">
        <v>23431.5</v>
      </c>
      <c r="C9" s="1">
        <v>1241.9000000000001</v>
      </c>
      <c r="D9" s="1">
        <v>828.38</v>
      </c>
      <c r="E9" s="1">
        <v>1615.9</v>
      </c>
      <c r="F9" s="1">
        <v>4265.6499999999996</v>
      </c>
      <c r="G9" s="1">
        <v>1249.8499999999999</v>
      </c>
      <c r="H9" s="1">
        <v>743.25</v>
      </c>
      <c r="I9" s="1">
        <v>1966.95</v>
      </c>
      <c r="J9" s="1">
        <v>2442.0500000000002</v>
      </c>
      <c r="K9" s="1">
        <v>728.8</v>
      </c>
      <c r="L9" s="1">
        <v>444.9</v>
      </c>
      <c r="M9" s="1">
        <v>3536.15</v>
      </c>
      <c r="N9" s="1">
        <v>11631.1</v>
      </c>
      <c r="O9" s="1">
        <v>3092.85</v>
      </c>
      <c r="P9" s="1">
        <v>1756.2</v>
      </c>
      <c r="Q9" s="1">
        <v>1995.1</v>
      </c>
      <c r="R9" s="1">
        <v>1784.8</v>
      </c>
      <c r="S9" s="1">
        <v>10865.2</v>
      </c>
      <c r="T9" s="1">
        <v>1040.7</v>
      </c>
      <c r="U9" s="1">
        <v>1701.25</v>
      </c>
      <c r="V9" s="1">
        <v>3440.25</v>
      </c>
      <c r="W9" s="1">
        <v>308.25</v>
      </c>
      <c r="X9" s="1">
        <v>242.95</v>
      </c>
      <c r="Y9" s="1">
        <v>1112.2</v>
      </c>
      <c r="Z9" s="1">
        <v>263.02</v>
      </c>
      <c r="AA9" s="1">
        <v>271</v>
      </c>
      <c r="AB9" s="1">
        <v>900.1</v>
      </c>
      <c r="AC9" s="1">
        <v>300.55</v>
      </c>
      <c r="AD9" s="1">
        <v>299.7</v>
      </c>
      <c r="AE9" s="1">
        <v>774.65</v>
      </c>
      <c r="AF9" s="1">
        <v>8764</v>
      </c>
      <c r="AG9" s="1">
        <v>2320.75</v>
      </c>
      <c r="AH9" s="1">
        <v>368.5</v>
      </c>
      <c r="AI9" s="1">
        <v>1123.95</v>
      </c>
      <c r="AJ9" s="1">
        <v>127.43</v>
      </c>
      <c r="AK9" s="1">
        <v>280.55</v>
      </c>
      <c r="AL9" s="1">
        <v>2364.1</v>
      </c>
      <c r="AM9" s="1">
        <v>5058.45</v>
      </c>
      <c r="AN9" s="1">
        <v>6584.1</v>
      </c>
      <c r="AO9" s="1">
        <v>1478.3</v>
      </c>
      <c r="AP9" s="1">
        <v>608.65</v>
      </c>
      <c r="AQ9" s="1">
        <v>574.45000000000005</v>
      </c>
      <c r="AR9" s="1">
        <v>1705.6</v>
      </c>
      <c r="AS9" s="1">
        <v>1468.8</v>
      </c>
      <c r="AT9" s="1">
        <v>7036.75</v>
      </c>
      <c r="AU9" s="1">
        <v>532</v>
      </c>
      <c r="AV9" s="1">
        <v>972.8</v>
      </c>
      <c r="AW9" s="1">
        <v>1354.4</v>
      </c>
      <c r="AX9" s="1">
        <v>4122.2</v>
      </c>
      <c r="AY9" s="1">
        <v>937.6</v>
      </c>
      <c r="BH9" s="2"/>
    </row>
    <row r="10" spans="1:60" ht="14.25" customHeight="1" x14ac:dyDescent="0.3">
      <c r="A10" s="2">
        <v>45670</v>
      </c>
      <c r="B10" s="1">
        <v>23085.95</v>
      </c>
      <c r="C10" s="1">
        <v>1239.8499999999999</v>
      </c>
      <c r="D10" s="1">
        <v>815.42</v>
      </c>
      <c r="E10" s="1">
        <v>1597.2</v>
      </c>
      <c r="F10" s="1">
        <v>4291.1000000000004</v>
      </c>
      <c r="G10" s="1">
        <v>1229.75</v>
      </c>
      <c r="H10" s="1">
        <v>729.5</v>
      </c>
      <c r="I10" s="1">
        <v>1962.2</v>
      </c>
      <c r="J10" s="1">
        <v>2451</v>
      </c>
      <c r="K10" s="1">
        <v>715.09</v>
      </c>
      <c r="L10" s="1">
        <v>439.05</v>
      </c>
      <c r="M10" s="1">
        <v>3464.3</v>
      </c>
      <c r="N10" s="1">
        <v>11497.7</v>
      </c>
      <c r="O10" s="1">
        <v>2999.65</v>
      </c>
      <c r="P10" s="1">
        <v>1738.4</v>
      </c>
      <c r="Q10" s="1">
        <v>1989.4</v>
      </c>
      <c r="R10" s="1">
        <v>1746.9</v>
      </c>
      <c r="S10" s="1">
        <v>10615.15</v>
      </c>
      <c r="T10" s="1">
        <v>1049.3</v>
      </c>
      <c r="U10" s="1">
        <v>1674.15</v>
      </c>
      <c r="V10" s="1">
        <v>3382.75</v>
      </c>
      <c r="W10" s="1">
        <v>298.2</v>
      </c>
      <c r="X10" s="1">
        <v>227.15</v>
      </c>
      <c r="Y10" s="1">
        <v>1066.6500000000001</v>
      </c>
      <c r="Z10" s="1">
        <v>255.73</v>
      </c>
      <c r="AA10" s="1">
        <v>259.60000000000002</v>
      </c>
      <c r="AB10" s="1">
        <v>883.75</v>
      </c>
      <c r="AC10" s="1">
        <v>291.85000000000002</v>
      </c>
      <c r="AD10" s="1">
        <v>287.60000000000002</v>
      </c>
      <c r="AE10" s="1">
        <v>751</v>
      </c>
      <c r="AF10" s="1">
        <v>8596.25</v>
      </c>
      <c r="AG10" s="1">
        <v>2252.65</v>
      </c>
      <c r="AH10" s="1">
        <v>362.9</v>
      </c>
      <c r="AI10" s="1">
        <v>1118.68</v>
      </c>
      <c r="AJ10" s="1">
        <v>122.93</v>
      </c>
      <c r="AK10" s="1">
        <v>266.14999999999998</v>
      </c>
      <c r="AL10" s="1">
        <v>2288.15</v>
      </c>
      <c r="AM10" s="1">
        <v>4939.1000000000004</v>
      </c>
      <c r="AN10" s="1">
        <v>6224.4</v>
      </c>
      <c r="AO10" s="1">
        <v>1467.4</v>
      </c>
      <c r="AP10" s="1">
        <v>599.75</v>
      </c>
      <c r="AQ10" s="1">
        <v>563.75</v>
      </c>
      <c r="AR10" s="1">
        <v>1659.65</v>
      </c>
      <c r="AS10" s="1">
        <v>1439.2</v>
      </c>
      <c r="AT10" s="1">
        <v>6839.6</v>
      </c>
      <c r="AU10" s="1">
        <v>521.1</v>
      </c>
      <c r="AV10" s="1">
        <v>965.45</v>
      </c>
      <c r="AW10" s="1">
        <v>1335.1</v>
      </c>
      <c r="AX10" s="1">
        <v>4043.65</v>
      </c>
      <c r="AY10" s="1">
        <v>941.7</v>
      </c>
      <c r="BH10" s="2"/>
    </row>
    <row r="11" spans="1:60" ht="14.25" customHeight="1" x14ac:dyDescent="0.3">
      <c r="A11" s="2">
        <v>45671</v>
      </c>
      <c r="B11" s="1">
        <v>23176.05</v>
      </c>
      <c r="C11" s="1">
        <v>1238.75</v>
      </c>
      <c r="D11" s="1">
        <v>823.3</v>
      </c>
      <c r="E11" s="1">
        <v>1600.1</v>
      </c>
      <c r="F11" s="1">
        <v>4233.05</v>
      </c>
      <c r="G11" s="1">
        <v>1240.3</v>
      </c>
      <c r="H11" s="1">
        <v>748.15</v>
      </c>
      <c r="I11" s="1">
        <v>1940.05</v>
      </c>
      <c r="J11" s="1">
        <v>2367.9499999999998</v>
      </c>
      <c r="K11" s="1">
        <v>733.5</v>
      </c>
      <c r="L11" s="1">
        <v>436.6</v>
      </c>
      <c r="M11" s="1">
        <v>3462.6</v>
      </c>
      <c r="N11" s="1">
        <v>11741.15</v>
      </c>
      <c r="O11" s="1">
        <v>3049.5</v>
      </c>
      <c r="P11" s="1">
        <v>1750.6</v>
      </c>
      <c r="Q11" s="1">
        <v>1813.55</v>
      </c>
      <c r="R11" s="1">
        <v>1770.85</v>
      </c>
      <c r="S11" s="1">
        <v>10483.75</v>
      </c>
      <c r="T11" s="1">
        <v>1051.6500000000001</v>
      </c>
      <c r="U11" s="1">
        <v>1713.5</v>
      </c>
      <c r="V11" s="1">
        <v>3322.5</v>
      </c>
      <c r="W11" s="1">
        <v>310.39999999999998</v>
      </c>
      <c r="X11" s="1">
        <v>233.6</v>
      </c>
      <c r="Y11" s="1">
        <v>1117.0999999999999</v>
      </c>
      <c r="Z11" s="1">
        <v>260.37</v>
      </c>
      <c r="AA11" s="1">
        <v>269.89999999999998</v>
      </c>
      <c r="AB11" s="1">
        <v>906.05</v>
      </c>
      <c r="AC11" s="1">
        <v>292.85000000000002</v>
      </c>
      <c r="AD11" s="1">
        <v>290.25</v>
      </c>
      <c r="AE11" s="1">
        <v>770.5</v>
      </c>
      <c r="AF11" s="1">
        <v>8611.2000000000007</v>
      </c>
      <c r="AG11" s="1">
        <v>2239.9499999999998</v>
      </c>
      <c r="AH11" s="1">
        <v>369.25</v>
      </c>
      <c r="AI11" s="1">
        <v>1109.53</v>
      </c>
      <c r="AJ11" s="1">
        <v>126.93</v>
      </c>
      <c r="AK11" s="1">
        <v>272.85000000000002</v>
      </c>
      <c r="AL11" s="1">
        <v>2310.6</v>
      </c>
      <c r="AM11" s="1">
        <v>5029.55</v>
      </c>
      <c r="AN11" s="1">
        <v>6161.15</v>
      </c>
      <c r="AO11" s="1">
        <v>1499.25</v>
      </c>
      <c r="AP11" s="1">
        <v>600.45000000000005</v>
      </c>
      <c r="AQ11" s="1">
        <v>590.9</v>
      </c>
      <c r="AR11" s="1">
        <v>1647.5</v>
      </c>
      <c r="AS11" s="1">
        <v>1447.75</v>
      </c>
      <c r="AT11" s="1">
        <v>6706.85</v>
      </c>
      <c r="AU11" s="1">
        <v>544.1</v>
      </c>
      <c r="AV11" s="1">
        <v>963.15</v>
      </c>
      <c r="AW11" s="1">
        <v>1337.55</v>
      </c>
      <c r="AX11" s="1">
        <v>4102.6499999999996</v>
      </c>
      <c r="AY11" s="1">
        <v>962.1</v>
      </c>
      <c r="BH11" s="2"/>
    </row>
    <row r="12" spans="1:60" ht="14.25" customHeight="1" x14ac:dyDescent="0.3">
      <c r="A12" s="2">
        <v>45672</v>
      </c>
      <c r="B12" s="1">
        <v>23213.200000000001</v>
      </c>
      <c r="C12" s="1">
        <v>1252.2</v>
      </c>
      <c r="D12" s="1">
        <v>821.53</v>
      </c>
      <c r="E12" s="1">
        <v>1607.45</v>
      </c>
      <c r="F12" s="1">
        <v>4249.6000000000004</v>
      </c>
      <c r="G12" s="1">
        <v>1238.25</v>
      </c>
      <c r="H12" s="1">
        <v>753.7</v>
      </c>
      <c r="I12" s="1">
        <v>1949.65</v>
      </c>
      <c r="J12" s="1">
        <v>2373</v>
      </c>
      <c r="K12" s="1">
        <v>717.74</v>
      </c>
      <c r="L12" s="1">
        <v>437.35</v>
      </c>
      <c r="M12" s="1">
        <v>3501.4</v>
      </c>
      <c r="N12" s="1">
        <v>11947.4</v>
      </c>
      <c r="O12" s="1">
        <v>2960.25</v>
      </c>
      <c r="P12" s="1">
        <v>1789.6</v>
      </c>
      <c r="Q12" s="1">
        <v>1825.7</v>
      </c>
      <c r="R12" s="1">
        <v>1756.85</v>
      </c>
      <c r="S12" s="1">
        <v>10521.65</v>
      </c>
      <c r="T12" s="1">
        <v>1026.8</v>
      </c>
      <c r="U12" s="1">
        <v>1671.65</v>
      </c>
      <c r="V12" s="1">
        <v>3323.5</v>
      </c>
      <c r="W12" s="1">
        <v>321.35000000000002</v>
      </c>
      <c r="X12" s="1">
        <v>243.9</v>
      </c>
      <c r="Y12" s="1">
        <v>1128.9000000000001</v>
      </c>
      <c r="Z12" s="1">
        <v>258.18</v>
      </c>
      <c r="AA12" s="1">
        <v>267.85000000000002</v>
      </c>
      <c r="AB12" s="1">
        <v>904.05</v>
      </c>
      <c r="AC12" s="1">
        <v>292.64999999999998</v>
      </c>
      <c r="AD12" s="1">
        <v>298.64999999999998</v>
      </c>
      <c r="AE12" s="1">
        <v>763.6</v>
      </c>
      <c r="AF12" s="1">
        <v>8578</v>
      </c>
      <c r="AG12" s="1">
        <v>2229.6999999999998</v>
      </c>
      <c r="AH12" s="1">
        <v>374.6</v>
      </c>
      <c r="AI12" s="1">
        <v>1099.82</v>
      </c>
      <c r="AJ12" s="1">
        <v>126.53</v>
      </c>
      <c r="AK12" s="1">
        <v>272.39999999999998</v>
      </c>
      <c r="AL12" s="1">
        <v>2317.5500000000002</v>
      </c>
      <c r="AM12" s="1">
        <v>5081.8999999999996</v>
      </c>
      <c r="AN12" s="1">
        <v>6390.25</v>
      </c>
      <c r="AO12" s="1">
        <v>1472.75</v>
      </c>
      <c r="AP12" s="1">
        <v>594.20000000000005</v>
      </c>
      <c r="AQ12" s="1">
        <v>591.54999999999995</v>
      </c>
      <c r="AR12" s="1">
        <v>1675.95</v>
      </c>
      <c r="AS12" s="1">
        <v>1447.2</v>
      </c>
      <c r="AT12" s="1">
        <v>6691.85</v>
      </c>
      <c r="AU12" s="1">
        <v>533.20000000000005</v>
      </c>
      <c r="AV12" s="1">
        <v>955.55</v>
      </c>
      <c r="AW12" s="1">
        <v>1337.2</v>
      </c>
      <c r="AX12" s="1">
        <v>4111.8999999999996</v>
      </c>
      <c r="AY12" s="1">
        <v>962.45</v>
      </c>
      <c r="BH12" s="2"/>
    </row>
    <row r="13" spans="1:60" ht="14.25" customHeight="1" x14ac:dyDescent="0.3">
      <c r="A13" s="2">
        <v>45673</v>
      </c>
      <c r="B13" s="1">
        <v>23311.8</v>
      </c>
      <c r="C13" s="1">
        <v>1266.45</v>
      </c>
      <c r="D13" s="1">
        <v>826.03</v>
      </c>
      <c r="E13" s="1">
        <v>1630.2</v>
      </c>
      <c r="F13" s="1">
        <v>4206.3</v>
      </c>
      <c r="G13" s="1">
        <v>1249.0999999999999</v>
      </c>
      <c r="H13" s="1">
        <v>766.3</v>
      </c>
      <c r="I13" s="1">
        <v>1928.45</v>
      </c>
      <c r="J13" s="1">
        <v>2345</v>
      </c>
      <c r="K13" s="1">
        <v>725.97</v>
      </c>
      <c r="L13" s="1">
        <v>432.85</v>
      </c>
      <c r="M13" s="1">
        <v>3507.9</v>
      </c>
      <c r="N13" s="1">
        <v>12092.3</v>
      </c>
      <c r="O13" s="1">
        <v>2980.6</v>
      </c>
      <c r="P13" s="1">
        <v>1805.55</v>
      </c>
      <c r="Q13" s="1">
        <v>1792.25</v>
      </c>
      <c r="R13" s="1">
        <v>1763.3</v>
      </c>
      <c r="S13" s="1">
        <v>10636.2</v>
      </c>
      <c r="T13" s="1">
        <v>1038</v>
      </c>
      <c r="U13" s="1">
        <v>1697.35</v>
      </c>
      <c r="V13" s="1">
        <v>3316.9</v>
      </c>
      <c r="W13" s="1">
        <v>325.5</v>
      </c>
      <c r="X13" s="1">
        <v>241.9</v>
      </c>
      <c r="Y13" s="1">
        <v>1150.75</v>
      </c>
      <c r="Z13" s="1">
        <v>263.18</v>
      </c>
      <c r="AA13" s="1">
        <v>276.14999999999998</v>
      </c>
      <c r="AB13" s="1">
        <v>906.8</v>
      </c>
      <c r="AC13" s="1">
        <v>288.05</v>
      </c>
      <c r="AD13" s="1">
        <v>297.64999999999998</v>
      </c>
      <c r="AE13" s="1">
        <v>774.35</v>
      </c>
      <c r="AF13" s="1">
        <v>8581.9500000000007</v>
      </c>
      <c r="AG13" s="1">
        <v>2215.6</v>
      </c>
      <c r="AH13" s="1">
        <v>378.85</v>
      </c>
      <c r="AI13" s="1">
        <v>1084.6500000000001</v>
      </c>
      <c r="AJ13" s="1">
        <v>127.81</v>
      </c>
      <c r="AK13" s="1">
        <v>276.8</v>
      </c>
      <c r="AL13" s="1">
        <v>2350.6999999999998</v>
      </c>
      <c r="AM13" s="1">
        <v>5047.8</v>
      </c>
      <c r="AN13" s="1">
        <v>6211.55</v>
      </c>
      <c r="AO13" s="1">
        <v>1513.6</v>
      </c>
      <c r="AP13" s="1">
        <v>641.4</v>
      </c>
      <c r="AQ13" s="1">
        <v>602.6</v>
      </c>
      <c r="AR13" s="1">
        <v>1687.65</v>
      </c>
      <c r="AS13" s="1">
        <v>1443.5</v>
      </c>
      <c r="AT13" s="1">
        <v>6789.65</v>
      </c>
      <c r="AU13" s="1">
        <v>546.79999999999995</v>
      </c>
      <c r="AV13" s="1">
        <v>937.7</v>
      </c>
      <c r="AW13" s="1">
        <v>1302.75</v>
      </c>
      <c r="AX13" s="1">
        <v>4074.1</v>
      </c>
      <c r="AY13" s="1">
        <v>975.35</v>
      </c>
      <c r="BH13" s="2"/>
    </row>
    <row r="14" spans="1:60" ht="14.25" customHeight="1" x14ac:dyDescent="0.3">
      <c r="A14" s="2">
        <v>45674</v>
      </c>
      <c r="B14" s="1">
        <v>23203.200000000001</v>
      </c>
      <c r="C14" s="1">
        <v>1302.3499999999999</v>
      </c>
      <c r="D14" s="1">
        <v>818.38</v>
      </c>
      <c r="E14" s="1">
        <v>1627.5</v>
      </c>
      <c r="F14" s="1">
        <v>4124.3</v>
      </c>
      <c r="G14" s="1">
        <v>1225.45</v>
      </c>
      <c r="H14" s="1">
        <v>764.1</v>
      </c>
      <c r="I14" s="1">
        <v>1815.45</v>
      </c>
      <c r="J14" s="1">
        <v>2354</v>
      </c>
      <c r="K14" s="1">
        <v>718.21</v>
      </c>
      <c r="L14" s="1">
        <v>440.2</v>
      </c>
      <c r="M14" s="1">
        <v>3568.65</v>
      </c>
      <c r="N14" s="1">
        <v>12136.35</v>
      </c>
      <c r="O14" s="1">
        <v>2917.35</v>
      </c>
      <c r="P14" s="1">
        <v>1758.6</v>
      </c>
      <c r="Q14" s="1">
        <v>1788.9</v>
      </c>
      <c r="R14" s="1">
        <v>1786.55</v>
      </c>
      <c r="S14" s="1">
        <v>10580</v>
      </c>
      <c r="T14" s="1">
        <v>991.05</v>
      </c>
      <c r="U14" s="1">
        <v>1680.65</v>
      </c>
      <c r="V14" s="1">
        <v>3357.4</v>
      </c>
      <c r="W14" s="1">
        <v>326.14999999999998</v>
      </c>
      <c r="X14" s="1">
        <v>248.8</v>
      </c>
      <c r="Y14" s="1">
        <v>1163.5</v>
      </c>
      <c r="Z14" s="1">
        <v>266.57</v>
      </c>
      <c r="AA14" s="1">
        <v>282.14999999999998</v>
      </c>
      <c r="AB14" s="1">
        <v>908.6</v>
      </c>
      <c r="AC14" s="1">
        <v>281.95</v>
      </c>
      <c r="AD14" s="1">
        <v>302.60000000000002</v>
      </c>
      <c r="AE14" s="1">
        <v>779.75</v>
      </c>
      <c r="AF14" s="1">
        <v>8581.4</v>
      </c>
      <c r="AG14" s="1">
        <v>2261</v>
      </c>
      <c r="AH14" s="1">
        <v>387.65</v>
      </c>
      <c r="AI14" s="1">
        <v>1108.5999999999999</v>
      </c>
      <c r="AJ14" s="1">
        <v>130.28</v>
      </c>
      <c r="AK14" s="1">
        <v>279</v>
      </c>
      <c r="AL14" s="1">
        <v>2375.85</v>
      </c>
      <c r="AM14" s="1">
        <v>5012.3</v>
      </c>
      <c r="AN14" s="1">
        <v>6216.55</v>
      </c>
      <c r="AO14" s="1">
        <v>1540.5</v>
      </c>
      <c r="AP14" s="1">
        <v>642.20000000000005</v>
      </c>
      <c r="AQ14" s="1">
        <v>617</v>
      </c>
      <c r="AR14" s="1">
        <v>1660.3</v>
      </c>
      <c r="AS14" s="1">
        <v>1442.3</v>
      </c>
      <c r="AT14" s="1">
        <v>6828.1</v>
      </c>
      <c r="AU14" s="1">
        <v>526.5</v>
      </c>
      <c r="AV14" s="1">
        <v>954.45</v>
      </c>
      <c r="AW14" s="1">
        <v>1309.4000000000001</v>
      </c>
      <c r="AX14" s="1">
        <v>4098</v>
      </c>
      <c r="AY14" s="1">
        <v>970.95</v>
      </c>
      <c r="BH14" s="2"/>
    </row>
    <row r="15" spans="1:60" ht="14.25" customHeight="1" x14ac:dyDescent="0.3">
      <c r="A15" s="2">
        <v>45677</v>
      </c>
      <c r="B15" s="1">
        <v>23344.75</v>
      </c>
      <c r="C15" s="1">
        <v>1305.45</v>
      </c>
      <c r="D15" s="1">
        <v>825.62</v>
      </c>
      <c r="E15" s="1">
        <v>1641.15</v>
      </c>
      <c r="F15" s="1">
        <v>4077.8</v>
      </c>
      <c r="G15" s="1">
        <v>1232.95</v>
      </c>
      <c r="H15" s="1">
        <v>779.25</v>
      </c>
      <c r="I15" s="1">
        <v>1813.3</v>
      </c>
      <c r="J15" s="1">
        <v>2345.1999999999998</v>
      </c>
      <c r="K15" s="1">
        <v>744.01</v>
      </c>
      <c r="L15" s="1">
        <v>437.7</v>
      </c>
      <c r="M15" s="1">
        <v>3593</v>
      </c>
      <c r="N15" s="1">
        <v>12020.05</v>
      </c>
      <c r="O15" s="1">
        <v>2888.1</v>
      </c>
      <c r="P15" s="1">
        <v>1920.5</v>
      </c>
      <c r="Q15" s="1">
        <v>1796.2</v>
      </c>
      <c r="R15" s="1">
        <v>1778.25</v>
      </c>
      <c r="S15" s="1">
        <v>10624.45</v>
      </c>
      <c r="T15" s="1">
        <v>988.05</v>
      </c>
      <c r="U15" s="1">
        <v>1735.2</v>
      </c>
      <c r="V15" s="1">
        <v>3382.25</v>
      </c>
      <c r="W15" s="1">
        <v>336.05</v>
      </c>
      <c r="X15" s="1">
        <v>239.75</v>
      </c>
      <c r="Y15" s="1">
        <v>1148.7</v>
      </c>
      <c r="Z15" s="1">
        <v>269.36</v>
      </c>
      <c r="AA15" s="1">
        <v>285.8</v>
      </c>
      <c r="AB15" s="1">
        <v>919.2</v>
      </c>
      <c r="AC15" s="1">
        <v>300.25</v>
      </c>
      <c r="AD15" s="1">
        <v>306.25</v>
      </c>
      <c r="AE15" s="1">
        <v>774.35</v>
      </c>
      <c r="AF15" s="1">
        <v>8544.4</v>
      </c>
      <c r="AG15" s="1">
        <v>2280.5500000000002</v>
      </c>
      <c r="AH15" s="1">
        <v>387.05</v>
      </c>
      <c r="AI15" s="1">
        <v>1107</v>
      </c>
      <c r="AJ15" s="1">
        <v>131.66</v>
      </c>
      <c r="AK15" s="1">
        <v>275.7</v>
      </c>
      <c r="AL15" s="1">
        <v>2402</v>
      </c>
      <c r="AM15" s="1">
        <v>5016.75</v>
      </c>
      <c r="AN15" s="1">
        <v>6090</v>
      </c>
      <c r="AO15" s="1">
        <v>1499.7</v>
      </c>
      <c r="AP15" s="1">
        <v>634.04999999999995</v>
      </c>
      <c r="AQ15" s="1">
        <v>618.15</v>
      </c>
      <c r="AR15" s="1">
        <v>1674.6</v>
      </c>
      <c r="AS15" s="1">
        <v>1445.45</v>
      </c>
      <c r="AT15" s="1">
        <v>6780.85</v>
      </c>
      <c r="AU15" s="1">
        <v>516.70000000000005</v>
      </c>
      <c r="AV15" s="1">
        <v>960.3</v>
      </c>
      <c r="AW15" s="1">
        <v>1302.3499999999999</v>
      </c>
      <c r="AX15" s="1">
        <v>4092.1</v>
      </c>
      <c r="AY15" s="1">
        <v>970.7</v>
      </c>
      <c r="BH15" s="2"/>
    </row>
    <row r="16" spans="1:60" ht="14.25" customHeight="1" x14ac:dyDescent="0.3">
      <c r="A16" s="2">
        <v>45678</v>
      </c>
      <c r="B16" s="1">
        <v>23024.65</v>
      </c>
      <c r="C16" s="1">
        <v>1273.7</v>
      </c>
      <c r="D16" s="1">
        <v>821.2</v>
      </c>
      <c r="E16" s="1">
        <v>1626.15</v>
      </c>
      <c r="F16" s="1">
        <v>4035.85</v>
      </c>
      <c r="G16" s="1">
        <v>1196.1500000000001</v>
      </c>
      <c r="H16" s="1">
        <v>759.05</v>
      </c>
      <c r="I16" s="1">
        <v>1800.7</v>
      </c>
      <c r="J16" s="1">
        <v>2340.5</v>
      </c>
      <c r="K16" s="1">
        <v>729.16</v>
      </c>
      <c r="L16" s="1">
        <v>437.55</v>
      </c>
      <c r="M16" s="1">
        <v>3541.1</v>
      </c>
      <c r="N16" s="1">
        <v>11883.7</v>
      </c>
      <c r="O16" s="1">
        <v>2821.3</v>
      </c>
      <c r="P16" s="1">
        <v>1893.3</v>
      </c>
      <c r="Q16" s="1">
        <v>1802.4</v>
      </c>
      <c r="R16" s="1">
        <v>1762.7</v>
      </c>
      <c r="S16" s="1">
        <v>10667.8</v>
      </c>
      <c r="T16" s="1">
        <v>970.2</v>
      </c>
      <c r="U16" s="1">
        <v>1717</v>
      </c>
      <c r="V16" s="1">
        <v>3353.35</v>
      </c>
      <c r="W16" s="1">
        <v>324.3</v>
      </c>
      <c r="X16" s="1">
        <v>214.55</v>
      </c>
      <c r="Y16" s="1">
        <v>1106.2</v>
      </c>
      <c r="Z16" s="1">
        <v>265.8</v>
      </c>
      <c r="AA16" s="1">
        <v>279</v>
      </c>
      <c r="AB16" s="1">
        <v>926.85</v>
      </c>
      <c r="AC16" s="1">
        <v>298.35000000000002</v>
      </c>
      <c r="AD16" s="1">
        <v>302.35000000000002</v>
      </c>
      <c r="AE16" s="1">
        <v>760.75</v>
      </c>
      <c r="AF16" s="1">
        <v>8468.5499999999993</v>
      </c>
      <c r="AG16" s="1">
        <v>2260.35</v>
      </c>
      <c r="AH16" s="1">
        <v>381.55</v>
      </c>
      <c r="AI16" s="1">
        <v>1098.22</v>
      </c>
      <c r="AJ16" s="1">
        <v>129.69999999999999</v>
      </c>
      <c r="AK16" s="1">
        <v>260.10000000000002</v>
      </c>
      <c r="AL16" s="1">
        <v>2367.5</v>
      </c>
      <c r="AM16" s="1">
        <v>4969.95</v>
      </c>
      <c r="AN16" s="1">
        <v>5736.95</v>
      </c>
      <c r="AO16" s="1">
        <v>1466.55</v>
      </c>
      <c r="AP16" s="1">
        <v>624</v>
      </c>
      <c r="AQ16" s="1">
        <v>614.95000000000005</v>
      </c>
      <c r="AR16" s="1">
        <v>1640.5</v>
      </c>
      <c r="AS16" s="1">
        <v>1428</v>
      </c>
      <c r="AT16" s="1">
        <v>6919.15</v>
      </c>
      <c r="AU16" s="1">
        <v>520.29999999999995</v>
      </c>
      <c r="AV16" s="1">
        <v>972.1</v>
      </c>
      <c r="AW16" s="1">
        <v>1288.1500000000001</v>
      </c>
      <c r="AX16" s="1">
        <v>4024.8</v>
      </c>
      <c r="AY16" s="1">
        <v>960.45</v>
      </c>
      <c r="BH16" s="2"/>
    </row>
    <row r="17" spans="1:60" ht="14.25" customHeight="1" x14ac:dyDescent="0.3">
      <c r="A17" s="2">
        <v>45679</v>
      </c>
      <c r="B17" s="1">
        <v>23155.35</v>
      </c>
      <c r="C17" s="1">
        <v>1277.0999999999999</v>
      </c>
      <c r="D17" s="1">
        <v>833.03</v>
      </c>
      <c r="E17" s="1">
        <v>1631.75</v>
      </c>
      <c r="F17" s="1">
        <v>4156.6000000000004</v>
      </c>
      <c r="G17" s="1">
        <v>1200.45</v>
      </c>
      <c r="H17" s="1">
        <v>753.45</v>
      </c>
      <c r="I17" s="1">
        <v>1856.45</v>
      </c>
      <c r="J17" s="1">
        <v>2342.9499999999998</v>
      </c>
      <c r="K17" s="1">
        <v>739.72</v>
      </c>
      <c r="L17" s="1">
        <v>437</v>
      </c>
      <c r="M17" s="1">
        <v>3518.2</v>
      </c>
      <c r="N17" s="1">
        <v>12020.35</v>
      </c>
      <c r="O17" s="1">
        <v>2826.45</v>
      </c>
      <c r="P17" s="1">
        <v>1917.5</v>
      </c>
      <c r="Q17" s="1">
        <v>1827.7</v>
      </c>
      <c r="R17" s="1">
        <v>1798.95</v>
      </c>
      <c r="S17" s="1">
        <v>10693.75</v>
      </c>
      <c r="T17" s="1">
        <v>959.3</v>
      </c>
      <c r="U17" s="1">
        <v>1743.3</v>
      </c>
      <c r="V17" s="1">
        <v>3356.45</v>
      </c>
      <c r="W17" s="1">
        <v>322.39999999999998</v>
      </c>
      <c r="X17" s="1">
        <v>216.45</v>
      </c>
      <c r="Y17" s="1">
        <v>1102.25</v>
      </c>
      <c r="Z17" s="1">
        <v>264.05</v>
      </c>
      <c r="AA17" s="1">
        <v>270.35000000000002</v>
      </c>
      <c r="AB17" s="1">
        <v>919.4</v>
      </c>
      <c r="AC17" s="1">
        <v>309.10000000000002</v>
      </c>
      <c r="AD17" s="1">
        <v>297.55</v>
      </c>
      <c r="AE17" s="1">
        <v>742.75</v>
      </c>
      <c r="AF17" s="1">
        <v>8460.85</v>
      </c>
      <c r="AG17" s="1">
        <v>2262.1</v>
      </c>
      <c r="AH17" s="1">
        <v>379.2</v>
      </c>
      <c r="AI17" s="1">
        <v>1103.9000000000001</v>
      </c>
      <c r="AJ17" s="1">
        <v>128.91999999999999</v>
      </c>
      <c r="AK17" s="1">
        <v>262.8</v>
      </c>
      <c r="AL17" s="1">
        <v>2388.15</v>
      </c>
      <c r="AM17" s="1">
        <v>5009.7</v>
      </c>
      <c r="AN17" s="1">
        <v>5626.35</v>
      </c>
      <c r="AO17" s="1">
        <v>1460.05</v>
      </c>
      <c r="AP17" s="1">
        <v>618.20000000000005</v>
      </c>
      <c r="AQ17" s="1">
        <v>613.45000000000005</v>
      </c>
      <c r="AR17" s="1">
        <v>1683.95</v>
      </c>
      <c r="AS17" s="1">
        <v>1439.4</v>
      </c>
      <c r="AT17" s="1">
        <v>6892.9</v>
      </c>
      <c r="AU17" s="1">
        <v>518.65</v>
      </c>
      <c r="AV17" s="1">
        <v>967.4</v>
      </c>
      <c r="AW17" s="1">
        <v>1296.25</v>
      </c>
      <c r="AX17" s="1">
        <v>4055.7</v>
      </c>
      <c r="AY17" s="1">
        <v>970.95</v>
      </c>
      <c r="BH17" s="2"/>
    </row>
    <row r="18" spans="1:60" ht="14.25" customHeight="1" x14ac:dyDescent="0.3">
      <c r="A18" s="2">
        <v>45680</v>
      </c>
      <c r="B18" s="1">
        <v>23205.35</v>
      </c>
      <c r="C18" s="1">
        <v>1263.6500000000001</v>
      </c>
      <c r="D18" s="1">
        <v>832.45</v>
      </c>
      <c r="E18" s="1">
        <v>1636</v>
      </c>
      <c r="F18" s="1">
        <v>4145.45</v>
      </c>
      <c r="G18" s="1">
        <v>1201.75</v>
      </c>
      <c r="H18" s="1">
        <v>745.9</v>
      </c>
      <c r="I18" s="1">
        <v>1865.45</v>
      </c>
      <c r="J18" s="1">
        <v>2321.6999999999998</v>
      </c>
      <c r="K18" s="1">
        <v>744.33</v>
      </c>
      <c r="L18" s="1">
        <v>440.2</v>
      </c>
      <c r="M18" s="1">
        <v>3503.25</v>
      </c>
      <c r="N18" s="1">
        <v>12045.75</v>
      </c>
      <c r="O18" s="1">
        <v>2886.45</v>
      </c>
      <c r="P18" s="1">
        <v>1894.85</v>
      </c>
      <c r="Q18" s="1">
        <v>1807</v>
      </c>
      <c r="R18" s="1">
        <v>1833.6</v>
      </c>
      <c r="S18" s="1">
        <v>11420.9</v>
      </c>
      <c r="T18" s="1">
        <v>951.05</v>
      </c>
      <c r="U18" s="1">
        <v>1746.15</v>
      </c>
      <c r="V18" s="1">
        <v>3398.55</v>
      </c>
      <c r="W18" s="1">
        <v>323.64999999999998</v>
      </c>
      <c r="X18" s="1">
        <v>221.95</v>
      </c>
      <c r="Y18" s="1">
        <v>1104</v>
      </c>
      <c r="Z18" s="1">
        <v>263.05</v>
      </c>
      <c r="AA18" s="1">
        <v>273.95</v>
      </c>
      <c r="AB18" s="1">
        <v>929.9</v>
      </c>
      <c r="AC18" s="1">
        <v>317.7</v>
      </c>
      <c r="AD18" s="1">
        <v>294.35000000000002</v>
      </c>
      <c r="AE18" s="1">
        <v>752.5</v>
      </c>
      <c r="AF18" s="1">
        <v>8399.9500000000007</v>
      </c>
      <c r="AG18" s="1">
        <v>2276.35</v>
      </c>
      <c r="AH18" s="1">
        <v>385.8</v>
      </c>
      <c r="AI18" s="1">
        <v>1099.47</v>
      </c>
      <c r="AJ18" s="1">
        <v>130.37</v>
      </c>
      <c r="AK18" s="1">
        <v>255.85</v>
      </c>
      <c r="AL18" s="1">
        <v>2461.15</v>
      </c>
      <c r="AM18" s="1">
        <v>5116.2</v>
      </c>
      <c r="AN18" s="1">
        <v>5733.6</v>
      </c>
      <c r="AO18" s="1">
        <v>1449.85</v>
      </c>
      <c r="AP18" s="1">
        <v>621</v>
      </c>
      <c r="AQ18" s="1">
        <v>608.25</v>
      </c>
      <c r="AR18" s="1">
        <v>1713.4</v>
      </c>
      <c r="AS18" s="1">
        <v>1451.15</v>
      </c>
      <c r="AT18" s="1">
        <v>6920.85</v>
      </c>
      <c r="AU18" s="1">
        <v>529.79999999999995</v>
      </c>
      <c r="AV18" s="1">
        <v>983.9</v>
      </c>
      <c r="AW18" s="1">
        <v>1289.4000000000001</v>
      </c>
      <c r="AX18" s="1">
        <v>4100.3500000000004</v>
      </c>
      <c r="AY18" s="1">
        <v>970.95</v>
      </c>
      <c r="BH18" s="2"/>
    </row>
    <row r="19" spans="1:60" ht="14.25" customHeight="1" x14ac:dyDescent="0.3">
      <c r="A19" s="2">
        <v>45681</v>
      </c>
      <c r="B19" s="1">
        <v>23092.2</v>
      </c>
      <c r="C19" s="1">
        <v>1246.3</v>
      </c>
      <c r="D19" s="1">
        <v>824.9</v>
      </c>
      <c r="E19" s="1">
        <v>1644.8</v>
      </c>
      <c r="F19" s="1">
        <v>4152.3500000000004</v>
      </c>
      <c r="G19" s="1">
        <v>1209.2</v>
      </c>
      <c r="H19" s="1">
        <v>744.15</v>
      </c>
      <c r="I19" s="1">
        <v>1875.45</v>
      </c>
      <c r="J19" s="1">
        <v>2368.1</v>
      </c>
      <c r="K19" s="1">
        <v>743.86</v>
      </c>
      <c r="L19" s="1">
        <v>441.6</v>
      </c>
      <c r="M19" s="1">
        <v>3458.2</v>
      </c>
      <c r="N19" s="1">
        <v>11967.9</v>
      </c>
      <c r="O19" s="1">
        <v>2801.4</v>
      </c>
      <c r="P19" s="1">
        <v>1886.2</v>
      </c>
      <c r="Q19" s="1">
        <v>1792.85</v>
      </c>
      <c r="R19" s="1">
        <v>1822.2</v>
      </c>
      <c r="S19" s="1">
        <v>11285.85</v>
      </c>
      <c r="T19" s="1">
        <v>948.5</v>
      </c>
      <c r="U19" s="1">
        <v>1728.7</v>
      </c>
      <c r="V19" s="1">
        <v>3402.15</v>
      </c>
      <c r="W19" s="1">
        <v>323.64999999999998</v>
      </c>
      <c r="X19" s="1">
        <v>215.6</v>
      </c>
      <c r="Y19" s="1">
        <v>1094.1500000000001</v>
      </c>
      <c r="Z19" s="1">
        <v>256.51</v>
      </c>
      <c r="AA19" s="1">
        <v>270.14999999999998</v>
      </c>
      <c r="AB19" s="1">
        <v>932.45</v>
      </c>
      <c r="AC19" s="1">
        <v>320.10000000000002</v>
      </c>
      <c r="AD19" s="1">
        <v>295.85000000000002</v>
      </c>
      <c r="AE19" s="1">
        <v>734.1</v>
      </c>
      <c r="AF19" s="1">
        <v>8401.5</v>
      </c>
      <c r="AG19" s="1">
        <v>2262.4</v>
      </c>
      <c r="AH19" s="1">
        <v>383.05</v>
      </c>
      <c r="AI19" s="1">
        <v>1103.95</v>
      </c>
      <c r="AJ19" s="1">
        <v>129.74</v>
      </c>
      <c r="AK19" s="1">
        <v>244.45</v>
      </c>
      <c r="AL19" s="1">
        <v>2490.75</v>
      </c>
      <c r="AM19" s="1">
        <v>5206.3</v>
      </c>
      <c r="AN19" s="1">
        <v>5490.45</v>
      </c>
      <c r="AO19" s="1">
        <v>1440.4</v>
      </c>
      <c r="AP19" s="1">
        <v>621.1</v>
      </c>
      <c r="AQ19" s="1">
        <v>606.9</v>
      </c>
      <c r="AR19" s="1">
        <v>1723.05</v>
      </c>
      <c r="AS19" s="1">
        <v>1411.4</v>
      </c>
      <c r="AT19" s="1">
        <v>6745.05</v>
      </c>
      <c r="AU19" s="1">
        <v>527.45000000000005</v>
      </c>
      <c r="AV19" s="1">
        <v>992.35</v>
      </c>
      <c r="AW19" s="1">
        <v>1224.4000000000001</v>
      </c>
      <c r="AX19" s="1">
        <v>4051.9</v>
      </c>
      <c r="AY19" s="1">
        <v>950.8</v>
      </c>
      <c r="BH19" s="2"/>
    </row>
    <row r="20" spans="1:60" ht="14.25" customHeight="1" x14ac:dyDescent="0.3">
      <c r="A20" s="2">
        <v>45684</v>
      </c>
      <c r="B20" s="1">
        <v>22829.15</v>
      </c>
      <c r="C20" s="1">
        <v>1229.3499999999999</v>
      </c>
      <c r="D20" s="1">
        <v>814.9</v>
      </c>
      <c r="E20" s="1">
        <v>1602.6</v>
      </c>
      <c r="F20" s="1">
        <v>4065.15</v>
      </c>
      <c r="G20" s="1">
        <v>1227.95</v>
      </c>
      <c r="H20" s="1">
        <v>749.2</v>
      </c>
      <c r="I20" s="1">
        <v>1822</v>
      </c>
      <c r="J20" s="1">
        <v>2392.85</v>
      </c>
      <c r="K20" s="1">
        <v>729.54</v>
      </c>
      <c r="L20" s="1">
        <v>440.1</v>
      </c>
      <c r="M20" s="1">
        <v>3457.65</v>
      </c>
      <c r="N20" s="1">
        <v>11993.85</v>
      </c>
      <c r="O20" s="1">
        <v>2831.6</v>
      </c>
      <c r="P20" s="1">
        <v>1881.4</v>
      </c>
      <c r="Q20" s="1">
        <v>1711.95</v>
      </c>
      <c r="R20" s="1">
        <v>1786.85</v>
      </c>
      <c r="S20" s="1">
        <v>11239.5</v>
      </c>
      <c r="T20" s="1">
        <v>948.1</v>
      </c>
      <c r="U20" s="1">
        <v>1711.6</v>
      </c>
      <c r="V20" s="1">
        <v>3319.35</v>
      </c>
      <c r="W20" s="1">
        <v>322.2</v>
      </c>
      <c r="X20" s="1">
        <v>206.2</v>
      </c>
      <c r="Y20" s="1">
        <v>1082</v>
      </c>
      <c r="Z20" s="1">
        <v>250.78</v>
      </c>
      <c r="AA20" s="1">
        <v>262.95</v>
      </c>
      <c r="AB20" s="1">
        <v>919.35</v>
      </c>
      <c r="AC20" s="1">
        <v>307.95</v>
      </c>
      <c r="AD20" s="1">
        <v>287</v>
      </c>
      <c r="AE20" s="1">
        <v>713.05</v>
      </c>
      <c r="AF20" s="1">
        <v>8384.6</v>
      </c>
      <c r="AG20" s="1">
        <v>2251.5</v>
      </c>
      <c r="AH20" s="1">
        <v>375.75</v>
      </c>
      <c r="AI20" s="1">
        <v>1087.3800000000001</v>
      </c>
      <c r="AJ20" s="1">
        <v>126.37</v>
      </c>
      <c r="AK20" s="1">
        <v>233.3</v>
      </c>
      <c r="AL20" s="1">
        <v>2458.0500000000002</v>
      </c>
      <c r="AM20" s="1">
        <v>5144.5</v>
      </c>
      <c r="AN20" s="1">
        <v>5412.6</v>
      </c>
      <c r="AO20" s="1">
        <v>1424.4</v>
      </c>
      <c r="AP20" s="1">
        <v>610.20000000000005</v>
      </c>
      <c r="AQ20" s="1">
        <v>586.9</v>
      </c>
      <c r="AR20" s="1">
        <v>1653.9</v>
      </c>
      <c r="AS20" s="1">
        <v>1396.1</v>
      </c>
      <c r="AT20" s="1">
        <v>6695.45</v>
      </c>
      <c r="AU20" s="1">
        <v>511.65</v>
      </c>
      <c r="AV20" s="1">
        <v>965.8</v>
      </c>
      <c r="AW20" s="1">
        <v>1197.6500000000001</v>
      </c>
      <c r="AX20" s="1">
        <v>4015.95</v>
      </c>
      <c r="AY20" s="1">
        <v>926.45</v>
      </c>
      <c r="BH20" s="2"/>
    </row>
    <row r="21" spans="1:60" ht="14.25" customHeight="1" x14ac:dyDescent="0.3">
      <c r="A21" s="2">
        <v>45685</v>
      </c>
      <c r="B21" s="1">
        <v>22957.25</v>
      </c>
      <c r="C21" s="1">
        <v>1234.4000000000001</v>
      </c>
      <c r="D21" s="1">
        <v>835.2</v>
      </c>
      <c r="E21" s="1">
        <v>1618.35</v>
      </c>
      <c r="F21" s="1">
        <v>4040.3</v>
      </c>
      <c r="G21" s="1">
        <v>1246.9000000000001</v>
      </c>
      <c r="H21" s="1">
        <v>752.4</v>
      </c>
      <c r="I21" s="1">
        <v>1829.75</v>
      </c>
      <c r="J21" s="1">
        <v>2388.85</v>
      </c>
      <c r="K21" s="1">
        <v>760.66</v>
      </c>
      <c r="L21" s="1">
        <v>435.45</v>
      </c>
      <c r="M21" s="1">
        <v>3413.9</v>
      </c>
      <c r="N21" s="1">
        <v>12123.75</v>
      </c>
      <c r="O21" s="1">
        <v>2870.6</v>
      </c>
      <c r="P21" s="1">
        <v>1887.75</v>
      </c>
      <c r="Q21" s="1">
        <v>1693.25</v>
      </c>
      <c r="R21" s="1">
        <v>1705.5</v>
      </c>
      <c r="S21" s="1">
        <v>11296.35</v>
      </c>
      <c r="T21" s="1">
        <v>983.8</v>
      </c>
      <c r="U21" s="1">
        <v>1768.95</v>
      </c>
      <c r="V21" s="1">
        <v>3325.9</v>
      </c>
      <c r="W21" s="1">
        <v>318.25</v>
      </c>
      <c r="X21" s="1">
        <v>208.2</v>
      </c>
      <c r="Y21" s="1">
        <v>1080.7</v>
      </c>
      <c r="Z21" s="1">
        <v>248.68</v>
      </c>
      <c r="AA21" s="1">
        <v>258.25</v>
      </c>
      <c r="AB21" s="1">
        <v>916.15</v>
      </c>
      <c r="AC21" s="1">
        <v>303.60000000000002</v>
      </c>
      <c r="AD21" s="1">
        <v>283.95</v>
      </c>
      <c r="AE21" s="1">
        <v>728.25</v>
      </c>
      <c r="AF21" s="1">
        <v>8398.4</v>
      </c>
      <c r="AG21" s="1">
        <v>2241.8000000000002</v>
      </c>
      <c r="AH21" s="1">
        <v>370.65</v>
      </c>
      <c r="AI21" s="1">
        <v>1078.1500000000001</v>
      </c>
      <c r="AJ21" s="1">
        <v>128.62</v>
      </c>
      <c r="AK21" s="1">
        <v>233.4</v>
      </c>
      <c r="AL21" s="1">
        <v>2411.3000000000002</v>
      </c>
      <c r="AM21" s="1">
        <v>5105.3999999999996</v>
      </c>
      <c r="AN21" s="1">
        <v>5455.1</v>
      </c>
      <c r="AO21" s="1">
        <v>1419.5</v>
      </c>
      <c r="AP21" s="1">
        <v>611.54999999999995</v>
      </c>
      <c r="AQ21" s="1">
        <v>573.85</v>
      </c>
      <c r="AR21" s="1">
        <v>1648.35</v>
      </c>
      <c r="AS21" s="1">
        <v>1420.6</v>
      </c>
      <c r="AT21" s="1">
        <v>6708.95</v>
      </c>
      <c r="AU21" s="1">
        <v>530.1</v>
      </c>
      <c r="AV21" s="1">
        <v>961.25</v>
      </c>
      <c r="AW21" s="1">
        <v>1181.25</v>
      </c>
      <c r="AX21" s="1">
        <v>4026.35</v>
      </c>
      <c r="AY21" s="1">
        <v>934.15</v>
      </c>
      <c r="BH21" s="2"/>
    </row>
    <row r="22" spans="1:60" ht="14.25" customHeight="1" x14ac:dyDescent="0.3">
      <c r="A22" s="2">
        <v>45686</v>
      </c>
      <c r="B22" s="1">
        <v>23163.1</v>
      </c>
      <c r="C22" s="1">
        <v>1235.5</v>
      </c>
      <c r="D22" s="1">
        <v>838.65</v>
      </c>
      <c r="E22" s="1">
        <v>1600.45</v>
      </c>
      <c r="F22" s="1">
        <v>4099.8</v>
      </c>
      <c r="G22" s="1">
        <v>1251.6500000000001</v>
      </c>
      <c r="H22" s="1">
        <v>758.45</v>
      </c>
      <c r="I22" s="1">
        <v>1881.25</v>
      </c>
      <c r="J22" s="1">
        <v>2383.9499999999998</v>
      </c>
      <c r="K22" s="1">
        <v>775.97</v>
      </c>
      <c r="L22" s="1">
        <v>433.35</v>
      </c>
      <c r="M22" s="1">
        <v>3449.7</v>
      </c>
      <c r="N22" s="1">
        <v>11977.9</v>
      </c>
      <c r="O22" s="1">
        <v>2924.35</v>
      </c>
      <c r="P22" s="1">
        <v>1920.35</v>
      </c>
      <c r="Q22" s="1">
        <v>1719</v>
      </c>
      <c r="R22" s="1">
        <v>1735.35</v>
      </c>
      <c r="S22" s="1">
        <v>11544.85</v>
      </c>
      <c r="T22" s="1">
        <v>983.4</v>
      </c>
      <c r="U22" s="1">
        <v>1790.4</v>
      </c>
      <c r="V22" s="1">
        <v>3370.75</v>
      </c>
      <c r="W22" s="1">
        <v>321.25</v>
      </c>
      <c r="X22" s="1">
        <v>222.5</v>
      </c>
      <c r="Y22" s="1">
        <v>1096.95</v>
      </c>
      <c r="Z22" s="1">
        <v>251.4</v>
      </c>
      <c r="AA22" s="1">
        <v>267.2</v>
      </c>
      <c r="AB22" s="1">
        <v>937.6</v>
      </c>
      <c r="AC22" s="1">
        <v>312.45</v>
      </c>
      <c r="AD22" s="1">
        <v>287.85000000000002</v>
      </c>
      <c r="AE22" s="1">
        <v>752.5</v>
      </c>
      <c r="AF22" s="1">
        <v>8625.85</v>
      </c>
      <c r="AG22" s="1">
        <v>2223.15</v>
      </c>
      <c r="AH22" s="1">
        <v>379.45</v>
      </c>
      <c r="AI22" s="1">
        <v>1090.3499999999999</v>
      </c>
      <c r="AJ22" s="1">
        <v>130.80000000000001</v>
      </c>
      <c r="AK22" s="1">
        <v>238.3</v>
      </c>
      <c r="AL22" s="1">
        <v>2453.65</v>
      </c>
      <c r="AM22" s="1">
        <v>5182.8999999999996</v>
      </c>
      <c r="AN22" s="1">
        <v>5597.15</v>
      </c>
      <c r="AO22" s="1">
        <v>1460.9</v>
      </c>
      <c r="AP22" s="1">
        <v>628.35</v>
      </c>
      <c r="AQ22" s="1">
        <v>584.1</v>
      </c>
      <c r="AR22" s="1">
        <v>1681.15</v>
      </c>
      <c r="AS22" s="1">
        <v>1423.95</v>
      </c>
      <c r="AT22" s="1">
        <v>6784.3</v>
      </c>
      <c r="AU22" s="1">
        <v>553.5</v>
      </c>
      <c r="AV22" s="1">
        <v>960.5</v>
      </c>
      <c r="AW22" s="1">
        <v>1181.2</v>
      </c>
      <c r="AX22" s="1">
        <v>4072.45</v>
      </c>
      <c r="AY22" s="1">
        <v>948.3</v>
      </c>
      <c r="BH22" s="2"/>
    </row>
    <row r="23" spans="1:60" ht="14.25" customHeight="1" x14ac:dyDescent="0.3">
      <c r="A23" s="2">
        <v>45687</v>
      </c>
      <c r="B23" s="1">
        <v>23249.5</v>
      </c>
      <c r="C23" s="1">
        <v>1253.05</v>
      </c>
      <c r="D23" s="1">
        <v>845.75</v>
      </c>
      <c r="E23" s="1">
        <v>1640.75</v>
      </c>
      <c r="F23" s="1">
        <v>4100.05</v>
      </c>
      <c r="G23" s="1">
        <v>1255.5999999999999</v>
      </c>
      <c r="H23" s="1">
        <v>762.6</v>
      </c>
      <c r="I23" s="1">
        <v>1859.95</v>
      </c>
      <c r="J23" s="1">
        <v>2408.75</v>
      </c>
      <c r="K23" s="1">
        <v>790.16</v>
      </c>
      <c r="L23" s="1">
        <v>436.2</v>
      </c>
      <c r="M23" s="1">
        <v>3420.95</v>
      </c>
      <c r="N23" s="1">
        <v>12000</v>
      </c>
      <c r="O23" s="1">
        <v>2971.45</v>
      </c>
      <c r="P23" s="1">
        <v>1901.5</v>
      </c>
      <c r="Q23" s="1">
        <v>1713.1</v>
      </c>
      <c r="R23" s="1">
        <v>1739.1</v>
      </c>
      <c r="S23" s="1">
        <v>11479.4</v>
      </c>
      <c r="T23" s="1">
        <v>984.7</v>
      </c>
      <c r="U23" s="1">
        <v>1745.2</v>
      </c>
      <c r="V23" s="1">
        <v>3368.4</v>
      </c>
      <c r="W23" s="1">
        <v>323</v>
      </c>
      <c r="X23" s="1">
        <v>218.8</v>
      </c>
      <c r="Y23" s="1">
        <v>1077.05</v>
      </c>
      <c r="Z23" s="1">
        <v>256.72000000000003</v>
      </c>
      <c r="AA23" s="1">
        <v>278.75</v>
      </c>
      <c r="AB23" s="1">
        <v>950.85</v>
      </c>
      <c r="AC23" s="1">
        <v>309</v>
      </c>
      <c r="AD23" s="1">
        <v>295.35000000000002</v>
      </c>
      <c r="AE23" s="1">
        <v>696.85</v>
      </c>
      <c r="AF23" s="1">
        <v>8747.7999999999993</v>
      </c>
      <c r="AG23" s="1">
        <v>2249.85</v>
      </c>
      <c r="AH23" s="1">
        <v>385.05</v>
      </c>
      <c r="AI23" s="1">
        <v>1108.68</v>
      </c>
      <c r="AJ23" s="1">
        <v>131.12</v>
      </c>
      <c r="AK23" s="1">
        <v>234.8</v>
      </c>
      <c r="AL23" s="1">
        <v>2491.6999999999998</v>
      </c>
      <c r="AM23" s="1">
        <v>5164.3500000000004</v>
      </c>
      <c r="AN23" s="1">
        <v>5511.2</v>
      </c>
      <c r="AO23" s="1">
        <v>1472.9</v>
      </c>
      <c r="AP23" s="1">
        <v>634.15</v>
      </c>
      <c r="AQ23" s="1">
        <v>587.85</v>
      </c>
      <c r="AR23" s="1">
        <v>1670.1</v>
      </c>
      <c r="AS23" s="1">
        <v>1457.45</v>
      </c>
      <c r="AT23" s="1">
        <v>6824.65</v>
      </c>
      <c r="AU23" s="1">
        <v>538.29999999999995</v>
      </c>
      <c r="AV23" s="1">
        <v>966.7</v>
      </c>
      <c r="AW23" s="1">
        <v>1194.5</v>
      </c>
      <c r="AX23" s="1">
        <v>4177.8</v>
      </c>
      <c r="AY23" s="1">
        <v>957.05</v>
      </c>
      <c r="BH23" s="2"/>
    </row>
    <row r="24" spans="1:60" ht="14.25" customHeight="1" x14ac:dyDescent="0.3">
      <c r="A24" s="2">
        <v>45688</v>
      </c>
      <c r="B24" s="1">
        <v>23508.400000000001</v>
      </c>
      <c r="C24" s="1">
        <v>1265.0999999999999</v>
      </c>
      <c r="D24" s="1">
        <v>849.38</v>
      </c>
      <c r="E24" s="1">
        <v>1626.3</v>
      </c>
      <c r="F24" s="1">
        <v>4112.3999999999996</v>
      </c>
      <c r="G24" s="1">
        <v>1252.8</v>
      </c>
      <c r="H24" s="1">
        <v>772.9</v>
      </c>
      <c r="I24" s="1">
        <v>1879.8</v>
      </c>
      <c r="J24" s="1">
        <v>2468.8000000000002</v>
      </c>
      <c r="K24" s="1">
        <v>788.51</v>
      </c>
      <c r="L24" s="1">
        <v>447.5</v>
      </c>
      <c r="M24" s="1">
        <v>3567.4</v>
      </c>
      <c r="N24" s="1">
        <v>12310.65</v>
      </c>
      <c r="O24" s="1">
        <v>2989.85</v>
      </c>
      <c r="P24" s="1">
        <v>1901.3</v>
      </c>
      <c r="Q24" s="1">
        <v>1725.45</v>
      </c>
      <c r="R24" s="1">
        <v>1743.95</v>
      </c>
      <c r="S24" s="1">
        <v>11487.45</v>
      </c>
      <c r="T24" s="1">
        <v>986.1</v>
      </c>
      <c r="U24" s="1">
        <v>1736.1</v>
      </c>
      <c r="V24" s="1">
        <v>3490.25</v>
      </c>
      <c r="W24" s="1">
        <v>324</v>
      </c>
      <c r="X24" s="1">
        <v>220.35</v>
      </c>
      <c r="Y24" s="1">
        <v>1099.3499999999999</v>
      </c>
      <c r="Z24" s="1">
        <v>262.61</v>
      </c>
      <c r="AA24" s="1">
        <v>292.64999999999998</v>
      </c>
      <c r="AB24" s="1">
        <v>945</v>
      </c>
      <c r="AC24" s="1">
        <v>311.89999999999998</v>
      </c>
      <c r="AD24" s="1">
        <v>301.64999999999998</v>
      </c>
      <c r="AE24" s="1">
        <v>716.1</v>
      </c>
      <c r="AF24" s="1">
        <v>8847.7999999999993</v>
      </c>
      <c r="AG24" s="1">
        <v>2300.8000000000002</v>
      </c>
      <c r="AH24" s="1">
        <v>395.9</v>
      </c>
      <c r="AI24" s="1">
        <v>1156.5999999999999</v>
      </c>
      <c r="AJ24" s="1">
        <v>134.62</v>
      </c>
      <c r="AK24" s="1">
        <v>241.65</v>
      </c>
      <c r="AL24" s="1">
        <v>2508.85</v>
      </c>
      <c r="AM24" s="1">
        <v>5194.3</v>
      </c>
      <c r="AN24" s="1">
        <v>5753.2</v>
      </c>
      <c r="AO24" s="1">
        <v>1483.6</v>
      </c>
      <c r="AP24" s="1">
        <v>638.04999999999995</v>
      </c>
      <c r="AQ24" s="1">
        <v>594.29999999999995</v>
      </c>
      <c r="AR24" s="1">
        <v>1674.45</v>
      </c>
      <c r="AS24" s="1">
        <v>1479.4</v>
      </c>
      <c r="AT24" s="1">
        <v>6810.5</v>
      </c>
      <c r="AU24" s="1">
        <v>543.75</v>
      </c>
      <c r="AV24" s="1">
        <v>1024.6500000000001</v>
      </c>
      <c r="AW24" s="1">
        <v>1217.3499999999999</v>
      </c>
      <c r="AX24" s="1">
        <v>4339.1499999999996</v>
      </c>
      <c r="AY24" s="1">
        <v>991.2</v>
      </c>
      <c r="BH24" s="2"/>
    </row>
    <row r="25" spans="1:60" ht="14.25" customHeight="1" x14ac:dyDescent="0.3">
      <c r="A25" s="2">
        <v>45689</v>
      </c>
      <c r="B25" s="1">
        <v>23482.15</v>
      </c>
      <c r="C25" s="1">
        <v>1264.5999999999999</v>
      </c>
      <c r="D25" s="1">
        <v>845.47</v>
      </c>
      <c r="E25" s="1">
        <v>1623.25</v>
      </c>
      <c r="F25" s="1">
        <v>4073.15</v>
      </c>
      <c r="G25" s="1">
        <v>1255.55</v>
      </c>
      <c r="H25" s="1">
        <v>766</v>
      </c>
      <c r="I25" s="1">
        <v>1851.35</v>
      </c>
      <c r="J25" s="1">
        <v>2506.0500000000002</v>
      </c>
      <c r="K25" s="1">
        <v>800.01</v>
      </c>
      <c r="L25" s="1">
        <v>462.55</v>
      </c>
      <c r="M25" s="1">
        <v>3447.5</v>
      </c>
      <c r="N25" s="1">
        <v>12916.5</v>
      </c>
      <c r="O25" s="1">
        <v>3076.75</v>
      </c>
      <c r="P25" s="1">
        <v>1903.1</v>
      </c>
      <c r="Q25" s="1">
        <v>1694</v>
      </c>
      <c r="R25" s="1">
        <v>1742.2</v>
      </c>
      <c r="S25" s="1">
        <v>11259.15</v>
      </c>
      <c r="T25" s="1">
        <v>998.15</v>
      </c>
      <c r="U25" s="1">
        <v>1754</v>
      </c>
      <c r="V25" s="1">
        <v>3552</v>
      </c>
      <c r="W25" s="1">
        <v>317.7</v>
      </c>
      <c r="X25" s="1">
        <v>236.32</v>
      </c>
      <c r="Y25" s="1">
        <v>1084.0999999999999</v>
      </c>
      <c r="Z25" s="1">
        <v>257.55</v>
      </c>
      <c r="AA25" s="1">
        <v>281.8</v>
      </c>
      <c r="AB25" s="1">
        <v>934.25</v>
      </c>
      <c r="AC25" s="1">
        <v>304.8</v>
      </c>
      <c r="AD25" s="1">
        <v>289.85000000000002</v>
      </c>
      <c r="AE25" s="1">
        <v>706.55</v>
      </c>
      <c r="AF25" s="1">
        <v>9155.6</v>
      </c>
      <c r="AG25" s="1">
        <v>2351.15</v>
      </c>
      <c r="AH25" s="1">
        <v>385.3</v>
      </c>
      <c r="AI25" s="1">
        <v>1163.5999999999999</v>
      </c>
      <c r="AJ25" s="1">
        <v>132.97</v>
      </c>
      <c r="AK25" s="1">
        <v>241.51</v>
      </c>
      <c r="AL25" s="1">
        <v>2440.75</v>
      </c>
      <c r="AM25" s="1">
        <v>5390.15</v>
      </c>
      <c r="AN25" s="1">
        <v>6189.5</v>
      </c>
      <c r="AO25" s="1">
        <v>1454.35</v>
      </c>
      <c r="AP25" s="1">
        <v>625.5</v>
      </c>
      <c r="AQ25" s="1">
        <v>586.45000000000005</v>
      </c>
      <c r="AR25" s="1">
        <v>1646.4</v>
      </c>
      <c r="AS25" s="1">
        <v>1439.5</v>
      </c>
      <c r="AT25" s="1">
        <v>6841.1</v>
      </c>
      <c r="AU25" s="1">
        <v>531.79999999999995</v>
      </c>
      <c r="AV25" s="1">
        <v>1069.8499999999999</v>
      </c>
      <c r="AW25" s="1">
        <v>1204.95</v>
      </c>
      <c r="AX25" s="1">
        <v>4402.1499999999996</v>
      </c>
      <c r="AY25" s="1">
        <v>1009.4</v>
      </c>
      <c r="BH25" s="2"/>
    </row>
    <row r="26" spans="1:60" ht="14.25" customHeight="1" x14ac:dyDescent="0.3">
      <c r="A26" s="2">
        <v>45691</v>
      </c>
      <c r="B26" s="1">
        <v>23361.05</v>
      </c>
      <c r="C26" s="1">
        <v>1245.9000000000001</v>
      </c>
      <c r="D26" s="1">
        <v>839</v>
      </c>
      <c r="E26" s="1">
        <v>1652.35</v>
      </c>
      <c r="F26" s="1">
        <v>4068.65</v>
      </c>
      <c r="G26" s="1">
        <v>1253</v>
      </c>
      <c r="H26" s="1">
        <v>760.95</v>
      </c>
      <c r="I26" s="1">
        <v>1863.3</v>
      </c>
      <c r="J26" s="1">
        <v>2441.9499999999998</v>
      </c>
      <c r="K26" s="1">
        <v>842.58</v>
      </c>
      <c r="L26" s="1">
        <v>454.35</v>
      </c>
      <c r="M26" s="1">
        <v>3289.2</v>
      </c>
      <c r="N26" s="1">
        <v>13139.95</v>
      </c>
      <c r="O26" s="1">
        <v>3173.3</v>
      </c>
      <c r="P26" s="1">
        <v>1884.5</v>
      </c>
      <c r="Q26" s="1">
        <v>1692</v>
      </c>
      <c r="R26" s="1">
        <v>1740.6</v>
      </c>
      <c r="S26" s="1">
        <v>11174.65</v>
      </c>
      <c r="T26" s="1">
        <v>989.4</v>
      </c>
      <c r="U26" s="1">
        <v>1794.85</v>
      </c>
      <c r="V26" s="1">
        <v>3580.3</v>
      </c>
      <c r="W26" s="1">
        <v>311.25</v>
      </c>
      <c r="X26" s="1">
        <v>238.2</v>
      </c>
      <c r="Y26" s="1">
        <v>1084.8499999999999</v>
      </c>
      <c r="Z26" s="1">
        <v>249</v>
      </c>
      <c r="AA26" s="1">
        <v>274.14999999999998</v>
      </c>
      <c r="AB26" s="1">
        <v>933.95</v>
      </c>
      <c r="AC26" s="1">
        <v>313.60000000000002</v>
      </c>
      <c r="AD26" s="1">
        <v>283.8</v>
      </c>
      <c r="AE26" s="1">
        <v>687.45</v>
      </c>
      <c r="AF26" s="1">
        <v>8926.5499999999993</v>
      </c>
      <c r="AG26" s="1">
        <v>2292.25</v>
      </c>
      <c r="AH26" s="1">
        <v>374</v>
      </c>
      <c r="AI26" s="1">
        <v>1158.55</v>
      </c>
      <c r="AJ26" s="1">
        <v>131.82</v>
      </c>
      <c r="AK26" s="1">
        <v>233.97</v>
      </c>
      <c r="AL26" s="1">
        <v>2473.65</v>
      </c>
      <c r="AM26" s="1">
        <v>5485.25</v>
      </c>
      <c r="AN26" s="1">
        <v>6135.1</v>
      </c>
      <c r="AO26" s="1">
        <v>1459.95</v>
      </c>
      <c r="AP26" s="1">
        <v>621.4</v>
      </c>
      <c r="AQ26" s="1">
        <v>574.04999999999995</v>
      </c>
      <c r="AR26" s="1">
        <v>1654.7</v>
      </c>
      <c r="AS26" s="1">
        <v>1420.55</v>
      </c>
      <c r="AT26" s="1">
        <v>6798.65</v>
      </c>
      <c r="AU26" s="1">
        <v>546.15</v>
      </c>
      <c r="AV26" s="1">
        <v>1036.3</v>
      </c>
      <c r="AW26" s="1">
        <v>1203.8499999999999</v>
      </c>
      <c r="AX26" s="1">
        <v>4286.6499999999996</v>
      </c>
      <c r="AY26" s="1">
        <v>1012.7</v>
      </c>
      <c r="BH26" s="2"/>
    </row>
    <row r="27" spans="1:60" ht="14.25" customHeight="1" x14ac:dyDescent="0.3">
      <c r="A27" s="2">
        <v>45692</v>
      </c>
      <c r="B27" s="1">
        <v>23739.25</v>
      </c>
      <c r="C27" s="1">
        <v>1285.2</v>
      </c>
      <c r="D27" s="1">
        <v>860.45</v>
      </c>
      <c r="E27" s="1">
        <v>1661.45</v>
      </c>
      <c r="F27" s="1">
        <v>4107.05</v>
      </c>
      <c r="G27" s="1">
        <v>1268.2</v>
      </c>
      <c r="H27" s="1">
        <v>779.2</v>
      </c>
      <c r="I27" s="1">
        <v>1898.8</v>
      </c>
      <c r="J27" s="1">
        <v>2438.0500000000002</v>
      </c>
      <c r="K27" s="1">
        <v>847.53</v>
      </c>
      <c r="L27" s="1">
        <v>455.15</v>
      </c>
      <c r="M27" s="1">
        <v>3439.15</v>
      </c>
      <c r="N27" s="1">
        <v>13109.95</v>
      </c>
      <c r="O27" s="1">
        <v>3189.05</v>
      </c>
      <c r="P27" s="1">
        <v>1928.5</v>
      </c>
      <c r="Q27" s="1">
        <v>1732.55</v>
      </c>
      <c r="R27" s="1">
        <v>1765.25</v>
      </c>
      <c r="S27" s="1">
        <v>11519.15</v>
      </c>
      <c r="T27" s="1">
        <v>1015.3</v>
      </c>
      <c r="U27" s="1">
        <v>1813.25</v>
      </c>
      <c r="V27" s="1">
        <v>3597.7</v>
      </c>
      <c r="W27" s="1">
        <v>319.10000000000002</v>
      </c>
      <c r="X27" s="1">
        <v>234.54</v>
      </c>
      <c r="Y27" s="1">
        <v>1125.0999999999999</v>
      </c>
      <c r="Z27" s="1">
        <v>254.1</v>
      </c>
      <c r="AA27" s="1">
        <v>284.5</v>
      </c>
      <c r="AB27" s="1">
        <v>944.25</v>
      </c>
      <c r="AC27" s="1">
        <v>316.25</v>
      </c>
      <c r="AD27" s="1">
        <v>285.64999999999998</v>
      </c>
      <c r="AE27" s="1">
        <v>710.55</v>
      </c>
      <c r="AF27" s="1">
        <v>8911.4</v>
      </c>
      <c r="AG27" s="1">
        <v>2354.35</v>
      </c>
      <c r="AH27" s="1">
        <v>376.55</v>
      </c>
      <c r="AI27" s="1">
        <v>1149.72</v>
      </c>
      <c r="AJ27" s="1">
        <v>133.41999999999999</v>
      </c>
      <c r="AK27" s="1">
        <v>245.1</v>
      </c>
      <c r="AL27" s="1">
        <v>2484.6999999999998</v>
      </c>
      <c r="AM27" s="1">
        <v>5450.1</v>
      </c>
      <c r="AN27" s="1">
        <v>5750.3</v>
      </c>
      <c r="AO27" s="1">
        <v>1472.4</v>
      </c>
      <c r="AP27" s="1">
        <v>625.9</v>
      </c>
      <c r="AQ27" s="1">
        <v>583.95000000000005</v>
      </c>
      <c r="AR27" s="1">
        <v>1659.05</v>
      </c>
      <c r="AS27" s="1">
        <v>1449.05</v>
      </c>
      <c r="AT27" s="1">
        <v>6792.2</v>
      </c>
      <c r="AU27" s="1">
        <v>576.75</v>
      </c>
      <c r="AV27" s="1">
        <v>1034.2</v>
      </c>
      <c r="AW27" s="1">
        <v>1219.95</v>
      </c>
      <c r="AX27" s="1">
        <v>4237.1000000000004</v>
      </c>
      <c r="AY27" s="1">
        <v>1047.1500000000001</v>
      </c>
      <c r="BH27" s="2"/>
    </row>
    <row r="28" spans="1:60" ht="14.25" customHeight="1" x14ac:dyDescent="0.3">
      <c r="A28" s="2">
        <v>45693</v>
      </c>
      <c r="B28" s="1">
        <v>23696.3</v>
      </c>
      <c r="C28" s="1">
        <v>1278.2</v>
      </c>
      <c r="D28" s="1">
        <v>868.9</v>
      </c>
      <c r="E28" s="1">
        <v>1660.45</v>
      </c>
      <c r="F28" s="1">
        <v>4091.1</v>
      </c>
      <c r="G28" s="1">
        <v>1267.7</v>
      </c>
      <c r="H28" s="1">
        <v>766.05</v>
      </c>
      <c r="I28" s="1">
        <v>1897.05</v>
      </c>
      <c r="J28" s="1">
        <v>2391.0500000000002</v>
      </c>
      <c r="K28" s="1">
        <v>850.95</v>
      </c>
      <c r="L28" s="1">
        <v>448.15</v>
      </c>
      <c r="M28" s="1">
        <v>3383.2</v>
      </c>
      <c r="N28" s="1">
        <v>13086.8</v>
      </c>
      <c r="O28" s="1">
        <v>3178.75</v>
      </c>
      <c r="P28" s="1">
        <v>1911.75</v>
      </c>
      <c r="Q28" s="1">
        <v>1712.85</v>
      </c>
      <c r="R28" s="1">
        <v>1752.75</v>
      </c>
      <c r="S28" s="1">
        <v>11585.7</v>
      </c>
      <c r="T28" s="1">
        <v>1013.3</v>
      </c>
      <c r="U28" s="1">
        <v>1796.75</v>
      </c>
      <c r="V28" s="1">
        <v>3490.9</v>
      </c>
      <c r="W28" s="1">
        <v>319.60000000000002</v>
      </c>
      <c r="X28" s="1">
        <v>231.12</v>
      </c>
      <c r="Y28" s="1">
        <v>1144.3499999999999</v>
      </c>
      <c r="Z28" s="1">
        <v>261.64999999999998</v>
      </c>
      <c r="AA28" s="1">
        <v>288.95</v>
      </c>
      <c r="AB28" s="1">
        <v>949.9</v>
      </c>
      <c r="AC28" s="1">
        <v>317.10000000000002</v>
      </c>
      <c r="AD28" s="1">
        <v>285.2</v>
      </c>
      <c r="AE28" s="1">
        <v>717.05</v>
      </c>
      <c r="AF28" s="1">
        <v>8927.7999999999993</v>
      </c>
      <c r="AG28" s="1">
        <v>2275.1999999999998</v>
      </c>
      <c r="AH28" s="1">
        <v>382.85</v>
      </c>
      <c r="AI28" s="1">
        <v>1124.47</v>
      </c>
      <c r="AJ28" s="1">
        <v>134.4</v>
      </c>
      <c r="AK28" s="1">
        <v>249.82</v>
      </c>
      <c r="AL28" s="1">
        <v>2490</v>
      </c>
      <c r="AM28" s="1">
        <v>5417.2</v>
      </c>
      <c r="AN28" s="1">
        <v>5749.95</v>
      </c>
      <c r="AO28" s="1">
        <v>1469.15</v>
      </c>
      <c r="AP28" s="1">
        <v>627.85</v>
      </c>
      <c r="AQ28" s="1">
        <v>600.6</v>
      </c>
      <c r="AR28" s="1">
        <v>1661</v>
      </c>
      <c r="AS28" s="1">
        <v>1436.8</v>
      </c>
      <c r="AT28" s="1">
        <v>6944.65</v>
      </c>
      <c r="AU28" s="1">
        <v>571.29999999999995</v>
      </c>
      <c r="AV28" s="1">
        <v>1015.3</v>
      </c>
      <c r="AW28" s="1">
        <v>1227.55</v>
      </c>
      <c r="AX28" s="1">
        <v>4270.3999999999996</v>
      </c>
      <c r="AY28" s="1">
        <v>1061.2</v>
      </c>
      <c r="BH28" s="2"/>
    </row>
    <row r="29" spans="1:60" ht="14.25" customHeight="1" x14ac:dyDescent="0.3">
      <c r="A29" s="2">
        <v>45694</v>
      </c>
      <c r="B29" s="1">
        <v>23603.35</v>
      </c>
      <c r="C29" s="1">
        <v>1281.55</v>
      </c>
      <c r="D29" s="1">
        <v>871.92</v>
      </c>
      <c r="E29" s="1">
        <v>1619.75</v>
      </c>
      <c r="F29" s="1">
        <v>4082.75</v>
      </c>
      <c r="G29" s="1">
        <v>1272.4000000000001</v>
      </c>
      <c r="H29" s="1">
        <v>752.25</v>
      </c>
      <c r="I29" s="1">
        <v>1915.65</v>
      </c>
      <c r="J29" s="1">
        <v>2372.6999999999998</v>
      </c>
      <c r="K29" s="1">
        <v>850.73</v>
      </c>
      <c r="L29" s="1">
        <v>441.1</v>
      </c>
      <c r="M29" s="1">
        <v>3352.75</v>
      </c>
      <c r="N29" s="1">
        <v>13074</v>
      </c>
      <c r="O29" s="1">
        <v>3139.95</v>
      </c>
      <c r="P29" s="1">
        <v>1915.95</v>
      </c>
      <c r="Q29" s="1">
        <v>1723.5</v>
      </c>
      <c r="R29" s="1">
        <v>1742</v>
      </c>
      <c r="S29" s="1">
        <v>11477.35</v>
      </c>
      <c r="T29" s="1">
        <v>1020.7</v>
      </c>
      <c r="U29" s="1">
        <v>1788</v>
      </c>
      <c r="V29" s="1">
        <v>3410.75</v>
      </c>
      <c r="W29" s="1">
        <v>312.8</v>
      </c>
      <c r="X29" s="1">
        <v>229.05</v>
      </c>
      <c r="Y29" s="1">
        <v>1164.05</v>
      </c>
      <c r="Z29" s="1">
        <v>256.14999999999998</v>
      </c>
      <c r="AA29" s="1">
        <v>279.75</v>
      </c>
      <c r="AB29" s="1">
        <v>948.4</v>
      </c>
      <c r="AC29" s="1">
        <v>317.95</v>
      </c>
      <c r="AD29" s="1">
        <v>281.14999999999998</v>
      </c>
      <c r="AE29" s="1">
        <v>709.65</v>
      </c>
      <c r="AF29" s="1">
        <v>8846.35</v>
      </c>
      <c r="AG29" s="1">
        <v>2263.4</v>
      </c>
      <c r="AH29" s="1">
        <v>379.6</v>
      </c>
      <c r="AI29" s="1">
        <v>1119.72</v>
      </c>
      <c r="AJ29" s="1">
        <v>132.54</v>
      </c>
      <c r="AK29" s="1">
        <v>250.48</v>
      </c>
      <c r="AL29" s="1">
        <v>2499</v>
      </c>
      <c r="AM29" s="1">
        <v>5342</v>
      </c>
      <c r="AN29" s="1">
        <v>5277.1</v>
      </c>
      <c r="AO29" s="1">
        <v>1465.1</v>
      </c>
      <c r="AP29" s="1">
        <v>631.95000000000005</v>
      </c>
      <c r="AQ29" s="1">
        <v>595.45000000000005</v>
      </c>
      <c r="AR29" s="1">
        <v>1669.6</v>
      </c>
      <c r="AS29" s="1">
        <v>1471.5</v>
      </c>
      <c r="AT29" s="1">
        <v>6874.25</v>
      </c>
      <c r="AU29" s="1">
        <v>566.35</v>
      </c>
      <c r="AV29" s="1">
        <v>1023.35</v>
      </c>
      <c r="AW29" s="1">
        <v>1236.6500000000001</v>
      </c>
      <c r="AX29" s="1">
        <v>4230.05</v>
      </c>
      <c r="AY29" s="1">
        <v>1065.55</v>
      </c>
      <c r="BH29" s="2"/>
    </row>
    <row r="30" spans="1:60" ht="14.25" customHeight="1" x14ac:dyDescent="0.3">
      <c r="A30" s="2">
        <v>45695</v>
      </c>
      <c r="B30" s="1">
        <v>23559.95</v>
      </c>
      <c r="C30" s="1">
        <v>1266.7</v>
      </c>
      <c r="D30" s="1">
        <v>866.38</v>
      </c>
      <c r="E30" s="1">
        <v>1676.75</v>
      </c>
      <c r="F30" s="1">
        <v>4029.4</v>
      </c>
      <c r="G30" s="1">
        <v>1256.9000000000001</v>
      </c>
      <c r="H30" s="1">
        <v>737.2</v>
      </c>
      <c r="I30" s="1">
        <v>1903.65</v>
      </c>
      <c r="J30" s="1">
        <v>2363.85</v>
      </c>
      <c r="K30" s="1">
        <v>847.42</v>
      </c>
      <c r="L30" s="1">
        <v>430.85</v>
      </c>
      <c r="M30" s="1">
        <v>3336.9</v>
      </c>
      <c r="N30" s="1">
        <v>13049.5</v>
      </c>
      <c r="O30" s="1">
        <v>3198.45</v>
      </c>
      <c r="P30" s="1">
        <v>1929.25</v>
      </c>
      <c r="Q30" s="1">
        <v>1725.65</v>
      </c>
      <c r="R30" s="1">
        <v>1749.8</v>
      </c>
      <c r="S30" s="1">
        <v>11640.6</v>
      </c>
      <c r="T30" s="1">
        <v>1024.0999999999999</v>
      </c>
      <c r="U30" s="1">
        <v>1798.35</v>
      </c>
      <c r="V30" s="1">
        <v>3424.8</v>
      </c>
      <c r="W30" s="1">
        <v>316.95</v>
      </c>
      <c r="X30" s="1">
        <v>233.9</v>
      </c>
      <c r="Y30" s="1">
        <v>1146.0999999999999</v>
      </c>
      <c r="Z30" s="1">
        <v>248.9</v>
      </c>
      <c r="AA30" s="1">
        <v>277.05</v>
      </c>
      <c r="AB30" s="1">
        <v>980.75</v>
      </c>
      <c r="AC30" s="1">
        <v>318</v>
      </c>
      <c r="AD30" s="1">
        <v>278.14999999999998</v>
      </c>
      <c r="AE30" s="1">
        <v>706.75</v>
      </c>
      <c r="AF30" s="1">
        <v>8989.4</v>
      </c>
      <c r="AG30" s="1">
        <v>2271</v>
      </c>
      <c r="AH30" s="1">
        <v>378.25</v>
      </c>
      <c r="AI30" s="1">
        <v>1112.55</v>
      </c>
      <c r="AJ30" s="1">
        <v>138.31</v>
      </c>
      <c r="AK30" s="1">
        <v>249.45</v>
      </c>
      <c r="AL30" s="1">
        <v>2487.6</v>
      </c>
      <c r="AM30" s="1">
        <v>5372.55</v>
      </c>
      <c r="AN30" s="1">
        <v>5454.4</v>
      </c>
      <c r="AO30" s="1">
        <v>1470.95</v>
      </c>
      <c r="AP30" s="1">
        <v>635.70000000000005</v>
      </c>
      <c r="AQ30" s="1">
        <v>607.4</v>
      </c>
      <c r="AR30" s="1">
        <v>1692.1</v>
      </c>
      <c r="AS30" s="1">
        <v>1472.25</v>
      </c>
      <c r="AT30" s="1">
        <v>6790.55</v>
      </c>
      <c r="AU30" s="1">
        <v>559.54999999999995</v>
      </c>
      <c r="AV30" s="1">
        <v>1021.2</v>
      </c>
      <c r="AW30" s="1">
        <v>1240.4000000000001</v>
      </c>
      <c r="AX30" s="1">
        <v>4274.6499999999996</v>
      </c>
      <c r="AY30" s="1">
        <v>1079.0999999999999</v>
      </c>
      <c r="BH30" s="2"/>
    </row>
    <row r="31" spans="1:60" ht="14.25" customHeight="1" x14ac:dyDescent="0.3">
      <c r="A31" s="2">
        <v>45698</v>
      </c>
      <c r="B31" s="1">
        <v>23381.599999999999</v>
      </c>
      <c r="C31" s="1">
        <v>1253.6500000000001</v>
      </c>
      <c r="D31" s="1">
        <v>857.88</v>
      </c>
      <c r="E31" s="1">
        <v>1693.05</v>
      </c>
      <c r="F31" s="1">
        <v>4036.95</v>
      </c>
      <c r="G31" s="1">
        <v>1262.5999999999999</v>
      </c>
      <c r="H31" s="1">
        <v>736.8</v>
      </c>
      <c r="I31" s="1">
        <v>1880.3</v>
      </c>
      <c r="J31" s="1">
        <v>2361.4499999999998</v>
      </c>
      <c r="K31" s="1">
        <v>828.68</v>
      </c>
      <c r="L31" s="1">
        <v>427.2</v>
      </c>
      <c r="M31" s="1">
        <v>3328.65</v>
      </c>
      <c r="N31" s="1">
        <v>12900.75</v>
      </c>
      <c r="O31" s="1">
        <v>3137.25</v>
      </c>
      <c r="P31" s="1">
        <v>1960.15</v>
      </c>
      <c r="Q31" s="1">
        <v>1733.85</v>
      </c>
      <c r="R31" s="1">
        <v>1732.1</v>
      </c>
      <c r="S31" s="1">
        <v>11532.3</v>
      </c>
      <c r="T31" s="1">
        <v>1011.75</v>
      </c>
      <c r="U31" s="1">
        <v>1792.4</v>
      </c>
      <c r="V31" s="1">
        <v>3327.45</v>
      </c>
      <c r="W31" s="1">
        <v>310.5</v>
      </c>
      <c r="X31" s="1">
        <v>227.25</v>
      </c>
      <c r="Y31" s="1">
        <v>1144.2</v>
      </c>
      <c r="Z31" s="1">
        <v>242.45</v>
      </c>
      <c r="AA31" s="1">
        <v>273.45</v>
      </c>
      <c r="AB31" s="1">
        <v>959.15</v>
      </c>
      <c r="AC31" s="1">
        <v>319.05</v>
      </c>
      <c r="AD31" s="1">
        <v>268.7</v>
      </c>
      <c r="AE31" s="1">
        <v>696</v>
      </c>
      <c r="AF31" s="1">
        <v>8880.5499999999993</v>
      </c>
      <c r="AG31" s="1">
        <v>2270.15</v>
      </c>
      <c r="AH31" s="1">
        <v>370.5</v>
      </c>
      <c r="AI31" s="1">
        <v>1110.53</v>
      </c>
      <c r="AJ31" s="1">
        <v>134.04</v>
      </c>
      <c r="AK31" s="1">
        <v>242.96</v>
      </c>
      <c r="AL31" s="1">
        <v>2473.25</v>
      </c>
      <c r="AM31" s="1">
        <v>5335.35</v>
      </c>
      <c r="AN31" s="1">
        <v>5196.75</v>
      </c>
      <c r="AO31" s="1">
        <v>1448.2</v>
      </c>
      <c r="AP31" s="1">
        <v>635.70000000000005</v>
      </c>
      <c r="AQ31" s="1">
        <v>596</v>
      </c>
      <c r="AR31" s="1">
        <v>1699.05</v>
      </c>
      <c r="AS31" s="1">
        <v>1458.85</v>
      </c>
      <c r="AT31" s="1">
        <v>6761.25</v>
      </c>
      <c r="AU31" s="1">
        <v>560.79999999999995</v>
      </c>
      <c r="AV31" s="1">
        <v>1027.5</v>
      </c>
      <c r="AW31" s="1">
        <v>1220.95</v>
      </c>
      <c r="AX31" s="1">
        <v>4196.45</v>
      </c>
      <c r="AY31" s="1">
        <v>1068</v>
      </c>
      <c r="BH31" s="2"/>
    </row>
    <row r="32" spans="1:60" ht="14.25" customHeight="1" x14ac:dyDescent="0.3">
      <c r="A32" s="2">
        <v>45699</v>
      </c>
      <c r="B32" s="1">
        <v>23071.8</v>
      </c>
      <c r="C32" s="1">
        <v>1234.8499999999999</v>
      </c>
      <c r="D32" s="1">
        <v>850.7</v>
      </c>
      <c r="E32" s="1">
        <v>1696.75</v>
      </c>
      <c r="F32" s="1">
        <v>3963.55</v>
      </c>
      <c r="G32" s="1">
        <v>1252.75</v>
      </c>
      <c r="H32" s="1">
        <v>731.1</v>
      </c>
      <c r="I32" s="1">
        <v>1875.65</v>
      </c>
      <c r="J32" s="1">
        <v>2315.25</v>
      </c>
      <c r="K32" s="1">
        <v>819.12</v>
      </c>
      <c r="L32" s="1">
        <v>418.3</v>
      </c>
      <c r="M32" s="1">
        <v>3239.65</v>
      </c>
      <c r="N32" s="1">
        <v>12724.35</v>
      </c>
      <c r="O32" s="1">
        <v>3085.95</v>
      </c>
      <c r="P32" s="1">
        <v>1918.6</v>
      </c>
      <c r="Q32" s="1">
        <v>1723.2</v>
      </c>
      <c r="R32" s="1">
        <v>1699.75</v>
      </c>
      <c r="S32" s="1">
        <v>11300.2</v>
      </c>
      <c r="T32" s="1">
        <v>1007.4</v>
      </c>
      <c r="U32" s="1">
        <v>1744.85</v>
      </c>
      <c r="V32" s="1">
        <v>3281.8</v>
      </c>
      <c r="W32" s="1">
        <v>305.60000000000002</v>
      </c>
      <c r="X32" s="1">
        <v>215.45</v>
      </c>
      <c r="Y32" s="1">
        <v>1140.0999999999999</v>
      </c>
      <c r="Z32" s="1">
        <v>238.95</v>
      </c>
      <c r="AA32" s="1">
        <v>265.05</v>
      </c>
      <c r="AB32" s="1">
        <v>954.5</v>
      </c>
      <c r="AC32" s="1">
        <v>313</v>
      </c>
      <c r="AD32" s="1">
        <v>261.45</v>
      </c>
      <c r="AE32" s="1">
        <v>677.75</v>
      </c>
      <c r="AF32" s="1">
        <v>8762</v>
      </c>
      <c r="AG32" s="1">
        <v>2240.85</v>
      </c>
      <c r="AH32" s="1">
        <v>359</v>
      </c>
      <c r="AI32" s="1">
        <v>1097.75</v>
      </c>
      <c r="AJ32" s="1">
        <v>130.11000000000001</v>
      </c>
      <c r="AK32" s="1">
        <v>235.94</v>
      </c>
      <c r="AL32" s="1">
        <v>2491.4499999999998</v>
      </c>
      <c r="AM32" s="1">
        <v>4972.3500000000004</v>
      </c>
      <c r="AN32" s="1">
        <v>5228.3500000000004</v>
      </c>
      <c r="AO32" s="1">
        <v>1419</v>
      </c>
      <c r="AP32" s="1">
        <v>618.6</v>
      </c>
      <c r="AQ32" s="1">
        <v>595.85</v>
      </c>
      <c r="AR32" s="1">
        <v>1669.1</v>
      </c>
      <c r="AS32" s="1">
        <v>1453.15</v>
      </c>
      <c r="AT32" s="1">
        <v>6317.35</v>
      </c>
      <c r="AU32" s="1">
        <v>538.54999999999995</v>
      </c>
      <c r="AV32" s="1">
        <v>1013.8</v>
      </c>
      <c r="AW32" s="1">
        <v>1209.8</v>
      </c>
      <c r="AX32" s="1">
        <v>4085.55</v>
      </c>
      <c r="AY32" s="1">
        <v>1054.1500000000001</v>
      </c>
      <c r="BH32" s="2"/>
    </row>
    <row r="33" spans="1:60" ht="14.25" customHeight="1" x14ac:dyDescent="0.3">
      <c r="A33" s="2">
        <v>45700</v>
      </c>
      <c r="B33" s="1">
        <v>23045.25</v>
      </c>
      <c r="C33" s="1">
        <v>1216.55</v>
      </c>
      <c r="D33" s="1">
        <v>853.4</v>
      </c>
      <c r="E33" s="1">
        <v>1711.55</v>
      </c>
      <c r="F33" s="1">
        <v>3950.15</v>
      </c>
      <c r="G33" s="1">
        <v>1251.8</v>
      </c>
      <c r="H33" s="1">
        <v>733.15</v>
      </c>
      <c r="I33" s="1">
        <v>1863.15</v>
      </c>
      <c r="J33" s="1">
        <v>2332.5</v>
      </c>
      <c r="K33" s="1">
        <v>821.41</v>
      </c>
      <c r="L33" s="1">
        <v>409.9</v>
      </c>
      <c r="M33" s="1">
        <v>3289.65</v>
      </c>
      <c r="N33" s="1">
        <v>12655.55</v>
      </c>
      <c r="O33" s="1">
        <v>2987.2</v>
      </c>
      <c r="P33" s="1">
        <v>1943.95</v>
      </c>
      <c r="Q33" s="1">
        <v>1717.3</v>
      </c>
      <c r="R33" s="1">
        <v>1693.85</v>
      </c>
      <c r="S33" s="1">
        <v>11478.5</v>
      </c>
      <c r="T33" s="1">
        <v>1006.9</v>
      </c>
      <c r="U33" s="1">
        <v>1788.7</v>
      </c>
      <c r="V33" s="1">
        <v>3255.45</v>
      </c>
      <c r="W33" s="1">
        <v>306.25</v>
      </c>
      <c r="X33" s="1">
        <v>214.7</v>
      </c>
      <c r="Y33" s="1">
        <v>1128.95</v>
      </c>
      <c r="Z33" s="1">
        <v>237.4</v>
      </c>
      <c r="AA33" s="1">
        <v>259.14999999999998</v>
      </c>
      <c r="AB33" s="1">
        <v>956.4</v>
      </c>
      <c r="AC33" s="1">
        <v>310.2</v>
      </c>
      <c r="AD33" s="1">
        <v>257.05</v>
      </c>
      <c r="AE33" s="1">
        <v>684.35</v>
      </c>
      <c r="AF33" s="1">
        <v>8711.6</v>
      </c>
      <c r="AG33" s="1">
        <v>2228.25</v>
      </c>
      <c r="AH33" s="1">
        <v>360.35</v>
      </c>
      <c r="AI33" s="1">
        <v>1096.8800000000001</v>
      </c>
      <c r="AJ33" s="1">
        <v>132.28</v>
      </c>
      <c r="AK33" s="1">
        <v>227.62</v>
      </c>
      <c r="AL33" s="1">
        <v>2484.9499999999998</v>
      </c>
      <c r="AM33" s="1">
        <v>4849.45</v>
      </c>
      <c r="AN33" s="1">
        <v>5237.3</v>
      </c>
      <c r="AO33" s="1">
        <v>1452.15</v>
      </c>
      <c r="AP33" s="1">
        <v>629.15</v>
      </c>
      <c r="AQ33" s="1">
        <v>598.9</v>
      </c>
      <c r="AR33" s="1">
        <v>1680.2</v>
      </c>
      <c r="AS33" s="1">
        <v>1449.2</v>
      </c>
      <c r="AT33" s="1">
        <v>6374.55</v>
      </c>
      <c r="AU33" s="1">
        <v>547.15</v>
      </c>
      <c r="AV33" s="1">
        <v>1029.75</v>
      </c>
      <c r="AW33" s="1">
        <v>1215.8499999999999</v>
      </c>
      <c r="AX33" s="1">
        <v>4015.75</v>
      </c>
      <c r="AY33" s="1">
        <v>1039.6500000000001</v>
      </c>
      <c r="BH33" s="2"/>
    </row>
    <row r="34" spans="1:60" ht="14.25" customHeight="1" x14ac:dyDescent="0.3">
      <c r="A34" s="2">
        <v>45701</v>
      </c>
      <c r="B34" s="1">
        <v>23031.4</v>
      </c>
      <c r="C34" s="1">
        <v>1216.0999999999999</v>
      </c>
      <c r="D34" s="1">
        <v>848.85</v>
      </c>
      <c r="E34" s="1">
        <v>1714.6</v>
      </c>
      <c r="F34" s="1">
        <v>3910.15</v>
      </c>
      <c r="G34" s="1">
        <v>1248.9000000000001</v>
      </c>
      <c r="H34" s="1">
        <v>727.65</v>
      </c>
      <c r="I34" s="1">
        <v>1843.25</v>
      </c>
      <c r="J34" s="1">
        <v>2321.5</v>
      </c>
      <c r="K34" s="1">
        <v>840.9</v>
      </c>
      <c r="L34" s="1">
        <v>409.7</v>
      </c>
      <c r="M34" s="1">
        <v>3263.65</v>
      </c>
      <c r="N34" s="1">
        <v>12671.3</v>
      </c>
      <c r="O34" s="1">
        <v>2978</v>
      </c>
      <c r="P34" s="1">
        <v>1972.8</v>
      </c>
      <c r="Q34" s="1">
        <v>1703.1</v>
      </c>
      <c r="R34" s="1">
        <v>1746.35</v>
      </c>
      <c r="S34" s="1">
        <v>11546.45</v>
      </c>
      <c r="T34" s="1">
        <v>1008.2</v>
      </c>
      <c r="U34" s="1">
        <v>1849.25</v>
      </c>
      <c r="V34" s="1">
        <v>3231.5</v>
      </c>
      <c r="W34" s="1">
        <v>306.7</v>
      </c>
      <c r="X34" s="1">
        <v>217.87</v>
      </c>
      <c r="Y34" s="1">
        <v>1111.55</v>
      </c>
      <c r="Z34" s="1">
        <v>234.95</v>
      </c>
      <c r="AA34" s="1">
        <v>261.55</v>
      </c>
      <c r="AB34" s="1">
        <v>969.8</v>
      </c>
      <c r="AC34" s="1">
        <v>308.55</v>
      </c>
      <c r="AD34" s="1">
        <v>259.14999999999998</v>
      </c>
      <c r="AE34" s="1">
        <v>683.85</v>
      </c>
      <c r="AF34" s="1">
        <v>8691.35</v>
      </c>
      <c r="AG34" s="1">
        <v>2236.4</v>
      </c>
      <c r="AH34" s="1">
        <v>361.65</v>
      </c>
      <c r="AI34" s="1">
        <v>1088.78</v>
      </c>
      <c r="AJ34" s="1">
        <v>136.25</v>
      </c>
      <c r="AK34" s="1">
        <v>228.06</v>
      </c>
      <c r="AL34" s="1">
        <v>2490.1</v>
      </c>
      <c r="AM34" s="1">
        <v>4820.3999999999996</v>
      </c>
      <c r="AN34" s="1">
        <v>5256.8</v>
      </c>
      <c r="AO34" s="1">
        <v>1470.5</v>
      </c>
      <c r="AP34" s="1">
        <v>629.6</v>
      </c>
      <c r="AQ34" s="1">
        <v>602.5</v>
      </c>
      <c r="AR34" s="1">
        <v>1675.3</v>
      </c>
      <c r="AS34" s="1">
        <v>1472.15</v>
      </c>
      <c r="AT34" s="1">
        <v>6372.2</v>
      </c>
      <c r="AU34" s="1">
        <v>548.65</v>
      </c>
      <c r="AV34" s="1">
        <v>1022.8</v>
      </c>
      <c r="AW34" s="1">
        <v>1223.5999999999999</v>
      </c>
      <c r="AX34" s="1">
        <v>3956.55</v>
      </c>
      <c r="AY34" s="1">
        <v>1047.25</v>
      </c>
      <c r="BH34" s="2"/>
    </row>
    <row r="35" spans="1:60" ht="14.25" customHeight="1" x14ac:dyDescent="0.3">
      <c r="A35" s="2">
        <v>45702</v>
      </c>
      <c r="B35" s="1">
        <v>22929.25</v>
      </c>
      <c r="C35" s="1">
        <v>1217.25</v>
      </c>
      <c r="D35" s="1">
        <v>847.42</v>
      </c>
      <c r="E35" s="1">
        <v>1717.05</v>
      </c>
      <c r="F35" s="1">
        <v>3934.85</v>
      </c>
      <c r="G35" s="1">
        <v>1260.0999999999999</v>
      </c>
      <c r="H35" s="1">
        <v>722.15</v>
      </c>
      <c r="I35" s="1">
        <v>1856.4</v>
      </c>
      <c r="J35" s="1">
        <v>2318.35</v>
      </c>
      <c r="K35" s="1">
        <v>839.23</v>
      </c>
      <c r="L35" s="1">
        <v>410.25</v>
      </c>
      <c r="M35" s="1">
        <v>3237.65</v>
      </c>
      <c r="N35" s="1">
        <v>12680.25</v>
      </c>
      <c r="O35" s="1">
        <v>2942.6</v>
      </c>
      <c r="P35" s="1">
        <v>1952.4</v>
      </c>
      <c r="Q35" s="1">
        <v>1711.25</v>
      </c>
      <c r="R35" s="1">
        <v>1700.5</v>
      </c>
      <c r="S35" s="1">
        <v>11263.85</v>
      </c>
      <c r="T35" s="1">
        <v>997.5</v>
      </c>
      <c r="U35" s="1">
        <v>1841.3</v>
      </c>
      <c r="V35" s="1">
        <v>3213.25</v>
      </c>
      <c r="W35" s="1">
        <v>300.35000000000002</v>
      </c>
      <c r="X35" s="1">
        <v>215.99</v>
      </c>
      <c r="Y35" s="1">
        <v>1062.7</v>
      </c>
      <c r="Z35" s="1">
        <v>230.5</v>
      </c>
      <c r="AA35" s="1">
        <v>250.35</v>
      </c>
      <c r="AB35" s="1">
        <v>964.6</v>
      </c>
      <c r="AC35" s="1">
        <v>308.10000000000002</v>
      </c>
      <c r="AD35" s="1">
        <v>257.35000000000002</v>
      </c>
      <c r="AE35" s="1">
        <v>680.65</v>
      </c>
      <c r="AF35" s="1">
        <v>8506.5</v>
      </c>
      <c r="AG35" s="1">
        <v>2231.3000000000002</v>
      </c>
      <c r="AH35" s="1">
        <v>354.2</v>
      </c>
      <c r="AI35" s="1">
        <v>1097.93</v>
      </c>
      <c r="AJ35" s="1">
        <v>134.47</v>
      </c>
      <c r="AK35" s="1">
        <v>222.29</v>
      </c>
      <c r="AL35" s="1">
        <v>2431.3000000000002</v>
      </c>
      <c r="AM35" s="1">
        <v>4703.3500000000004</v>
      </c>
      <c r="AN35" s="1">
        <v>5117.3500000000004</v>
      </c>
      <c r="AO35" s="1">
        <v>1465.45</v>
      </c>
      <c r="AP35" s="1">
        <v>626.20000000000005</v>
      </c>
      <c r="AQ35" s="1">
        <v>606.20000000000005</v>
      </c>
      <c r="AR35" s="1">
        <v>1659.1</v>
      </c>
      <c r="AS35" s="1">
        <v>1459.45</v>
      </c>
      <c r="AT35" s="1">
        <v>6270.5</v>
      </c>
      <c r="AU35" s="1">
        <v>539.15</v>
      </c>
      <c r="AV35" s="1">
        <v>1022.55</v>
      </c>
      <c r="AW35" s="1">
        <v>1197.05</v>
      </c>
      <c r="AX35" s="1">
        <v>3862.4</v>
      </c>
      <c r="AY35" s="1">
        <v>1024.4000000000001</v>
      </c>
      <c r="BH35" s="2"/>
    </row>
    <row r="36" spans="1:60" ht="14.25" customHeight="1" x14ac:dyDescent="0.3">
      <c r="A36" s="2">
        <v>45705</v>
      </c>
      <c r="B36" s="1">
        <v>22959.5</v>
      </c>
      <c r="C36" s="1">
        <v>1224.9000000000001</v>
      </c>
      <c r="D36" s="1">
        <v>858.67</v>
      </c>
      <c r="E36" s="1">
        <v>1675.55</v>
      </c>
      <c r="F36" s="1">
        <v>3904.5</v>
      </c>
      <c r="G36" s="1">
        <v>1251.1500000000001</v>
      </c>
      <c r="H36" s="1">
        <v>727.7</v>
      </c>
      <c r="I36" s="1">
        <v>1842.3</v>
      </c>
      <c r="J36" s="1">
        <v>2329.4</v>
      </c>
      <c r="K36" s="1">
        <v>842.66</v>
      </c>
      <c r="L36" s="1">
        <v>408.6</v>
      </c>
      <c r="M36" s="1">
        <v>3221.85</v>
      </c>
      <c r="N36" s="1">
        <v>12762.9</v>
      </c>
      <c r="O36" s="1">
        <v>2831.95</v>
      </c>
      <c r="P36" s="1">
        <v>1945.3</v>
      </c>
      <c r="Q36" s="1">
        <v>1709.9</v>
      </c>
      <c r="R36" s="1">
        <v>1714.2</v>
      </c>
      <c r="S36" s="1">
        <v>11490.1</v>
      </c>
      <c r="T36" s="1">
        <v>992.95</v>
      </c>
      <c r="U36" s="1">
        <v>1894.85</v>
      </c>
      <c r="V36" s="1">
        <v>3233.2</v>
      </c>
      <c r="W36" s="1">
        <v>302.35000000000002</v>
      </c>
      <c r="X36" s="1">
        <v>218.53</v>
      </c>
      <c r="Y36" s="1">
        <v>1082.9000000000001</v>
      </c>
      <c r="Z36" s="1">
        <v>233.65</v>
      </c>
      <c r="AA36" s="1">
        <v>248.5</v>
      </c>
      <c r="AB36" s="1">
        <v>973.55</v>
      </c>
      <c r="AC36" s="1">
        <v>305.35000000000002</v>
      </c>
      <c r="AD36" s="1">
        <v>263.2</v>
      </c>
      <c r="AE36" s="1">
        <v>686.6</v>
      </c>
      <c r="AF36" s="1">
        <v>8537.15</v>
      </c>
      <c r="AG36" s="1">
        <v>2250.85</v>
      </c>
      <c r="AH36" s="1">
        <v>360.1</v>
      </c>
      <c r="AI36" s="1">
        <v>1108.25</v>
      </c>
      <c r="AJ36" s="1">
        <v>134.29</v>
      </c>
      <c r="AK36" s="1">
        <v>222.45</v>
      </c>
      <c r="AL36" s="1">
        <v>2463.85</v>
      </c>
      <c r="AM36" s="1">
        <v>4745.2</v>
      </c>
      <c r="AN36" s="1">
        <v>5096.45</v>
      </c>
      <c r="AO36" s="1">
        <v>1476.2</v>
      </c>
      <c r="AP36" s="1">
        <v>623.25</v>
      </c>
      <c r="AQ36" s="1">
        <v>610.85</v>
      </c>
      <c r="AR36" s="1">
        <v>1664.95</v>
      </c>
      <c r="AS36" s="1">
        <v>1474.65</v>
      </c>
      <c r="AT36" s="1">
        <v>6300.2</v>
      </c>
      <c r="AU36" s="1">
        <v>550.35</v>
      </c>
      <c r="AV36" s="1">
        <v>1023.25</v>
      </c>
      <c r="AW36" s="1">
        <v>1198.95</v>
      </c>
      <c r="AX36" s="1">
        <v>3876.45</v>
      </c>
      <c r="AY36" s="1">
        <v>1048.25</v>
      </c>
      <c r="BH36" s="2"/>
    </row>
    <row r="37" spans="1:60" ht="14.25" customHeight="1" x14ac:dyDescent="0.3">
      <c r="A37" s="2">
        <v>45706</v>
      </c>
      <c r="B37" s="1">
        <v>22945.3</v>
      </c>
      <c r="C37" s="1">
        <v>1225.4000000000001</v>
      </c>
      <c r="D37" s="1">
        <v>861.53</v>
      </c>
      <c r="E37" s="1">
        <v>1668.9</v>
      </c>
      <c r="F37" s="1">
        <v>3873.2</v>
      </c>
      <c r="G37" s="1">
        <v>1243.05</v>
      </c>
      <c r="H37" s="1">
        <v>725.8</v>
      </c>
      <c r="I37" s="1">
        <v>1851.95</v>
      </c>
      <c r="J37" s="1">
        <v>2296</v>
      </c>
      <c r="K37" s="1">
        <v>846.59</v>
      </c>
      <c r="L37" s="1">
        <v>405.25</v>
      </c>
      <c r="M37" s="1">
        <v>3220.15</v>
      </c>
      <c r="N37" s="1">
        <v>12786.2</v>
      </c>
      <c r="O37" s="1">
        <v>2790.05</v>
      </c>
      <c r="P37" s="1">
        <v>1963.35</v>
      </c>
      <c r="Q37" s="1">
        <v>1725.5</v>
      </c>
      <c r="R37" s="1">
        <v>1701.6</v>
      </c>
      <c r="S37" s="1">
        <v>11308.9</v>
      </c>
      <c r="T37" s="1">
        <v>994.15</v>
      </c>
      <c r="U37" s="1">
        <v>1893.7</v>
      </c>
      <c r="V37" s="1">
        <v>3221.85</v>
      </c>
      <c r="W37" s="1">
        <v>311.2</v>
      </c>
      <c r="X37" s="1">
        <v>223.31</v>
      </c>
      <c r="Y37" s="1">
        <v>1085.1500000000001</v>
      </c>
      <c r="Z37" s="1">
        <v>236.6</v>
      </c>
      <c r="AA37" s="1">
        <v>244.6</v>
      </c>
      <c r="AB37" s="1">
        <v>978.8</v>
      </c>
      <c r="AC37" s="1">
        <v>312.2</v>
      </c>
      <c r="AD37" s="1">
        <v>266.95</v>
      </c>
      <c r="AE37" s="1">
        <v>682.4</v>
      </c>
      <c r="AF37" s="1">
        <v>8446.6</v>
      </c>
      <c r="AG37" s="1">
        <v>2237.6</v>
      </c>
      <c r="AH37" s="1">
        <v>361.1</v>
      </c>
      <c r="AI37" s="1">
        <v>1111.2</v>
      </c>
      <c r="AJ37" s="1">
        <v>134.54</v>
      </c>
      <c r="AK37" s="1">
        <v>221.02</v>
      </c>
      <c r="AL37" s="1">
        <v>2463.1999999999998</v>
      </c>
      <c r="AM37" s="1">
        <v>4719.3999999999996</v>
      </c>
      <c r="AN37" s="1">
        <v>4997.75</v>
      </c>
      <c r="AO37" s="1">
        <v>1475.35</v>
      </c>
      <c r="AP37" s="1">
        <v>618.95000000000005</v>
      </c>
      <c r="AQ37" s="1">
        <v>611.45000000000005</v>
      </c>
      <c r="AR37" s="1">
        <v>1705</v>
      </c>
      <c r="AS37" s="1">
        <v>1482.1</v>
      </c>
      <c r="AT37" s="1">
        <v>6376.85</v>
      </c>
      <c r="AU37" s="1">
        <v>553.35</v>
      </c>
      <c r="AV37" s="1">
        <v>1026.95</v>
      </c>
      <c r="AW37" s="1">
        <v>1197.4000000000001</v>
      </c>
      <c r="AX37" s="1">
        <v>3840.5</v>
      </c>
      <c r="AY37" s="1">
        <v>1024.0999999999999</v>
      </c>
      <c r="BH37" s="2"/>
    </row>
    <row r="38" spans="1:60" ht="14.25" customHeight="1" x14ac:dyDescent="0.3">
      <c r="A38" s="2">
        <v>45707</v>
      </c>
      <c r="B38" s="1">
        <v>22932.9</v>
      </c>
      <c r="C38" s="1">
        <v>1227.45</v>
      </c>
      <c r="D38" s="1">
        <v>863.6</v>
      </c>
      <c r="E38" s="1">
        <v>1645.2</v>
      </c>
      <c r="F38" s="1">
        <v>3784.1</v>
      </c>
      <c r="G38" s="1">
        <v>1261.6500000000001</v>
      </c>
      <c r="H38" s="1">
        <v>727.3</v>
      </c>
      <c r="I38" s="1">
        <v>1810.8</v>
      </c>
      <c r="J38" s="1">
        <v>2250.4</v>
      </c>
      <c r="K38" s="1">
        <v>843.95</v>
      </c>
      <c r="L38" s="1">
        <v>406.4</v>
      </c>
      <c r="M38" s="1">
        <v>3275.9</v>
      </c>
      <c r="N38" s="1">
        <v>12686.15</v>
      </c>
      <c r="O38" s="1">
        <v>2757.4</v>
      </c>
      <c r="P38" s="1">
        <v>1985</v>
      </c>
      <c r="Q38" s="1">
        <v>1712.3</v>
      </c>
      <c r="R38" s="1">
        <v>1676.6</v>
      </c>
      <c r="S38" s="1">
        <v>11291.55</v>
      </c>
      <c r="T38" s="1">
        <v>1011.35</v>
      </c>
      <c r="U38" s="1">
        <v>1875.35</v>
      </c>
      <c r="V38" s="1">
        <v>3210.3</v>
      </c>
      <c r="W38" s="1">
        <v>314.8</v>
      </c>
      <c r="X38" s="1">
        <v>234.1</v>
      </c>
      <c r="Y38" s="1">
        <v>1082.8499999999999</v>
      </c>
      <c r="Z38" s="1">
        <v>238.3</v>
      </c>
      <c r="AA38" s="1">
        <v>253.4</v>
      </c>
      <c r="AB38" s="1">
        <v>977.35</v>
      </c>
      <c r="AC38" s="1">
        <v>314.10000000000002</v>
      </c>
      <c r="AD38" s="1">
        <v>263.05</v>
      </c>
      <c r="AE38" s="1">
        <v>681</v>
      </c>
      <c r="AF38" s="1">
        <v>8479.5</v>
      </c>
      <c r="AG38" s="1">
        <v>2239.1</v>
      </c>
      <c r="AH38" s="1">
        <v>362.3</v>
      </c>
      <c r="AI38" s="1">
        <v>1102.47</v>
      </c>
      <c r="AJ38" s="1">
        <v>135.76</v>
      </c>
      <c r="AK38" s="1">
        <v>228.92</v>
      </c>
      <c r="AL38" s="1">
        <v>2463.1999999999998</v>
      </c>
      <c r="AM38" s="1">
        <v>4810.6000000000004</v>
      </c>
      <c r="AN38" s="1">
        <v>4991.45</v>
      </c>
      <c r="AO38" s="1">
        <v>1475.6</v>
      </c>
      <c r="AP38" s="1">
        <v>622.85</v>
      </c>
      <c r="AQ38" s="1">
        <v>626.29999999999995</v>
      </c>
      <c r="AR38" s="1">
        <v>1685.8</v>
      </c>
      <c r="AS38" s="1">
        <v>1464.15</v>
      </c>
      <c r="AT38" s="1">
        <v>6422.65</v>
      </c>
      <c r="AU38" s="1">
        <v>557.79999999999995</v>
      </c>
      <c r="AV38" s="1">
        <v>1025.3</v>
      </c>
      <c r="AW38" s="1">
        <v>1165.8499999999999</v>
      </c>
      <c r="AX38" s="1">
        <v>3879.15</v>
      </c>
      <c r="AY38" s="1">
        <v>1035.8</v>
      </c>
      <c r="BH38" s="2"/>
    </row>
    <row r="39" spans="1:60" ht="14.25" customHeight="1" x14ac:dyDescent="0.3">
      <c r="A39" s="2">
        <v>45708</v>
      </c>
      <c r="B39" s="1">
        <v>22913.15</v>
      </c>
      <c r="C39" s="1">
        <v>1233</v>
      </c>
      <c r="D39" s="1">
        <v>843.55</v>
      </c>
      <c r="E39" s="1">
        <v>1643.5</v>
      </c>
      <c r="F39" s="1">
        <v>3779.4</v>
      </c>
      <c r="G39" s="1">
        <v>1249.95</v>
      </c>
      <c r="H39" s="1">
        <v>729.7</v>
      </c>
      <c r="I39" s="1">
        <v>1825.15</v>
      </c>
      <c r="J39" s="1">
        <v>2248.0500000000002</v>
      </c>
      <c r="K39" s="1">
        <v>839.95</v>
      </c>
      <c r="L39" s="1">
        <v>402.05</v>
      </c>
      <c r="M39" s="1">
        <v>3275.8</v>
      </c>
      <c r="N39" s="1">
        <v>12440.65</v>
      </c>
      <c r="O39" s="1">
        <v>2839.45</v>
      </c>
      <c r="P39" s="1">
        <v>1970.55</v>
      </c>
      <c r="Q39" s="1">
        <v>1687.55</v>
      </c>
      <c r="R39" s="1">
        <v>1669.3</v>
      </c>
      <c r="S39" s="1">
        <v>11287.6</v>
      </c>
      <c r="T39" s="1">
        <v>1017.2</v>
      </c>
      <c r="U39" s="1">
        <v>1881.25</v>
      </c>
      <c r="V39" s="1">
        <v>3191.45</v>
      </c>
      <c r="W39" s="1">
        <v>325.14999999999998</v>
      </c>
      <c r="X39" s="1">
        <v>233.93</v>
      </c>
      <c r="Y39" s="1">
        <v>1111.7</v>
      </c>
      <c r="Z39" s="1">
        <v>241.9</v>
      </c>
      <c r="AA39" s="1">
        <v>260.25</v>
      </c>
      <c r="AB39" s="1">
        <v>981.15</v>
      </c>
      <c r="AC39" s="1">
        <v>313.3</v>
      </c>
      <c r="AD39" s="1">
        <v>265.75</v>
      </c>
      <c r="AE39" s="1">
        <v>689.8</v>
      </c>
      <c r="AF39" s="1">
        <v>8630.2000000000007</v>
      </c>
      <c r="AG39" s="1">
        <v>2249.0500000000002</v>
      </c>
      <c r="AH39" s="1">
        <v>367.95</v>
      </c>
      <c r="AI39" s="1">
        <v>1103.3800000000001</v>
      </c>
      <c r="AJ39" s="1">
        <v>138.04</v>
      </c>
      <c r="AK39" s="1">
        <v>235.27</v>
      </c>
      <c r="AL39" s="1">
        <v>2453.6999999999998</v>
      </c>
      <c r="AM39" s="1">
        <v>4888.3999999999996</v>
      </c>
      <c r="AN39" s="1">
        <v>5099.5</v>
      </c>
      <c r="AO39" s="1">
        <v>1469.8</v>
      </c>
      <c r="AP39" s="1">
        <v>620</v>
      </c>
      <c r="AQ39" s="1">
        <v>638.79999999999995</v>
      </c>
      <c r="AR39" s="1">
        <v>1657.85</v>
      </c>
      <c r="AS39" s="1">
        <v>1479.7</v>
      </c>
      <c r="AT39" s="1">
        <v>6390.95</v>
      </c>
      <c r="AU39" s="1">
        <v>580.85</v>
      </c>
      <c r="AV39" s="1">
        <v>1008.9</v>
      </c>
      <c r="AW39" s="1">
        <v>1170.95</v>
      </c>
      <c r="AX39" s="1">
        <v>3909.1</v>
      </c>
      <c r="AY39" s="1">
        <v>1047.6500000000001</v>
      </c>
      <c r="BH39" s="2"/>
    </row>
    <row r="40" spans="1:60" ht="14.25" customHeight="1" x14ac:dyDescent="0.3">
      <c r="A40" s="2">
        <v>45709</v>
      </c>
      <c r="B40" s="1">
        <v>22795.9</v>
      </c>
      <c r="C40" s="1">
        <v>1228.1500000000001</v>
      </c>
      <c r="D40" s="1">
        <v>846.25</v>
      </c>
      <c r="E40" s="1">
        <v>1639.25</v>
      </c>
      <c r="F40" s="1">
        <v>3786</v>
      </c>
      <c r="G40" s="1">
        <v>1232.95</v>
      </c>
      <c r="H40" s="1">
        <v>722</v>
      </c>
      <c r="I40" s="1">
        <v>1815</v>
      </c>
      <c r="J40" s="1">
        <v>2241.65</v>
      </c>
      <c r="K40" s="1">
        <v>839.67</v>
      </c>
      <c r="L40" s="1">
        <v>400.9</v>
      </c>
      <c r="M40" s="1">
        <v>3315.1</v>
      </c>
      <c r="N40" s="1">
        <v>12323.45</v>
      </c>
      <c r="O40" s="1">
        <v>2669.35</v>
      </c>
      <c r="P40" s="1">
        <v>1953.05</v>
      </c>
      <c r="Q40" s="1">
        <v>1700.7</v>
      </c>
      <c r="R40" s="1">
        <v>1643.75</v>
      </c>
      <c r="S40" s="1">
        <v>11157.25</v>
      </c>
      <c r="T40" s="1">
        <v>1008.95</v>
      </c>
      <c r="U40" s="1">
        <v>1879.35</v>
      </c>
      <c r="V40" s="1">
        <v>3179.9</v>
      </c>
      <c r="W40" s="1">
        <v>326.25</v>
      </c>
      <c r="X40" s="1">
        <v>230.36</v>
      </c>
      <c r="Y40" s="1">
        <v>1083.25</v>
      </c>
      <c r="Z40" s="1">
        <v>239.9</v>
      </c>
      <c r="AA40" s="1">
        <v>256.10000000000002</v>
      </c>
      <c r="AB40" s="1">
        <v>981.9</v>
      </c>
      <c r="AC40" s="1">
        <v>306.35000000000002</v>
      </c>
      <c r="AD40" s="1">
        <v>261.89999999999998</v>
      </c>
      <c r="AE40" s="1">
        <v>673.2</v>
      </c>
      <c r="AF40" s="1">
        <v>8506.0499999999993</v>
      </c>
      <c r="AG40" s="1">
        <v>2257.6</v>
      </c>
      <c r="AH40" s="1">
        <v>369.95</v>
      </c>
      <c r="AI40" s="1">
        <v>1107.47</v>
      </c>
      <c r="AJ40" s="1">
        <v>140.76</v>
      </c>
      <c r="AK40" s="1">
        <v>233.67</v>
      </c>
      <c r="AL40" s="1">
        <v>2431.0500000000002</v>
      </c>
      <c r="AM40" s="1">
        <v>4962.45</v>
      </c>
      <c r="AN40" s="1">
        <v>5048.2</v>
      </c>
      <c r="AO40" s="1">
        <v>1495.4</v>
      </c>
      <c r="AP40" s="1">
        <v>622.85</v>
      </c>
      <c r="AQ40" s="1">
        <v>653.54999999999995</v>
      </c>
      <c r="AR40" s="1">
        <v>1649.5</v>
      </c>
      <c r="AS40" s="1">
        <v>1475.75</v>
      </c>
      <c r="AT40" s="1">
        <v>6317.55</v>
      </c>
      <c r="AU40" s="1">
        <v>585.1</v>
      </c>
      <c r="AV40" s="1">
        <v>1004</v>
      </c>
      <c r="AW40" s="1">
        <v>1151.8</v>
      </c>
      <c r="AX40" s="1">
        <v>3852.6</v>
      </c>
      <c r="AY40" s="1">
        <v>1043.75</v>
      </c>
      <c r="BH40" s="2"/>
    </row>
    <row r="41" spans="1:60" ht="14.25" customHeight="1" x14ac:dyDescent="0.3">
      <c r="A41" s="2">
        <v>45712</v>
      </c>
      <c r="B41" s="1">
        <v>22553.35</v>
      </c>
      <c r="C41" s="1">
        <v>1214.55</v>
      </c>
      <c r="D41" s="1">
        <v>838.55</v>
      </c>
      <c r="E41" s="1">
        <v>1601.3</v>
      </c>
      <c r="F41" s="1">
        <v>3675.6</v>
      </c>
      <c r="G41" s="1">
        <v>1218.3499999999999</v>
      </c>
      <c r="H41" s="1">
        <v>716.4</v>
      </c>
      <c r="I41" s="1">
        <v>1764.1</v>
      </c>
      <c r="J41" s="1">
        <v>2241.4499999999998</v>
      </c>
      <c r="K41" s="1">
        <v>835.49</v>
      </c>
      <c r="L41" s="1">
        <v>401.9</v>
      </c>
      <c r="M41" s="1">
        <v>3257.7</v>
      </c>
      <c r="N41" s="1">
        <v>12345.2</v>
      </c>
      <c r="O41" s="1">
        <v>2709.2</v>
      </c>
      <c r="P41" s="1">
        <v>1966.1</v>
      </c>
      <c r="Q41" s="1">
        <v>1644.05</v>
      </c>
      <c r="R41" s="1">
        <v>1639.5</v>
      </c>
      <c r="S41" s="1">
        <v>11042.65</v>
      </c>
      <c r="T41" s="1">
        <v>1010.05</v>
      </c>
      <c r="U41" s="1">
        <v>1857.8</v>
      </c>
      <c r="V41" s="1">
        <v>3173</v>
      </c>
      <c r="W41" s="1">
        <v>320.10000000000002</v>
      </c>
      <c r="X41" s="1">
        <v>222.69</v>
      </c>
      <c r="Y41" s="1">
        <v>1070.4000000000001</v>
      </c>
      <c r="Z41" s="1">
        <v>234.35</v>
      </c>
      <c r="AA41" s="1">
        <v>256.35000000000002</v>
      </c>
      <c r="AB41" s="1">
        <v>966.8</v>
      </c>
      <c r="AC41" s="1">
        <v>295.05</v>
      </c>
      <c r="AD41" s="1">
        <v>259.14999999999998</v>
      </c>
      <c r="AE41" s="1">
        <v>668.25</v>
      </c>
      <c r="AF41" s="1">
        <v>8446.9500000000007</v>
      </c>
      <c r="AG41" s="1">
        <v>2246.1999999999998</v>
      </c>
      <c r="AH41" s="1">
        <v>364.8</v>
      </c>
      <c r="AI41" s="1">
        <v>1110.2</v>
      </c>
      <c r="AJ41" s="1">
        <v>137.65</v>
      </c>
      <c r="AK41" s="1">
        <v>228.45</v>
      </c>
      <c r="AL41" s="1">
        <v>2393.6999999999998</v>
      </c>
      <c r="AM41" s="1">
        <v>5010.8</v>
      </c>
      <c r="AN41" s="1">
        <v>5066</v>
      </c>
      <c r="AO41" s="1">
        <v>1486.5</v>
      </c>
      <c r="AP41" s="1">
        <v>617</v>
      </c>
      <c r="AQ41" s="1">
        <v>641.9</v>
      </c>
      <c r="AR41" s="1">
        <v>1613.7</v>
      </c>
      <c r="AS41" s="1">
        <v>1476.75</v>
      </c>
      <c r="AT41" s="1">
        <v>6251.4</v>
      </c>
      <c r="AU41" s="1">
        <v>577.20000000000005</v>
      </c>
      <c r="AV41" s="1">
        <v>1002.4</v>
      </c>
      <c r="AW41" s="1">
        <v>1164.55</v>
      </c>
      <c r="AX41" s="1">
        <v>3884.85</v>
      </c>
      <c r="AY41" s="1">
        <v>1029.1500000000001</v>
      </c>
      <c r="BH41" s="2"/>
    </row>
    <row r="42" spans="1:60" ht="14.25" customHeight="1" x14ac:dyDescent="0.3">
      <c r="A42" s="2">
        <v>45713</v>
      </c>
      <c r="B42" s="1">
        <v>22547.55</v>
      </c>
      <c r="C42" s="1">
        <v>1204</v>
      </c>
      <c r="D42" s="1">
        <v>841.17</v>
      </c>
      <c r="E42" s="1">
        <v>1641.4</v>
      </c>
      <c r="F42" s="1">
        <v>3629.55</v>
      </c>
      <c r="G42" s="1">
        <v>1224.1500000000001</v>
      </c>
      <c r="H42" s="1">
        <v>710.9</v>
      </c>
      <c r="I42" s="1">
        <v>1767.7</v>
      </c>
      <c r="J42" s="1">
        <v>2259.3000000000002</v>
      </c>
      <c r="K42" s="1">
        <v>848.88</v>
      </c>
      <c r="L42" s="1">
        <v>404.85</v>
      </c>
      <c r="M42" s="1">
        <v>3225.9</v>
      </c>
      <c r="N42" s="1">
        <v>12476.35</v>
      </c>
      <c r="O42" s="1">
        <v>2777.85</v>
      </c>
      <c r="P42" s="1">
        <v>1967.25</v>
      </c>
      <c r="Q42" s="1">
        <v>1636.1</v>
      </c>
      <c r="R42" s="1">
        <v>1613.6</v>
      </c>
      <c r="S42" s="1">
        <v>10964.15</v>
      </c>
      <c r="T42" s="1">
        <v>1009.1</v>
      </c>
      <c r="U42" s="1">
        <v>1875.1</v>
      </c>
      <c r="V42" s="1">
        <v>3198.8</v>
      </c>
      <c r="W42" s="1">
        <v>318.7</v>
      </c>
      <c r="X42" s="1">
        <v>225.63</v>
      </c>
      <c r="Y42" s="1">
        <v>1080.3499999999999</v>
      </c>
      <c r="Z42" s="1">
        <v>233</v>
      </c>
      <c r="AA42" s="1">
        <v>256.64999999999998</v>
      </c>
      <c r="AB42" s="1">
        <v>958.75</v>
      </c>
      <c r="AC42" s="1">
        <v>291.3</v>
      </c>
      <c r="AD42" s="1">
        <v>255.75</v>
      </c>
      <c r="AE42" s="1">
        <v>661.6</v>
      </c>
      <c r="AF42" s="1">
        <v>8417.9</v>
      </c>
      <c r="AG42" s="1">
        <v>2224.75</v>
      </c>
      <c r="AH42" s="1">
        <v>361.15</v>
      </c>
      <c r="AI42" s="1">
        <v>1125.2</v>
      </c>
      <c r="AJ42" s="1">
        <v>137.07</v>
      </c>
      <c r="AK42" s="1">
        <v>226.32</v>
      </c>
      <c r="AL42" s="1">
        <v>2379.3000000000002</v>
      </c>
      <c r="AM42" s="1">
        <v>4989.8</v>
      </c>
      <c r="AN42" s="1">
        <v>4959.8999999999996</v>
      </c>
      <c r="AO42" s="1">
        <v>1471.75</v>
      </c>
      <c r="AP42" s="1">
        <v>622.15</v>
      </c>
      <c r="AQ42" s="1">
        <v>619.45000000000005</v>
      </c>
      <c r="AR42" s="1">
        <v>1593.95</v>
      </c>
      <c r="AS42" s="1">
        <v>1463.35</v>
      </c>
      <c r="AT42" s="1">
        <v>6251.35</v>
      </c>
      <c r="AU42" s="1">
        <v>574.25</v>
      </c>
      <c r="AV42" s="1">
        <v>1004.85</v>
      </c>
      <c r="AW42" s="1">
        <v>1128.1500000000001</v>
      </c>
      <c r="AX42" s="1">
        <v>3828.25</v>
      </c>
      <c r="AY42" s="1">
        <v>1034.25</v>
      </c>
      <c r="BH42" s="2"/>
    </row>
    <row r="43" spans="1:60" ht="14.25" customHeight="1" x14ac:dyDescent="0.3">
      <c r="A43" s="2">
        <v>45715</v>
      </c>
      <c r="B43" s="1">
        <v>22545.05</v>
      </c>
      <c r="C43" s="1">
        <v>1207.0999999999999</v>
      </c>
      <c r="D43" s="1">
        <v>850.35</v>
      </c>
      <c r="E43" s="1">
        <v>1650.4</v>
      </c>
      <c r="F43" s="1">
        <v>3612.55</v>
      </c>
      <c r="G43" s="1">
        <v>1222.45</v>
      </c>
      <c r="H43" s="1">
        <v>703.9</v>
      </c>
      <c r="I43" s="1">
        <v>1764.3</v>
      </c>
      <c r="J43" s="1">
        <v>2244.9499999999998</v>
      </c>
      <c r="K43" s="1">
        <v>870.54</v>
      </c>
      <c r="L43" s="1">
        <v>401.6</v>
      </c>
      <c r="M43" s="1">
        <v>3209.5</v>
      </c>
      <c r="N43" s="1">
        <v>12380.6</v>
      </c>
      <c r="O43" s="1">
        <v>2726.55</v>
      </c>
      <c r="P43" s="1">
        <v>1947.55</v>
      </c>
      <c r="Q43" s="1">
        <v>1629.2</v>
      </c>
      <c r="R43" s="1">
        <v>1647.5</v>
      </c>
      <c r="S43" s="1">
        <v>10447.65</v>
      </c>
      <c r="T43" s="1">
        <v>1016.7</v>
      </c>
      <c r="U43" s="1">
        <v>1925.55</v>
      </c>
      <c r="V43" s="1">
        <v>3223.1</v>
      </c>
      <c r="W43" s="1">
        <v>315.7</v>
      </c>
      <c r="X43" s="1">
        <v>229.04</v>
      </c>
      <c r="Y43" s="1">
        <v>1078.95</v>
      </c>
      <c r="Z43" s="1">
        <v>231</v>
      </c>
      <c r="AA43" s="1">
        <v>252.45</v>
      </c>
      <c r="AB43" s="1">
        <v>975</v>
      </c>
      <c r="AC43" s="1">
        <v>294.5</v>
      </c>
      <c r="AD43" s="1">
        <v>256.25</v>
      </c>
      <c r="AE43" s="1">
        <v>648.54999999999995</v>
      </c>
      <c r="AF43" s="1">
        <v>8232.35</v>
      </c>
      <c r="AG43" s="1">
        <v>2213.65</v>
      </c>
      <c r="AH43" s="1">
        <v>363.85</v>
      </c>
      <c r="AI43" s="1">
        <v>1139.0999999999999</v>
      </c>
      <c r="AJ43" s="1">
        <v>138.69</v>
      </c>
      <c r="AK43" s="1">
        <v>221.7</v>
      </c>
      <c r="AL43" s="1">
        <v>2339.9499999999998</v>
      </c>
      <c r="AM43" s="1">
        <v>4935.5</v>
      </c>
      <c r="AN43" s="1">
        <v>4805.3</v>
      </c>
      <c r="AO43" s="1">
        <v>1469.75</v>
      </c>
      <c r="AP43" s="1">
        <v>618.4</v>
      </c>
      <c r="AQ43" s="1">
        <v>631.95000000000005</v>
      </c>
      <c r="AR43" s="1">
        <v>1588.25</v>
      </c>
      <c r="AS43" s="1">
        <v>1441.15</v>
      </c>
      <c r="AT43" s="1">
        <v>6185.2</v>
      </c>
      <c r="AU43" s="1">
        <v>606.79999999999995</v>
      </c>
      <c r="AV43" s="1">
        <v>1008</v>
      </c>
      <c r="AW43" s="1">
        <v>1125.55</v>
      </c>
      <c r="AX43" s="1">
        <v>3759.55</v>
      </c>
      <c r="AY43" s="1">
        <v>1046.7</v>
      </c>
      <c r="BH43" s="2"/>
    </row>
    <row r="44" spans="1:60" ht="14.25" customHeight="1" x14ac:dyDescent="0.3">
      <c r="A44" s="2">
        <v>45716</v>
      </c>
      <c r="B44" s="1">
        <v>22124.7</v>
      </c>
      <c r="C44" s="1">
        <v>1200.0999999999999</v>
      </c>
      <c r="D44" s="1">
        <v>866.2</v>
      </c>
      <c r="E44" s="1">
        <v>1570.2</v>
      </c>
      <c r="F44" s="1">
        <v>3483.25</v>
      </c>
      <c r="G44" s="1">
        <v>1204.0999999999999</v>
      </c>
      <c r="H44" s="1">
        <v>688.8</v>
      </c>
      <c r="I44" s="1">
        <v>1687.7</v>
      </c>
      <c r="J44" s="1">
        <v>2190.25</v>
      </c>
      <c r="K44" s="1">
        <v>853.03</v>
      </c>
      <c r="L44" s="1">
        <v>395</v>
      </c>
      <c r="M44" s="1">
        <v>3163.85</v>
      </c>
      <c r="N44" s="1">
        <v>11945.85</v>
      </c>
      <c r="O44" s="1">
        <v>2585.1</v>
      </c>
      <c r="P44" s="1">
        <v>1902.95</v>
      </c>
      <c r="Q44" s="1">
        <v>1575.05</v>
      </c>
      <c r="R44" s="1">
        <v>1593.25</v>
      </c>
      <c r="S44" s="1">
        <v>10128.450000000001</v>
      </c>
      <c r="T44" s="1">
        <v>1015.55</v>
      </c>
      <c r="U44" s="1">
        <v>1872.3</v>
      </c>
      <c r="V44" s="1">
        <v>3077.25</v>
      </c>
      <c r="W44" s="1">
        <v>311.45</v>
      </c>
      <c r="X44" s="1">
        <v>222.1</v>
      </c>
      <c r="Y44" s="1">
        <v>1069.4000000000001</v>
      </c>
      <c r="Z44" s="1">
        <v>225.25</v>
      </c>
      <c r="AA44" s="1">
        <v>246.25</v>
      </c>
      <c r="AB44" s="1">
        <v>950.7</v>
      </c>
      <c r="AC44" s="1">
        <v>277.64999999999998</v>
      </c>
      <c r="AD44" s="1">
        <v>250.85</v>
      </c>
      <c r="AE44" s="1">
        <v>620.65</v>
      </c>
      <c r="AF44" s="1">
        <v>7902.9</v>
      </c>
      <c r="AG44" s="1">
        <v>2179.75</v>
      </c>
      <c r="AH44" s="1">
        <v>369.35</v>
      </c>
      <c r="AI44" s="1">
        <v>1094.82</v>
      </c>
      <c r="AJ44" s="1">
        <v>137.19999999999999</v>
      </c>
      <c r="AK44" s="1">
        <v>207.61</v>
      </c>
      <c r="AL44" s="1">
        <v>2306.65</v>
      </c>
      <c r="AM44" s="1">
        <v>4773.6000000000004</v>
      </c>
      <c r="AN44" s="1">
        <v>4851.55</v>
      </c>
      <c r="AO44" s="1">
        <v>1430.5</v>
      </c>
      <c r="AP44" s="1">
        <v>608.5</v>
      </c>
      <c r="AQ44" s="1">
        <v>634.35</v>
      </c>
      <c r="AR44" s="1">
        <v>1487.85</v>
      </c>
      <c r="AS44" s="1">
        <v>1407.5</v>
      </c>
      <c r="AT44" s="1">
        <v>6052.6</v>
      </c>
      <c r="AU44" s="1">
        <v>617.29999999999995</v>
      </c>
      <c r="AV44" s="1">
        <v>963.7</v>
      </c>
      <c r="AW44" s="1">
        <v>1116.5</v>
      </c>
      <c r="AX44" s="1">
        <v>3681.1</v>
      </c>
      <c r="AY44" s="1">
        <v>990.1</v>
      </c>
      <c r="BH44" s="2"/>
    </row>
    <row r="45" spans="1:60" ht="14.25" customHeight="1" x14ac:dyDescent="0.3">
      <c r="A45" s="2">
        <v>45719</v>
      </c>
      <c r="B45" s="1">
        <v>22119.3</v>
      </c>
      <c r="C45" s="1">
        <v>1171.25</v>
      </c>
      <c r="D45" s="1">
        <v>850.78</v>
      </c>
      <c r="E45" s="1">
        <v>1595.8</v>
      </c>
      <c r="F45" s="1">
        <v>3493.05</v>
      </c>
      <c r="G45" s="1">
        <v>1206.2</v>
      </c>
      <c r="H45" s="1">
        <v>695.3</v>
      </c>
      <c r="I45" s="1">
        <v>1708.6</v>
      </c>
      <c r="J45" s="1">
        <v>2176.85</v>
      </c>
      <c r="K45" s="1">
        <v>862.78</v>
      </c>
      <c r="L45" s="1">
        <v>397.45</v>
      </c>
      <c r="M45" s="1">
        <v>3197.3</v>
      </c>
      <c r="N45" s="1">
        <v>11775.6</v>
      </c>
      <c r="O45" s="1">
        <v>2611.9</v>
      </c>
      <c r="P45" s="1">
        <v>1914.6</v>
      </c>
      <c r="Q45" s="1">
        <v>1572.4</v>
      </c>
      <c r="R45" s="1">
        <v>1585.1</v>
      </c>
      <c r="S45" s="1">
        <v>10340.799999999999</v>
      </c>
      <c r="T45" s="1">
        <v>1007.25</v>
      </c>
      <c r="U45" s="1">
        <v>1838.55</v>
      </c>
      <c r="V45" s="1">
        <v>3082</v>
      </c>
      <c r="W45" s="1">
        <v>314.39999999999998</v>
      </c>
      <c r="X45" s="1">
        <v>222.14</v>
      </c>
      <c r="Y45" s="1">
        <v>1053.05</v>
      </c>
      <c r="Z45" s="1">
        <v>225.13</v>
      </c>
      <c r="AA45" s="1">
        <v>257.39</v>
      </c>
      <c r="AB45" s="1">
        <v>976.05</v>
      </c>
      <c r="AC45" s="1">
        <v>283.55</v>
      </c>
      <c r="AD45" s="1">
        <v>252.5</v>
      </c>
      <c r="AE45" s="1">
        <v>621.15</v>
      </c>
      <c r="AF45" s="1">
        <v>7714.8</v>
      </c>
      <c r="AG45" s="1">
        <v>2166.4</v>
      </c>
      <c r="AH45" s="1">
        <v>360.35</v>
      </c>
      <c r="AI45" s="1">
        <v>1092.78</v>
      </c>
      <c r="AJ45" s="1">
        <v>138.57</v>
      </c>
      <c r="AK45" s="1">
        <v>200.92</v>
      </c>
      <c r="AL45" s="1">
        <v>2377.4499999999998</v>
      </c>
      <c r="AM45" s="1">
        <v>4906.6000000000004</v>
      </c>
      <c r="AN45" s="1">
        <v>4946.8999999999996</v>
      </c>
      <c r="AO45" s="1">
        <v>1408.5</v>
      </c>
      <c r="AP45" s="1">
        <v>618</v>
      </c>
      <c r="AQ45" s="1">
        <v>636.54999999999995</v>
      </c>
      <c r="AR45" s="1">
        <v>1493.05</v>
      </c>
      <c r="AS45" s="1">
        <v>1407.55</v>
      </c>
      <c r="AT45" s="1">
        <v>6170.6</v>
      </c>
      <c r="AU45" s="1">
        <v>621.29999999999995</v>
      </c>
      <c r="AV45" s="1">
        <v>953.9</v>
      </c>
      <c r="AW45" s="1">
        <v>1119.5999999999999</v>
      </c>
      <c r="AX45" s="1">
        <v>3630.75</v>
      </c>
      <c r="AY45" s="1">
        <v>984</v>
      </c>
      <c r="BH45" s="2"/>
    </row>
    <row r="46" spans="1:60" ht="14.25" customHeight="1" x14ac:dyDescent="0.3">
      <c r="A46" s="2">
        <v>45720</v>
      </c>
      <c r="B46" s="1">
        <v>22082.65</v>
      </c>
      <c r="C46" s="1">
        <v>1161.9000000000001</v>
      </c>
      <c r="D46" s="1">
        <v>855</v>
      </c>
      <c r="E46" s="1">
        <v>1575.35</v>
      </c>
      <c r="F46" s="1">
        <v>3532.05</v>
      </c>
      <c r="G46" s="1">
        <v>1210.4000000000001</v>
      </c>
      <c r="H46" s="1">
        <v>716.05</v>
      </c>
      <c r="I46" s="1">
        <v>1688.3</v>
      </c>
      <c r="J46" s="1">
        <v>2157.35</v>
      </c>
      <c r="K46" s="1">
        <v>858.59</v>
      </c>
      <c r="L46" s="1">
        <v>394.85</v>
      </c>
      <c r="M46" s="1">
        <v>3213</v>
      </c>
      <c r="N46" s="1">
        <v>11616.25</v>
      </c>
      <c r="O46" s="1">
        <v>2613.35</v>
      </c>
      <c r="P46" s="1">
        <v>1907.8</v>
      </c>
      <c r="Q46" s="1">
        <v>1535.5</v>
      </c>
      <c r="R46" s="1">
        <v>1566.5</v>
      </c>
      <c r="S46" s="1">
        <v>10370.1</v>
      </c>
      <c r="T46" s="1">
        <v>1001.8</v>
      </c>
      <c r="U46" s="1">
        <v>1790.3</v>
      </c>
      <c r="V46" s="1">
        <v>3048.5</v>
      </c>
      <c r="W46" s="1">
        <v>313.75</v>
      </c>
      <c r="X46" s="1">
        <v>227.61</v>
      </c>
      <c r="Y46" s="1">
        <v>1057.95</v>
      </c>
      <c r="Z46" s="1">
        <v>226.76</v>
      </c>
      <c r="AA46" s="1">
        <v>264.70999999999998</v>
      </c>
      <c r="AB46" s="1">
        <v>974.1</v>
      </c>
      <c r="AC46" s="1">
        <v>280</v>
      </c>
      <c r="AD46" s="1">
        <v>254</v>
      </c>
      <c r="AE46" s="1">
        <v>619.20000000000005</v>
      </c>
      <c r="AF46" s="1">
        <v>7333.3</v>
      </c>
      <c r="AG46" s="1">
        <v>2132.1</v>
      </c>
      <c r="AH46" s="1">
        <v>363.85</v>
      </c>
      <c r="AI46" s="1">
        <v>1073.25</v>
      </c>
      <c r="AJ46" s="1">
        <v>139.34</v>
      </c>
      <c r="AK46" s="1">
        <v>206.38</v>
      </c>
      <c r="AL46" s="1">
        <v>2394.65</v>
      </c>
      <c r="AM46" s="1">
        <v>4815.1000000000004</v>
      </c>
      <c r="AN46" s="1">
        <v>4999.8</v>
      </c>
      <c r="AO46" s="1">
        <v>1393.1</v>
      </c>
      <c r="AP46" s="1">
        <v>616.5</v>
      </c>
      <c r="AQ46" s="1">
        <v>641.65</v>
      </c>
      <c r="AR46" s="1">
        <v>1488.25</v>
      </c>
      <c r="AS46" s="1">
        <v>1401.8</v>
      </c>
      <c r="AT46" s="1">
        <v>6188.15</v>
      </c>
      <c r="AU46" s="1">
        <v>632.9</v>
      </c>
      <c r="AV46" s="1">
        <v>954.55</v>
      </c>
      <c r="AW46" s="1">
        <v>1120.1500000000001</v>
      </c>
      <c r="AX46" s="1">
        <v>3514.85</v>
      </c>
      <c r="AY46" s="1">
        <v>987.6</v>
      </c>
      <c r="BH46" s="2"/>
    </row>
    <row r="47" spans="1:60" ht="14.25" customHeight="1" x14ac:dyDescent="0.3">
      <c r="A47" s="2">
        <v>45721</v>
      </c>
      <c r="B47" s="1">
        <v>22337.3</v>
      </c>
      <c r="C47" s="1">
        <v>1175.5999999999999</v>
      </c>
      <c r="D47" s="1">
        <v>845</v>
      </c>
      <c r="E47" s="1">
        <v>1618.25</v>
      </c>
      <c r="F47" s="1">
        <v>3547.05</v>
      </c>
      <c r="G47" s="1">
        <v>1215.7</v>
      </c>
      <c r="H47" s="1">
        <v>730.35</v>
      </c>
      <c r="I47" s="1">
        <v>1711.5</v>
      </c>
      <c r="J47" s="1">
        <v>2170.4499999999998</v>
      </c>
      <c r="K47" s="1">
        <v>829.87</v>
      </c>
      <c r="L47" s="1">
        <v>405.05</v>
      </c>
      <c r="M47" s="1">
        <v>3239.65</v>
      </c>
      <c r="N47" s="1">
        <v>11617.35</v>
      </c>
      <c r="O47" s="1">
        <v>2726.6</v>
      </c>
      <c r="P47" s="1">
        <v>1933.1</v>
      </c>
      <c r="Q47" s="1">
        <v>1572.95</v>
      </c>
      <c r="R47" s="1">
        <v>1582.45</v>
      </c>
      <c r="S47" s="1">
        <v>10464.200000000001</v>
      </c>
      <c r="T47" s="1">
        <v>1014.45</v>
      </c>
      <c r="U47" s="1">
        <v>1801.8</v>
      </c>
      <c r="V47" s="1">
        <v>3086.55</v>
      </c>
      <c r="W47" s="1">
        <v>326.2</v>
      </c>
      <c r="X47" s="1">
        <v>227.02</v>
      </c>
      <c r="Y47" s="1">
        <v>1112.7</v>
      </c>
      <c r="Z47" s="1">
        <v>228.94</v>
      </c>
      <c r="AA47" s="1">
        <v>274.92</v>
      </c>
      <c r="AB47" s="1">
        <v>1002.7</v>
      </c>
      <c r="AC47" s="1">
        <v>285.10000000000002</v>
      </c>
      <c r="AD47" s="1">
        <v>264.39999999999998</v>
      </c>
      <c r="AE47" s="1">
        <v>640.79999999999995</v>
      </c>
      <c r="AF47" s="1">
        <v>7420.3</v>
      </c>
      <c r="AG47" s="1">
        <v>2164.15</v>
      </c>
      <c r="AH47" s="1">
        <v>368.25</v>
      </c>
      <c r="AI47" s="1">
        <v>1098.5</v>
      </c>
      <c r="AJ47" s="1">
        <v>146.1</v>
      </c>
      <c r="AK47" s="1">
        <v>217.1</v>
      </c>
      <c r="AL47" s="1">
        <v>2391.65</v>
      </c>
      <c r="AM47" s="1">
        <v>4988.3</v>
      </c>
      <c r="AN47" s="1">
        <v>5106.1000000000004</v>
      </c>
      <c r="AO47" s="1">
        <v>1420.7</v>
      </c>
      <c r="AP47" s="1">
        <v>621.20000000000005</v>
      </c>
      <c r="AQ47" s="1">
        <v>657.35</v>
      </c>
      <c r="AR47" s="1">
        <v>1538.1</v>
      </c>
      <c r="AS47" s="1">
        <v>1419.75</v>
      </c>
      <c r="AT47" s="1">
        <v>6214.4</v>
      </c>
      <c r="AU47" s="1">
        <v>631.29999999999995</v>
      </c>
      <c r="AV47" s="1">
        <v>956.8</v>
      </c>
      <c r="AW47" s="1">
        <v>1126.4000000000001</v>
      </c>
      <c r="AX47" s="1">
        <v>3588.75</v>
      </c>
      <c r="AY47" s="1">
        <v>971.85</v>
      </c>
      <c r="BH47" s="2"/>
    </row>
    <row r="48" spans="1:60" ht="14.25" customHeight="1" x14ac:dyDescent="0.3">
      <c r="A48" s="2">
        <v>45722</v>
      </c>
      <c r="B48" s="1">
        <v>22544.7</v>
      </c>
      <c r="C48" s="1">
        <v>1209.5999999999999</v>
      </c>
      <c r="D48" s="1">
        <v>845.6</v>
      </c>
      <c r="E48" s="1">
        <v>1626.9</v>
      </c>
      <c r="F48" s="1">
        <v>3601.6</v>
      </c>
      <c r="G48" s="1">
        <v>1218.05</v>
      </c>
      <c r="H48" s="1">
        <v>732.05</v>
      </c>
      <c r="I48" s="1">
        <v>1715.85</v>
      </c>
      <c r="J48" s="1">
        <v>2218.9499999999998</v>
      </c>
      <c r="K48" s="1">
        <v>841.09</v>
      </c>
      <c r="L48" s="1">
        <v>405.7</v>
      </c>
      <c r="M48" s="1">
        <v>3259.9</v>
      </c>
      <c r="N48" s="1">
        <v>11666.4</v>
      </c>
      <c r="O48" s="1">
        <v>2742.4</v>
      </c>
      <c r="P48" s="1">
        <v>1921.7</v>
      </c>
      <c r="Q48" s="1">
        <v>1585.45</v>
      </c>
      <c r="R48" s="1">
        <v>1614</v>
      </c>
      <c r="S48" s="1">
        <v>10493.5</v>
      </c>
      <c r="T48" s="1">
        <v>1034.0999999999999</v>
      </c>
      <c r="U48" s="1">
        <v>1845.45</v>
      </c>
      <c r="V48" s="1">
        <v>3121.1</v>
      </c>
      <c r="W48" s="1">
        <v>337.9</v>
      </c>
      <c r="X48" s="1">
        <v>225.43</v>
      </c>
      <c r="Y48" s="1">
        <v>1136.2</v>
      </c>
      <c r="Z48" s="1">
        <v>232.6</v>
      </c>
      <c r="AA48" s="1">
        <v>272.95</v>
      </c>
      <c r="AB48" s="1">
        <v>1011.1</v>
      </c>
      <c r="AC48" s="1">
        <v>285.89999999999998</v>
      </c>
      <c r="AD48" s="1">
        <v>266.64999999999998</v>
      </c>
      <c r="AE48" s="1">
        <v>639.65</v>
      </c>
      <c r="AF48" s="1">
        <v>7462.25</v>
      </c>
      <c r="AG48" s="1">
        <v>2267.6999999999998</v>
      </c>
      <c r="AH48" s="1">
        <v>382.6</v>
      </c>
      <c r="AI48" s="1">
        <v>1100.5999999999999</v>
      </c>
      <c r="AJ48" s="1">
        <v>150.44</v>
      </c>
      <c r="AK48" s="1">
        <v>219.94</v>
      </c>
      <c r="AL48" s="1">
        <v>2393.65</v>
      </c>
      <c r="AM48" s="1">
        <v>5094.3999999999996</v>
      </c>
      <c r="AN48" s="1">
        <v>5069.5</v>
      </c>
      <c r="AO48" s="1">
        <v>1421.3</v>
      </c>
      <c r="AP48" s="1">
        <v>618.25</v>
      </c>
      <c r="AQ48" s="1">
        <v>681.95</v>
      </c>
      <c r="AR48" s="1">
        <v>1503.45</v>
      </c>
      <c r="AS48" s="1">
        <v>1461.75</v>
      </c>
      <c r="AT48" s="1">
        <v>6274.1</v>
      </c>
      <c r="AU48" s="1">
        <v>644.35</v>
      </c>
      <c r="AV48" s="1">
        <v>958.15</v>
      </c>
      <c r="AW48" s="1">
        <v>1140.0999999999999</v>
      </c>
      <c r="AX48" s="1">
        <v>3648.75</v>
      </c>
      <c r="AY48" s="1">
        <v>971.7</v>
      </c>
      <c r="BH48" s="2"/>
    </row>
    <row r="49" spans="1:60" ht="14.25" customHeight="1" x14ac:dyDescent="0.3">
      <c r="A49" s="2">
        <v>45723</v>
      </c>
      <c r="B49" s="1">
        <v>22552.5</v>
      </c>
      <c r="C49" s="1">
        <v>1249.8</v>
      </c>
      <c r="D49" s="1">
        <v>844.62</v>
      </c>
      <c r="E49" s="1">
        <v>1630.7</v>
      </c>
      <c r="F49" s="1">
        <v>3611.2</v>
      </c>
      <c r="G49" s="1">
        <v>1214.55</v>
      </c>
      <c r="H49" s="1">
        <v>732.75</v>
      </c>
      <c r="I49" s="1">
        <v>1686</v>
      </c>
      <c r="J49" s="1">
        <v>2204.5500000000002</v>
      </c>
      <c r="K49" s="1">
        <v>840.45</v>
      </c>
      <c r="L49" s="1">
        <v>403.9</v>
      </c>
      <c r="M49" s="1">
        <v>3244.7</v>
      </c>
      <c r="N49" s="1">
        <v>11664.15</v>
      </c>
      <c r="O49" s="1">
        <v>2727.85</v>
      </c>
      <c r="P49" s="1">
        <v>1935.4</v>
      </c>
      <c r="Q49" s="1">
        <v>1557.95</v>
      </c>
      <c r="R49" s="1">
        <v>1609.3</v>
      </c>
      <c r="S49" s="1">
        <v>10582.4</v>
      </c>
      <c r="T49" s="1">
        <v>1037.6500000000001</v>
      </c>
      <c r="U49" s="1">
        <v>1845.3</v>
      </c>
      <c r="V49" s="1">
        <v>3079.35</v>
      </c>
      <c r="W49" s="1">
        <v>329.55</v>
      </c>
      <c r="X49" s="1">
        <v>216.83</v>
      </c>
      <c r="Y49" s="1">
        <v>1144.5</v>
      </c>
      <c r="Z49" s="1">
        <v>232.89</v>
      </c>
      <c r="AA49" s="1">
        <v>276.99</v>
      </c>
      <c r="AB49" s="1">
        <v>1011.15</v>
      </c>
      <c r="AC49" s="1">
        <v>284.8</v>
      </c>
      <c r="AD49" s="1">
        <v>263.3</v>
      </c>
      <c r="AE49" s="1">
        <v>648.29999999999995</v>
      </c>
      <c r="AF49" s="1">
        <v>7574.75</v>
      </c>
      <c r="AG49" s="1">
        <v>2270</v>
      </c>
      <c r="AH49" s="1">
        <v>380.65</v>
      </c>
      <c r="AI49" s="1">
        <v>1119.22</v>
      </c>
      <c r="AJ49" s="1">
        <v>151.56</v>
      </c>
      <c r="AK49" s="1">
        <v>221.81</v>
      </c>
      <c r="AL49" s="1">
        <v>2407.25</v>
      </c>
      <c r="AM49" s="1">
        <v>5100.7</v>
      </c>
      <c r="AN49" s="1">
        <v>4999.8500000000004</v>
      </c>
      <c r="AO49" s="1">
        <v>1411.6</v>
      </c>
      <c r="AP49" s="1">
        <v>625.20000000000005</v>
      </c>
      <c r="AQ49" s="1">
        <v>691.35</v>
      </c>
      <c r="AR49" s="1">
        <v>1492.35</v>
      </c>
      <c r="AS49" s="1">
        <v>1458.45</v>
      </c>
      <c r="AT49" s="1">
        <v>6216.1</v>
      </c>
      <c r="AU49" s="1">
        <v>630.85</v>
      </c>
      <c r="AV49" s="1">
        <v>962.05</v>
      </c>
      <c r="AW49" s="1">
        <v>1133.25</v>
      </c>
      <c r="AX49" s="1">
        <v>3652.5</v>
      </c>
      <c r="AY49" s="1">
        <v>936.75</v>
      </c>
      <c r="BH49" s="2"/>
    </row>
    <row r="50" spans="1:60" ht="14.25" customHeight="1" x14ac:dyDescent="0.3">
      <c r="A50" s="2">
        <v>45726</v>
      </c>
      <c r="B50" s="1">
        <v>22460.3</v>
      </c>
      <c r="C50" s="1">
        <v>1238.4000000000001</v>
      </c>
      <c r="D50" s="1">
        <v>843.75</v>
      </c>
      <c r="E50" s="1">
        <v>1630.95</v>
      </c>
      <c r="F50" s="1">
        <v>3589.65</v>
      </c>
      <c r="G50" s="1">
        <v>1214.8499999999999</v>
      </c>
      <c r="H50" s="1">
        <v>728.9</v>
      </c>
      <c r="I50" s="1">
        <v>1701.45</v>
      </c>
      <c r="J50" s="1">
        <v>2247.75</v>
      </c>
      <c r="K50" s="1">
        <v>834.26</v>
      </c>
      <c r="L50" s="1">
        <v>405</v>
      </c>
      <c r="M50" s="1">
        <v>3177.7</v>
      </c>
      <c r="N50" s="1">
        <v>11586.05</v>
      </c>
      <c r="O50" s="1">
        <v>2702.6</v>
      </c>
      <c r="P50" s="1">
        <v>1921.75</v>
      </c>
      <c r="Q50" s="1">
        <v>1549.3</v>
      </c>
      <c r="R50" s="1">
        <v>1611.5</v>
      </c>
      <c r="S50" s="1">
        <v>10520.1</v>
      </c>
      <c r="T50" s="1">
        <v>1035.8499999999999</v>
      </c>
      <c r="U50" s="1">
        <v>1840.35</v>
      </c>
      <c r="V50" s="1">
        <v>3026.8</v>
      </c>
      <c r="W50" s="1">
        <v>329.4</v>
      </c>
      <c r="X50" s="1">
        <v>211.28</v>
      </c>
      <c r="Y50" s="1">
        <v>1142.9000000000001</v>
      </c>
      <c r="Z50" s="1">
        <v>223.19</v>
      </c>
      <c r="AA50" s="1">
        <v>272.33</v>
      </c>
      <c r="AB50" s="1">
        <v>1013.5</v>
      </c>
      <c r="AC50" s="1">
        <v>280.89999999999998</v>
      </c>
      <c r="AD50" s="1">
        <v>271.3</v>
      </c>
      <c r="AE50" s="1">
        <v>648.15</v>
      </c>
      <c r="AF50" s="1">
        <v>7383.4</v>
      </c>
      <c r="AG50" s="1">
        <v>2278.6</v>
      </c>
      <c r="AH50" s="1">
        <v>375.15</v>
      </c>
      <c r="AI50" s="1">
        <v>1124.2</v>
      </c>
      <c r="AJ50" s="1">
        <v>151.05000000000001</v>
      </c>
      <c r="AK50" s="1">
        <v>216.5</v>
      </c>
      <c r="AL50" s="1">
        <v>2383.9499999999998</v>
      </c>
      <c r="AM50" s="1">
        <v>4990.55</v>
      </c>
      <c r="AN50" s="1">
        <v>4799.7</v>
      </c>
      <c r="AO50" s="1">
        <v>1419.45</v>
      </c>
      <c r="AP50" s="1">
        <v>625.9</v>
      </c>
      <c r="AQ50" s="1">
        <v>689.15</v>
      </c>
      <c r="AR50" s="1">
        <v>1486.85</v>
      </c>
      <c r="AS50" s="1">
        <v>1462.75</v>
      </c>
      <c r="AT50" s="1">
        <v>6149.6</v>
      </c>
      <c r="AU50" s="1">
        <v>625.6</v>
      </c>
      <c r="AV50" s="1">
        <v>957.3</v>
      </c>
      <c r="AW50" s="1">
        <v>1120.2</v>
      </c>
      <c r="AX50" s="1">
        <v>3582.85</v>
      </c>
      <c r="AY50" s="1">
        <v>900.5</v>
      </c>
      <c r="BH50" s="2"/>
    </row>
    <row r="51" spans="1:60" ht="14.25" customHeight="1" x14ac:dyDescent="0.3">
      <c r="A51" s="2">
        <v>45727</v>
      </c>
      <c r="B51" s="1">
        <v>22497.9</v>
      </c>
      <c r="C51" s="1">
        <v>1247.3</v>
      </c>
      <c r="D51" s="1">
        <v>842.75</v>
      </c>
      <c r="E51" s="1">
        <v>1662.95</v>
      </c>
      <c r="F51" s="1">
        <v>3575.3</v>
      </c>
      <c r="G51" s="1">
        <v>1245.4000000000001</v>
      </c>
      <c r="H51" s="1">
        <v>729.85</v>
      </c>
      <c r="I51" s="1">
        <v>1661.6</v>
      </c>
      <c r="J51" s="1">
        <v>2216.9499999999998</v>
      </c>
      <c r="K51" s="1">
        <v>834.04</v>
      </c>
      <c r="L51" s="1">
        <v>406.2</v>
      </c>
      <c r="M51" s="1">
        <v>3195.45</v>
      </c>
      <c r="N51" s="1">
        <v>11646.95</v>
      </c>
      <c r="O51" s="1">
        <v>2645.6</v>
      </c>
      <c r="P51" s="1">
        <v>1935.2</v>
      </c>
      <c r="Q51" s="1">
        <v>1567.85</v>
      </c>
      <c r="R51" s="1">
        <v>1655.3</v>
      </c>
      <c r="S51" s="1">
        <v>10439.25</v>
      </c>
      <c r="T51" s="1">
        <v>1025.6500000000001</v>
      </c>
      <c r="U51" s="1">
        <v>1805.4</v>
      </c>
      <c r="V51" s="1">
        <v>3046.4</v>
      </c>
      <c r="W51" s="1">
        <v>330.3</v>
      </c>
      <c r="X51" s="1">
        <v>208.07</v>
      </c>
      <c r="Y51" s="1">
        <v>1135</v>
      </c>
      <c r="Z51" s="1">
        <v>226.72</v>
      </c>
      <c r="AA51" s="1">
        <v>277.18</v>
      </c>
      <c r="AB51" s="1">
        <v>1018.65</v>
      </c>
      <c r="AC51" s="1">
        <v>277.75</v>
      </c>
      <c r="AD51" s="1">
        <v>267.3</v>
      </c>
      <c r="AE51" s="1">
        <v>648.04999999999995</v>
      </c>
      <c r="AF51" s="1">
        <v>7499.95</v>
      </c>
      <c r="AG51" s="1">
        <v>2287.4</v>
      </c>
      <c r="AH51" s="1">
        <v>379.05</v>
      </c>
      <c r="AI51" s="1">
        <v>1125.7</v>
      </c>
      <c r="AJ51" s="1">
        <v>150.75</v>
      </c>
      <c r="AK51" s="1">
        <v>217.56</v>
      </c>
      <c r="AL51" s="1">
        <v>2413.5500000000002</v>
      </c>
      <c r="AM51" s="1">
        <v>4985.55</v>
      </c>
      <c r="AN51" s="1">
        <v>4995.45</v>
      </c>
      <c r="AO51" s="1">
        <v>1417.25</v>
      </c>
      <c r="AP51" s="1">
        <v>636.95000000000005</v>
      </c>
      <c r="AQ51" s="1">
        <v>695.5</v>
      </c>
      <c r="AR51" s="1">
        <v>1479.2</v>
      </c>
      <c r="AS51" s="1">
        <v>1445.75</v>
      </c>
      <c r="AT51" s="1">
        <v>6134.8</v>
      </c>
      <c r="AU51" s="1">
        <v>638.25</v>
      </c>
      <c r="AV51" s="1">
        <v>959.85</v>
      </c>
      <c r="AW51" s="1">
        <v>1116.6500000000001</v>
      </c>
      <c r="AX51" s="1">
        <v>3650.65</v>
      </c>
      <c r="AY51" s="1">
        <v>655.95</v>
      </c>
      <c r="BH51" s="2"/>
    </row>
    <row r="52" spans="1:60" ht="14.25" customHeight="1" x14ac:dyDescent="0.3">
      <c r="A52" s="2">
        <v>45728</v>
      </c>
      <c r="B52" s="1">
        <v>22470.5</v>
      </c>
      <c r="C52" s="1">
        <v>1257.05</v>
      </c>
      <c r="D52" s="1">
        <v>855.58</v>
      </c>
      <c r="E52" s="1">
        <v>1642.85</v>
      </c>
      <c r="F52" s="1">
        <v>3506.2</v>
      </c>
      <c r="G52" s="1">
        <v>1243.95</v>
      </c>
      <c r="H52" s="1">
        <v>723.05</v>
      </c>
      <c r="I52" s="1">
        <v>1590.85</v>
      </c>
      <c r="J52" s="1">
        <v>2192.9</v>
      </c>
      <c r="K52" s="1">
        <v>848.45</v>
      </c>
      <c r="L52" s="1">
        <v>412.4</v>
      </c>
      <c r="M52" s="1">
        <v>3193.65</v>
      </c>
      <c r="N52" s="1">
        <v>11640.1</v>
      </c>
      <c r="O52" s="1">
        <v>2653.3</v>
      </c>
      <c r="P52" s="1">
        <v>1982.55</v>
      </c>
      <c r="Q52" s="1">
        <v>1540.6</v>
      </c>
      <c r="R52" s="1">
        <v>1676.85</v>
      </c>
      <c r="S52" s="1">
        <v>10520.4</v>
      </c>
      <c r="T52" s="1">
        <v>1011.2</v>
      </c>
      <c r="U52" s="1">
        <v>1819.45</v>
      </c>
      <c r="V52" s="1">
        <v>3018.95</v>
      </c>
      <c r="W52" s="1">
        <v>330.15</v>
      </c>
      <c r="X52" s="1">
        <v>205.46</v>
      </c>
      <c r="Y52" s="1">
        <v>1128.3</v>
      </c>
      <c r="Z52" s="1">
        <v>224.4</v>
      </c>
      <c r="AA52" s="1">
        <v>276.83</v>
      </c>
      <c r="AB52" s="1">
        <v>1010.4</v>
      </c>
      <c r="AC52" s="1">
        <v>268.55</v>
      </c>
      <c r="AD52" s="1">
        <v>267.10000000000002</v>
      </c>
      <c r="AE52" s="1">
        <v>668.3</v>
      </c>
      <c r="AF52" s="1">
        <v>7515.05</v>
      </c>
      <c r="AG52" s="1">
        <v>2251.3000000000002</v>
      </c>
      <c r="AH52" s="1">
        <v>380.7</v>
      </c>
      <c r="AI52" s="1">
        <v>1097.75</v>
      </c>
      <c r="AJ52" s="1">
        <v>150.30000000000001</v>
      </c>
      <c r="AK52" s="1">
        <v>225.53</v>
      </c>
      <c r="AL52" s="1">
        <v>2398.9</v>
      </c>
      <c r="AM52" s="1">
        <v>5017.45</v>
      </c>
      <c r="AN52" s="1">
        <v>5015.3500000000004</v>
      </c>
      <c r="AO52" s="1">
        <v>1409</v>
      </c>
      <c r="AP52" s="1">
        <v>632</v>
      </c>
      <c r="AQ52" s="1">
        <v>689.85</v>
      </c>
      <c r="AR52" s="1">
        <v>1438.3</v>
      </c>
      <c r="AS52" s="1">
        <v>1454.3</v>
      </c>
      <c r="AT52" s="1">
        <v>6143.75</v>
      </c>
      <c r="AU52" s="1">
        <v>636.95000000000005</v>
      </c>
      <c r="AV52" s="1">
        <v>945.45</v>
      </c>
      <c r="AW52" s="1">
        <v>1105.1500000000001</v>
      </c>
      <c r="AX52" s="1">
        <v>3610.25</v>
      </c>
      <c r="AY52" s="1">
        <v>684.7</v>
      </c>
      <c r="BH52" s="2"/>
    </row>
    <row r="53" spans="1:60" ht="14.25" customHeight="1" x14ac:dyDescent="0.3">
      <c r="A53" s="2">
        <v>45729</v>
      </c>
      <c r="B53" s="1">
        <v>22397.200000000001</v>
      </c>
      <c r="C53" s="1">
        <v>1247.9000000000001</v>
      </c>
      <c r="D53" s="1">
        <v>853.3</v>
      </c>
      <c r="E53" s="1">
        <v>1632.5</v>
      </c>
      <c r="F53" s="1">
        <v>3511.05</v>
      </c>
      <c r="G53" s="1">
        <v>1250.05</v>
      </c>
      <c r="H53" s="1">
        <v>727.85</v>
      </c>
      <c r="I53" s="1">
        <v>1579.85</v>
      </c>
      <c r="J53" s="1">
        <v>2174.8000000000002</v>
      </c>
      <c r="K53" s="1">
        <v>842.04</v>
      </c>
      <c r="L53" s="1">
        <v>412.05</v>
      </c>
      <c r="M53" s="1">
        <v>3187.3</v>
      </c>
      <c r="N53" s="1">
        <v>11513.8</v>
      </c>
      <c r="O53" s="1">
        <v>2643.5</v>
      </c>
      <c r="P53" s="1">
        <v>1985.1</v>
      </c>
      <c r="Q53" s="1">
        <v>1534.75</v>
      </c>
      <c r="R53" s="1">
        <v>1683.45</v>
      </c>
      <c r="S53" s="1">
        <v>10452.1</v>
      </c>
      <c r="T53" s="1">
        <v>1010.2</v>
      </c>
      <c r="U53" s="1">
        <v>1807.45</v>
      </c>
      <c r="V53" s="1">
        <v>3010.15</v>
      </c>
      <c r="W53" s="1">
        <v>331.9</v>
      </c>
      <c r="X53" s="1">
        <v>201.43</v>
      </c>
      <c r="Y53" s="1">
        <v>1119.2</v>
      </c>
      <c r="Z53" s="1">
        <v>225.43</v>
      </c>
      <c r="AA53" s="1">
        <v>280.07</v>
      </c>
      <c r="AB53" s="1">
        <v>1001.2</v>
      </c>
      <c r="AC53" s="1">
        <v>264</v>
      </c>
      <c r="AD53" s="1">
        <v>267.64999999999998</v>
      </c>
      <c r="AE53" s="1">
        <v>655.5</v>
      </c>
      <c r="AF53" s="1">
        <v>7504.7</v>
      </c>
      <c r="AG53" s="1">
        <v>2231.3000000000002</v>
      </c>
      <c r="AH53" s="1">
        <v>378.3</v>
      </c>
      <c r="AI53" s="1">
        <v>1095.97</v>
      </c>
      <c r="AJ53" s="1">
        <v>150.88</v>
      </c>
      <c r="AK53" s="1">
        <v>222.6</v>
      </c>
      <c r="AL53" s="1">
        <v>2370.1999999999998</v>
      </c>
      <c r="AM53" s="1">
        <v>5015.25</v>
      </c>
      <c r="AN53" s="1">
        <v>5022.3999999999996</v>
      </c>
      <c r="AO53" s="1">
        <v>1385.55</v>
      </c>
      <c r="AP53" s="1">
        <v>622.4</v>
      </c>
      <c r="AQ53" s="1">
        <v>677.35</v>
      </c>
      <c r="AR53" s="1">
        <v>1440.65</v>
      </c>
      <c r="AS53" s="1">
        <v>1461.9</v>
      </c>
      <c r="AT53" s="1">
        <v>6105.65</v>
      </c>
      <c r="AU53" s="1">
        <v>619.54999999999995</v>
      </c>
      <c r="AV53" s="1">
        <v>946.1</v>
      </c>
      <c r="AW53" s="1">
        <v>1107.95</v>
      </c>
      <c r="AX53" s="1">
        <v>3529.15</v>
      </c>
      <c r="AY53" s="1">
        <v>672.35</v>
      </c>
      <c r="BH53" s="2"/>
    </row>
    <row r="54" spans="1:60" ht="14.25" customHeight="1" x14ac:dyDescent="0.3">
      <c r="A54" s="2">
        <v>45733</v>
      </c>
      <c r="B54" s="1">
        <v>22508.75</v>
      </c>
      <c r="C54" s="1">
        <v>1238.8499999999999</v>
      </c>
      <c r="D54" s="1">
        <v>855.2</v>
      </c>
      <c r="E54" s="1">
        <v>1639.15</v>
      </c>
      <c r="F54" s="1">
        <v>3497.7</v>
      </c>
      <c r="G54" s="1">
        <v>1269</v>
      </c>
      <c r="H54" s="1">
        <v>723.15</v>
      </c>
      <c r="I54" s="1">
        <v>1590.05</v>
      </c>
      <c r="J54" s="1">
        <v>2171.25</v>
      </c>
      <c r="K54" s="1">
        <v>858.03</v>
      </c>
      <c r="L54" s="1">
        <v>407.95</v>
      </c>
      <c r="M54" s="1">
        <v>3173.45</v>
      </c>
      <c r="N54" s="1">
        <v>11553.7</v>
      </c>
      <c r="O54" s="1">
        <v>2705.15</v>
      </c>
      <c r="P54" s="1">
        <v>1993.1</v>
      </c>
      <c r="Q54" s="1">
        <v>1545.15</v>
      </c>
      <c r="R54" s="1">
        <v>1704.3</v>
      </c>
      <c r="S54" s="1">
        <v>10547.1</v>
      </c>
      <c r="T54" s="1">
        <v>1034.1500000000001</v>
      </c>
      <c r="U54" s="1">
        <v>1871.6</v>
      </c>
      <c r="V54" s="1">
        <v>3017.35</v>
      </c>
      <c r="W54" s="1">
        <v>331.65</v>
      </c>
      <c r="X54" s="1">
        <v>203.69</v>
      </c>
      <c r="Y54" s="1">
        <v>1137.1500000000001</v>
      </c>
      <c r="Z54" s="1">
        <v>229.74</v>
      </c>
      <c r="AA54" s="1">
        <v>279.93</v>
      </c>
      <c r="AB54" s="1">
        <v>1005.7</v>
      </c>
      <c r="AC54" s="1">
        <v>259.85000000000002</v>
      </c>
      <c r="AD54" s="1">
        <v>267.35000000000002</v>
      </c>
      <c r="AE54" s="1">
        <v>661.05</v>
      </c>
      <c r="AF54" s="1">
        <v>7486.05</v>
      </c>
      <c r="AG54" s="1">
        <v>2219.5500000000002</v>
      </c>
      <c r="AH54" s="1">
        <v>385.75</v>
      </c>
      <c r="AI54" s="1">
        <v>1087.18</v>
      </c>
      <c r="AJ54" s="1">
        <v>151.81</v>
      </c>
      <c r="AK54" s="1">
        <v>219.52</v>
      </c>
      <c r="AL54" s="1">
        <v>2399.35</v>
      </c>
      <c r="AM54" s="1">
        <v>5050.25</v>
      </c>
      <c r="AN54" s="1">
        <v>5159.55</v>
      </c>
      <c r="AO54" s="1">
        <v>1434.25</v>
      </c>
      <c r="AP54" s="1">
        <v>629.79999999999995</v>
      </c>
      <c r="AQ54" s="1">
        <v>680.75</v>
      </c>
      <c r="AR54" s="1">
        <v>1440.1</v>
      </c>
      <c r="AS54" s="1">
        <v>1492.6</v>
      </c>
      <c r="AT54" s="1">
        <v>6156.65</v>
      </c>
      <c r="AU54" s="1">
        <v>623.25</v>
      </c>
      <c r="AV54" s="1">
        <v>940.45</v>
      </c>
      <c r="AW54" s="1">
        <v>1150.7</v>
      </c>
      <c r="AX54" s="1">
        <v>3493.1</v>
      </c>
      <c r="AY54" s="1">
        <v>677.4</v>
      </c>
      <c r="BH54" s="2"/>
    </row>
    <row r="55" spans="1:60" ht="14.25" customHeight="1" x14ac:dyDescent="0.3">
      <c r="A55" s="2">
        <v>45734</v>
      </c>
      <c r="B55" s="1">
        <v>22834.3</v>
      </c>
      <c r="C55" s="1">
        <v>1238.8</v>
      </c>
      <c r="D55" s="1">
        <v>866.1</v>
      </c>
      <c r="E55" s="1">
        <v>1627.3</v>
      </c>
      <c r="F55" s="1">
        <v>3552.45</v>
      </c>
      <c r="G55" s="1">
        <v>1309.8499999999999</v>
      </c>
      <c r="H55" s="1">
        <v>736.7</v>
      </c>
      <c r="I55" s="1">
        <v>1609.35</v>
      </c>
      <c r="J55" s="1">
        <v>2201.4</v>
      </c>
      <c r="K55" s="1">
        <v>868.25</v>
      </c>
      <c r="L55" s="1">
        <v>409.1</v>
      </c>
      <c r="M55" s="1">
        <v>3270.7</v>
      </c>
      <c r="N55" s="1">
        <v>11714.55</v>
      </c>
      <c r="O55" s="1">
        <v>2791.4</v>
      </c>
      <c r="P55" s="1">
        <v>2034</v>
      </c>
      <c r="Q55" s="1">
        <v>1558.2</v>
      </c>
      <c r="R55" s="1">
        <v>1747.8</v>
      </c>
      <c r="S55" s="1">
        <v>10698.1</v>
      </c>
      <c r="T55" s="1">
        <v>1045.25</v>
      </c>
      <c r="U55" s="1">
        <v>1844.65</v>
      </c>
      <c r="V55" s="1">
        <v>3081.7</v>
      </c>
      <c r="W55" s="1">
        <v>337.35</v>
      </c>
      <c r="X55" s="1">
        <v>218.19</v>
      </c>
      <c r="Y55" s="1">
        <v>1158.8</v>
      </c>
      <c r="Z55" s="1">
        <v>232.12</v>
      </c>
      <c r="AA55" s="1">
        <v>285.31</v>
      </c>
      <c r="AB55" s="1">
        <v>1018.05</v>
      </c>
      <c r="AC55" s="1">
        <v>261.25</v>
      </c>
      <c r="AD55" s="1">
        <v>270.8</v>
      </c>
      <c r="AE55" s="1">
        <v>680.05</v>
      </c>
      <c r="AF55" s="1">
        <v>7613.4</v>
      </c>
      <c r="AG55" s="1">
        <v>2273.9499999999998</v>
      </c>
      <c r="AH55" s="1">
        <v>389.3</v>
      </c>
      <c r="AI55" s="1">
        <v>1101.03</v>
      </c>
      <c r="AJ55" s="1">
        <v>154.66</v>
      </c>
      <c r="AK55" s="1">
        <v>225.18</v>
      </c>
      <c r="AL55" s="1">
        <v>2421.65</v>
      </c>
      <c r="AM55" s="1">
        <v>5127.3999999999996</v>
      </c>
      <c r="AN55" s="1">
        <v>5260.25</v>
      </c>
      <c r="AO55" s="1">
        <v>1457.5</v>
      </c>
      <c r="AP55" s="1">
        <v>640.54999999999995</v>
      </c>
      <c r="AQ55" s="1">
        <v>697.85</v>
      </c>
      <c r="AR55" s="1">
        <v>1430.65</v>
      </c>
      <c r="AS55" s="1">
        <v>1508.65</v>
      </c>
      <c r="AT55" s="1">
        <v>6246.8</v>
      </c>
      <c r="AU55" s="1">
        <v>642.29999999999995</v>
      </c>
      <c r="AV55" s="1">
        <v>946.85</v>
      </c>
      <c r="AW55" s="1">
        <v>1163.7</v>
      </c>
      <c r="AX55" s="1">
        <v>3564.65</v>
      </c>
      <c r="AY55" s="1">
        <v>681.45</v>
      </c>
      <c r="BH55" s="2"/>
    </row>
    <row r="56" spans="1:60" ht="14.25" customHeight="1" x14ac:dyDescent="0.3">
      <c r="A56" s="2">
        <v>45735</v>
      </c>
      <c r="B56" s="1">
        <v>22907.599999999999</v>
      </c>
      <c r="C56" s="1">
        <v>1247.1500000000001</v>
      </c>
      <c r="D56" s="1">
        <v>872.05</v>
      </c>
      <c r="E56" s="1">
        <v>1637.15</v>
      </c>
      <c r="F56" s="1">
        <v>3497.1</v>
      </c>
      <c r="G56" s="1">
        <v>1313.1</v>
      </c>
      <c r="H56" s="1">
        <v>745.1</v>
      </c>
      <c r="I56" s="1">
        <v>1586.55</v>
      </c>
      <c r="J56" s="1">
        <v>2200.0500000000002</v>
      </c>
      <c r="K56" s="1">
        <v>873.16</v>
      </c>
      <c r="L56" s="1">
        <v>403.05</v>
      </c>
      <c r="M56" s="1">
        <v>3319.55</v>
      </c>
      <c r="N56" s="1">
        <v>11615.55</v>
      </c>
      <c r="O56" s="1">
        <v>2789.1</v>
      </c>
      <c r="P56" s="1">
        <v>2021.55</v>
      </c>
      <c r="Q56" s="1">
        <v>1544.45</v>
      </c>
      <c r="R56" s="1">
        <v>1732.35</v>
      </c>
      <c r="S56" s="1">
        <v>10933.25</v>
      </c>
      <c r="T56" s="1">
        <v>1052.05</v>
      </c>
      <c r="U56" s="1">
        <v>1842.25</v>
      </c>
      <c r="V56" s="1">
        <v>3076.3</v>
      </c>
      <c r="W56" s="1">
        <v>341.3</v>
      </c>
      <c r="X56" s="1">
        <v>223.53</v>
      </c>
      <c r="Y56" s="1">
        <v>1173.5</v>
      </c>
      <c r="Z56" s="1">
        <v>232.57</v>
      </c>
      <c r="AA56" s="1">
        <v>290</v>
      </c>
      <c r="AB56" s="1">
        <v>1033.3499999999999</v>
      </c>
      <c r="AC56" s="1">
        <v>265.7</v>
      </c>
      <c r="AD56" s="1">
        <v>277.2</v>
      </c>
      <c r="AE56" s="1">
        <v>682.25</v>
      </c>
      <c r="AF56" s="1">
        <v>7721.85</v>
      </c>
      <c r="AG56" s="1">
        <v>2280.6999999999998</v>
      </c>
      <c r="AH56" s="1">
        <v>395.85</v>
      </c>
      <c r="AI56" s="1">
        <v>1092</v>
      </c>
      <c r="AJ56" s="1">
        <v>158.6</v>
      </c>
      <c r="AK56" s="1">
        <v>228.84</v>
      </c>
      <c r="AL56" s="1">
        <v>2458.1999999999998</v>
      </c>
      <c r="AM56" s="1">
        <v>5100.8999999999996</v>
      </c>
      <c r="AN56" s="1">
        <v>5230.8500000000004</v>
      </c>
      <c r="AO56" s="1">
        <v>1484.9</v>
      </c>
      <c r="AP56" s="1">
        <v>664.55</v>
      </c>
      <c r="AQ56" s="1">
        <v>698.55</v>
      </c>
      <c r="AR56" s="1">
        <v>1396.15</v>
      </c>
      <c r="AS56" s="1">
        <v>1499.15</v>
      </c>
      <c r="AT56" s="1">
        <v>6427.55</v>
      </c>
      <c r="AU56" s="1">
        <v>667.95</v>
      </c>
      <c r="AV56" s="1">
        <v>949.85</v>
      </c>
      <c r="AW56" s="1">
        <v>1172.0999999999999</v>
      </c>
      <c r="AX56" s="1">
        <v>3537</v>
      </c>
      <c r="AY56" s="1">
        <v>692.7</v>
      </c>
      <c r="BH56" s="2"/>
    </row>
    <row r="57" spans="1:60" ht="14.25" customHeight="1" x14ac:dyDescent="0.3">
      <c r="A57" s="2">
        <v>45736</v>
      </c>
      <c r="B57" s="1">
        <v>23190.65</v>
      </c>
      <c r="C57" s="1">
        <v>1269.1500000000001</v>
      </c>
      <c r="D57" s="1">
        <v>884.38</v>
      </c>
      <c r="E57" s="1">
        <v>1705.25</v>
      </c>
      <c r="F57" s="1">
        <v>3563.15</v>
      </c>
      <c r="G57" s="1">
        <v>1321.7</v>
      </c>
      <c r="H57" s="1">
        <v>749.55</v>
      </c>
      <c r="I57" s="1">
        <v>1615.55</v>
      </c>
      <c r="J57" s="1">
        <v>2242.4</v>
      </c>
      <c r="K57" s="1">
        <v>867.97</v>
      </c>
      <c r="L57" s="1">
        <v>403.95</v>
      </c>
      <c r="M57" s="1">
        <v>3351.05</v>
      </c>
      <c r="N57" s="1">
        <v>11730.2</v>
      </c>
      <c r="O57" s="1">
        <v>2828.1</v>
      </c>
      <c r="P57" s="1">
        <v>2035.65</v>
      </c>
      <c r="Q57" s="1">
        <v>1562</v>
      </c>
      <c r="R57" s="1">
        <v>1750.25</v>
      </c>
      <c r="S57" s="1">
        <v>10948.15</v>
      </c>
      <c r="T57" s="1">
        <v>1054.3499999999999</v>
      </c>
      <c r="U57" s="1">
        <v>1851.85</v>
      </c>
      <c r="V57" s="1">
        <v>3193.1</v>
      </c>
      <c r="W57" s="1">
        <v>341.75</v>
      </c>
      <c r="X57" s="1">
        <v>224.47</v>
      </c>
      <c r="Y57" s="1">
        <v>1177.45</v>
      </c>
      <c r="Z57" s="1">
        <v>235.59</v>
      </c>
      <c r="AA57" s="1">
        <v>297.05</v>
      </c>
      <c r="AB57" s="1">
        <v>1050.25</v>
      </c>
      <c r="AC57" s="1">
        <v>268</v>
      </c>
      <c r="AD57" s="1">
        <v>280.35000000000002</v>
      </c>
      <c r="AE57" s="1">
        <v>690.05</v>
      </c>
      <c r="AF57" s="1">
        <v>7920</v>
      </c>
      <c r="AG57" s="1">
        <v>2287.1999999999998</v>
      </c>
      <c r="AH57" s="1">
        <v>396.4</v>
      </c>
      <c r="AI57" s="1">
        <v>1110.78</v>
      </c>
      <c r="AJ57" s="1">
        <v>159.04</v>
      </c>
      <c r="AK57" s="1">
        <v>231.69</v>
      </c>
      <c r="AL57" s="1">
        <v>2468.15</v>
      </c>
      <c r="AM57" s="1">
        <v>5229.3500000000004</v>
      </c>
      <c r="AN57" s="1">
        <v>5221.55</v>
      </c>
      <c r="AO57" s="1">
        <v>1498.35</v>
      </c>
      <c r="AP57" s="1">
        <v>674.35</v>
      </c>
      <c r="AQ57" s="1">
        <v>705.95</v>
      </c>
      <c r="AR57" s="1">
        <v>1410.55</v>
      </c>
      <c r="AS57" s="1">
        <v>1512.05</v>
      </c>
      <c r="AT57" s="1">
        <v>6474.35</v>
      </c>
      <c r="AU57" s="1">
        <v>667.9</v>
      </c>
      <c r="AV57" s="1">
        <v>965.85</v>
      </c>
      <c r="AW57" s="1">
        <v>1187.2</v>
      </c>
      <c r="AX57" s="1">
        <v>3597.15</v>
      </c>
      <c r="AY57" s="1">
        <v>684.1</v>
      </c>
      <c r="BH57" s="2"/>
    </row>
    <row r="58" spans="1:60" ht="14.25" customHeight="1" x14ac:dyDescent="0.3">
      <c r="A58" s="2">
        <v>45737</v>
      </c>
      <c r="B58" s="1">
        <v>23350.400000000001</v>
      </c>
      <c r="C58" s="1">
        <v>1276.3499999999999</v>
      </c>
      <c r="D58" s="1">
        <v>885.17</v>
      </c>
      <c r="E58" s="1">
        <v>1725.8</v>
      </c>
      <c r="F58" s="1">
        <v>3578.1</v>
      </c>
      <c r="G58" s="1">
        <v>1343.1</v>
      </c>
      <c r="H58" s="1">
        <v>753.2</v>
      </c>
      <c r="I58" s="1">
        <v>1592.55</v>
      </c>
      <c r="J58" s="1">
        <v>2246.1999999999998</v>
      </c>
      <c r="K58" s="1">
        <v>891.61</v>
      </c>
      <c r="L58" s="1">
        <v>405.55</v>
      </c>
      <c r="M58" s="1">
        <v>3415.95</v>
      </c>
      <c r="N58" s="1">
        <v>11732.8</v>
      </c>
      <c r="O58" s="1">
        <v>2801.85</v>
      </c>
      <c r="P58" s="1">
        <v>2079</v>
      </c>
      <c r="Q58" s="1">
        <v>1566.7</v>
      </c>
      <c r="R58" s="1">
        <v>1784.5</v>
      </c>
      <c r="S58" s="1">
        <v>10976.75</v>
      </c>
      <c r="T58" s="1">
        <v>1070.1500000000001</v>
      </c>
      <c r="U58" s="1">
        <v>1847.25</v>
      </c>
      <c r="V58" s="1">
        <v>3162.7</v>
      </c>
      <c r="W58" s="1">
        <v>351.3</v>
      </c>
      <c r="X58" s="1">
        <v>227.52</v>
      </c>
      <c r="Y58" s="1">
        <v>1188.8</v>
      </c>
      <c r="Z58" s="1">
        <v>242.42</v>
      </c>
      <c r="AA58" s="1">
        <v>295.74</v>
      </c>
      <c r="AB58" s="1">
        <v>1058.7</v>
      </c>
      <c r="AC58" s="1">
        <v>264.3</v>
      </c>
      <c r="AD58" s="1">
        <v>283.10000000000002</v>
      </c>
      <c r="AE58" s="1">
        <v>702.95</v>
      </c>
      <c r="AF58" s="1">
        <v>8067.85</v>
      </c>
      <c r="AG58" s="1">
        <v>2300.4</v>
      </c>
      <c r="AH58" s="1">
        <v>405.4</v>
      </c>
      <c r="AI58" s="1">
        <v>1134.43</v>
      </c>
      <c r="AJ58" s="1">
        <v>157.28</v>
      </c>
      <c r="AK58" s="1">
        <v>229.12</v>
      </c>
      <c r="AL58" s="1">
        <v>2469.4</v>
      </c>
      <c r="AM58" s="1">
        <v>5305.95</v>
      </c>
      <c r="AN58" s="1">
        <v>5150.05</v>
      </c>
      <c r="AO58" s="1">
        <v>1546.4</v>
      </c>
      <c r="AP58" s="1">
        <v>679.6</v>
      </c>
      <c r="AQ58" s="1">
        <v>695.35</v>
      </c>
      <c r="AR58" s="1">
        <v>1409.25</v>
      </c>
      <c r="AS58" s="1">
        <v>1523.85</v>
      </c>
      <c r="AT58" s="1">
        <v>6611.55</v>
      </c>
      <c r="AU58" s="1">
        <v>676.8</v>
      </c>
      <c r="AV58" s="1">
        <v>961.2</v>
      </c>
      <c r="AW58" s="1">
        <v>1200.1500000000001</v>
      </c>
      <c r="AX58" s="1">
        <v>3629</v>
      </c>
      <c r="AY58" s="1">
        <v>686.9</v>
      </c>
      <c r="BH58" s="2"/>
    </row>
    <row r="59" spans="1:60" ht="14.25" customHeight="1" x14ac:dyDescent="0.3">
      <c r="A59" s="2">
        <v>45740</v>
      </c>
      <c r="B59" s="1">
        <v>23658.35</v>
      </c>
      <c r="C59" s="1">
        <v>1302.0999999999999</v>
      </c>
      <c r="D59" s="1">
        <v>900</v>
      </c>
      <c r="E59" s="1">
        <v>1718.8</v>
      </c>
      <c r="F59" s="1">
        <v>3628.95</v>
      </c>
      <c r="G59" s="1">
        <v>1358.15</v>
      </c>
      <c r="H59" s="1">
        <v>780.8</v>
      </c>
      <c r="I59" s="1">
        <v>1592.75</v>
      </c>
      <c r="J59" s="1">
        <v>2256.1999999999998</v>
      </c>
      <c r="K59" s="1">
        <v>909.01</v>
      </c>
      <c r="L59" s="1">
        <v>410.9</v>
      </c>
      <c r="M59" s="1">
        <v>3481.85</v>
      </c>
      <c r="N59" s="1">
        <v>11922.25</v>
      </c>
      <c r="O59" s="1">
        <v>2774.7</v>
      </c>
      <c r="P59" s="1">
        <v>2176.15</v>
      </c>
      <c r="Q59" s="1">
        <v>1604.15</v>
      </c>
      <c r="R59" s="1">
        <v>1784.8</v>
      </c>
      <c r="S59" s="1">
        <v>11051.2</v>
      </c>
      <c r="T59" s="1">
        <v>1097.8499999999999</v>
      </c>
      <c r="U59" s="1">
        <v>1894.15</v>
      </c>
      <c r="V59" s="1">
        <v>3079.1</v>
      </c>
      <c r="W59" s="1">
        <v>366.95</v>
      </c>
      <c r="X59" s="1">
        <v>222.8</v>
      </c>
      <c r="Y59" s="1">
        <v>1200.8</v>
      </c>
      <c r="Z59" s="1">
        <v>243.83</v>
      </c>
      <c r="AA59" s="1">
        <v>302.10000000000002</v>
      </c>
      <c r="AB59" s="1">
        <v>1061.3499999999999</v>
      </c>
      <c r="AC59" s="1">
        <v>269.39999999999998</v>
      </c>
      <c r="AD59" s="1">
        <v>291.85000000000002</v>
      </c>
      <c r="AE59" s="1">
        <v>713.5</v>
      </c>
      <c r="AF59" s="1">
        <v>8125.55</v>
      </c>
      <c r="AG59" s="1">
        <v>2322.5</v>
      </c>
      <c r="AH59" s="1">
        <v>406</v>
      </c>
      <c r="AI59" s="1">
        <v>1131.78</v>
      </c>
      <c r="AJ59" s="1">
        <v>158.41999999999999</v>
      </c>
      <c r="AK59" s="1">
        <v>232.68</v>
      </c>
      <c r="AL59" s="1">
        <v>2513.1999999999998</v>
      </c>
      <c r="AM59" s="1">
        <v>5424.2</v>
      </c>
      <c r="AN59" s="1">
        <v>5054.7</v>
      </c>
      <c r="AO59" s="1">
        <v>1569.8</v>
      </c>
      <c r="AP59" s="1">
        <v>679.9</v>
      </c>
      <c r="AQ59" s="1">
        <v>701.5</v>
      </c>
      <c r="AR59" s="1">
        <v>1458.65</v>
      </c>
      <c r="AS59" s="1">
        <v>1524.05</v>
      </c>
      <c r="AT59" s="1">
        <v>6615.8</v>
      </c>
      <c r="AU59" s="1">
        <v>682</v>
      </c>
      <c r="AV59" s="1">
        <v>970.45</v>
      </c>
      <c r="AW59" s="1">
        <v>1210.3</v>
      </c>
      <c r="AX59" s="1">
        <v>3626.35</v>
      </c>
      <c r="AY59" s="1">
        <v>669.45</v>
      </c>
      <c r="BH59" s="2"/>
    </row>
    <row r="60" spans="1:60" ht="14.25" customHeight="1" x14ac:dyDescent="0.3">
      <c r="A60" s="2">
        <v>45741</v>
      </c>
      <c r="B60" s="1">
        <v>23668.65</v>
      </c>
      <c r="C60" s="1">
        <v>1285.45</v>
      </c>
      <c r="D60" s="1">
        <v>910.72</v>
      </c>
      <c r="E60" s="1">
        <v>1730.5</v>
      </c>
      <c r="F60" s="1">
        <v>3657.75</v>
      </c>
      <c r="G60" s="1">
        <v>1343.7</v>
      </c>
      <c r="H60" s="1">
        <v>772.85</v>
      </c>
      <c r="I60" s="1">
        <v>1628.45</v>
      </c>
      <c r="J60" s="1">
        <v>2271.3000000000002</v>
      </c>
      <c r="K60" s="1">
        <v>906.72</v>
      </c>
      <c r="L60" s="1">
        <v>409.8</v>
      </c>
      <c r="M60" s="1">
        <v>3469.6</v>
      </c>
      <c r="N60" s="1">
        <v>11868.9</v>
      </c>
      <c r="O60" s="1">
        <v>2736</v>
      </c>
      <c r="P60" s="1">
        <v>2170</v>
      </c>
      <c r="Q60" s="1">
        <v>1624.9</v>
      </c>
      <c r="R60" s="1">
        <v>1764.75</v>
      </c>
      <c r="S60" s="1">
        <v>11421.2</v>
      </c>
      <c r="T60" s="1">
        <v>1118.55</v>
      </c>
      <c r="U60" s="1">
        <v>1945.05</v>
      </c>
      <c r="V60" s="1">
        <v>3053.7</v>
      </c>
      <c r="W60" s="1">
        <v>366.95</v>
      </c>
      <c r="X60" s="1">
        <v>209.81</v>
      </c>
      <c r="Y60" s="1">
        <v>1182.45</v>
      </c>
      <c r="Z60" s="1">
        <v>242.25</v>
      </c>
      <c r="AA60" s="1">
        <v>300.02999999999997</v>
      </c>
      <c r="AB60" s="1">
        <v>1061.7</v>
      </c>
      <c r="AC60" s="1">
        <v>271</v>
      </c>
      <c r="AD60" s="1">
        <v>291</v>
      </c>
      <c r="AE60" s="1">
        <v>710.3</v>
      </c>
      <c r="AF60" s="1">
        <v>8006</v>
      </c>
      <c r="AG60" s="1">
        <v>2330.75</v>
      </c>
      <c r="AH60" s="1">
        <v>398.3</v>
      </c>
      <c r="AI60" s="1">
        <v>1127.43</v>
      </c>
      <c r="AJ60" s="1">
        <v>156.72999999999999</v>
      </c>
      <c r="AK60" s="1">
        <v>227.53</v>
      </c>
      <c r="AL60" s="1">
        <v>2569.4499999999998</v>
      </c>
      <c r="AM60" s="1">
        <v>5431.25</v>
      </c>
      <c r="AN60" s="1">
        <v>5185.05</v>
      </c>
      <c r="AO60" s="1">
        <v>1557.2</v>
      </c>
      <c r="AP60" s="1">
        <v>673.1</v>
      </c>
      <c r="AQ60" s="1">
        <v>693.45</v>
      </c>
      <c r="AR60" s="1">
        <v>1455.5</v>
      </c>
      <c r="AS60" s="1">
        <v>1511.2</v>
      </c>
      <c r="AT60" s="1">
        <v>6644.7</v>
      </c>
      <c r="AU60" s="1">
        <v>678.35</v>
      </c>
      <c r="AV60" s="1">
        <v>970.7</v>
      </c>
      <c r="AW60" s="1">
        <v>1177.9000000000001</v>
      </c>
      <c r="AX60" s="1">
        <v>3627.95</v>
      </c>
      <c r="AY60" s="1">
        <v>637.04999999999995</v>
      </c>
      <c r="BH60" s="2"/>
    </row>
    <row r="61" spans="1:60" ht="14.25" customHeight="1" x14ac:dyDescent="0.3">
      <c r="A61" s="2">
        <v>45742</v>
      </c>
      <c r="B61" s="1">
        <v>23486.85</v>
      </c>
      <c r="C61" s="1">
        <v>1273.05</v>
      </c>
      <c r="D61" s="1">
        <v>903.28</v>
      </c>
      <c r="E61" s="1">
        <v>1738.55</v>
      </c>
      <c r="F61" s="1">
        <v>3635.8</v>
      </c>
      <c r="G61" s="1">
        <v>1335.9</v>
      </c>
      <c r="H61" s="1">
        <v>764</v>
      </c>
      <c r="I61" s="1">
        <v>1599.45</v>
      </c>
      <c r="J61" s="1">
        <v>2245.9499999999998</v>
      </c>
      <c r="K61" s="1">
        <v>886.6</v>
      </c>
      <c r="L61" s="1">
        <v>407.35</v>
      </c>
      <c r="M61" s="1">
        <v>3444.8</v>
      </c>
      <c r="N61" s="1">
        <v>11734.3</v>
      </c>
      <c r="O61" s="1">
        <v>2742.25</v>
      </c>
      <c r="P61" s="1">
        <v>2144.9</v>
      </c>
      <c r="Q61" s="1">
        <v>1633.4</v>
      </c>
      <c r="R61" s="1">
        <v>1758.95</v>
      </c>
      <c r="S61" s="1">
        <v>11402.1</v>
      </c>
      <c r="T61" s="1">
        <v>1096.25</v>
      </c>
      <c r="U61" s="1">
        <v>1943.4</v>
      </c>
      <c r="V61" s="1">
        <v>3057.5</v>
      </c>
      <c r="W61" s="1">
        <v>354.65</v>
      </c>
      <c r="X61" s="1">
        <v>203.29</v>
      </c>
      <c r="Y61" s="1">
        <v>1181.5999999999999</v>
      </c>
      <c r="Z61" s="1">
        <v>239.72</v>
      </c>
      <c r="AA61" s="1">
        <v>299.54000000000002</v>
      </c>
      <c r="AB61" s="1">
        <v>1056.45</v>
      </c>
      <c r="AC61" s="1">
        <v>267.39999999999998</v>
      </c>
      <c r="AD61" s="1">
        <v>290.85000000000002</v>
      </c>
      <c r="AE61" s="1">
        <v>708.25</v>
      </c>
      <c r="AF61" s="1">
        <v>7977.1</v>
      </c>
      <c r="AG61" s="1">
        <v>2323.15</v>
      </c>
      <c r="AH61" s="1">
        <v>394.8</v>
      </c>
      <c r="AI61" s="1">
        <v>1121.72</v>
      </c>
      <c r="AJ61" s="1">
        <v>155.81</v>
      </c>
      <c r="AK61" s="1">
        <v>222.67</v>
      </c>
      <c r="AL61" s="1">
        <v>2581.6</v>
      </c>
      <c r="AM61" s="1">
        <v>5403.3</v>
      </c>
      <c r="AN61" s="1">
        <v>5321.95</v>
      </c>
      <c r="AO61" s="1">
        <v>1541.3</v>
      </c>
      <c r="AP61" s="1">
        <v>668.4</v>
      </c>
      <c r="AQ61" s="1">
        <v>691.3</v>
      </c>
      <c r="AR61" s="1">
        <v>1416.3</v>
      </c>
      <c r="AS61" s="1">
        <v>1476.2</v>
      </c>
      <c r="AT61" s="1">
        <v>6519.8</v>
      </c>
      <c r="AU61" s="1">
        <v>672</v>
      </c>
      <c r="AV61" s="1">
        <v>959.65</v>
      </c>
      <c r="AW61" s="1">
        <v>1164.5999999999999</v>
      </c>
      <c r="AX61" s="1">
        <v>3645.95</v>
      </c>
      <c r="AY61" s="1">
        <v>655.29999999999995</v>
      </c>
      <c r="BH61" s="2"/>
    </row>
    <row r="62" spans="1:60" ht="14.25" customHeight="1" x14ac:dyDescent="0.3">
      <c r="A62" s="2">
        <v>45743</v>
      </c>
      <c r="B62" s="1">
        <v>23591.95</v>
      </c>
      <c r="C62" s="1">
        <v>1278.2</v>
      </c>
      <c r="D62" s="1">
        <v>912.67</v>
      </c>
      <c r="E62" s="1">
        <v>1724.7</v>
      </c>
      <c r="F62" s="1">
        <v>3651.2</v>
      </c>
      <c r="G62" s="1">
        <v>1336.65</v>
      </c>
      <c r="H62" s="1">
        <v>772.3</v>
      </c>
      <c r="I62" s="1">
        <v>1603.55</v>
      </c>
      <c r="J62" s="1">
        <v>2244.65</v>
      </c>
      <c r="K62" s="1">
        <v>900.39</v>
      </c>
      <c r="L62" s="1">
        <v>409.45</v>
      </c>
      <c r="M62" s="1">
        <v>3501.6</v>
      </c>
      <c r="N62" s="1">
        <v>11721.95</v>
      </c>
      <c r="O62" s="1">
        <v>2733</v>
      </c>
      <c r="P62" s="1">
        <v>2128.65</v>
      </c>
      <c r="Q62" s="1">
        <v>1630.15</v>
      </c>
      <c r="R62" s="1">
        <v>1731.45</v>
      </c>
      <c r="S62" s="1">
        <v>11599.6</v>
      </c>
      <c r="T62" s="1">
        <v>1098.3499999999999</v>
      </c>
      <c r="U62" s="1">
        <v>2005.75</v>
      </c>
      <c r="V62" s="1">
        <v>3087.65</v>
      </c>
      <c r="W62" s="1">
        <v>360.65</v>
      </c>
      <c r="X62" s="1">
        <v>206.28</v>
      </c>
      <c r="Y62" s="1">
        <v>1196.75</v>
      </c>
      <c r="Z62" s="1">
        <v>242.17</v>
      </c>
      <c r="AA62" s="1">
        <v>300.64999999999998</v>
      </c>
      <c r="AB62" s="1">
        <v>1059.75</v>
      </c>
      <c r="AC62" s="1">
        <v>272.2</v>
      </c>
      <c r="AD62" s="1">
        <v>295.5</v>
      </c>
      <c r="AE62" s="1">
        <v>668.55</v>
      </c>
      <c r="AF62" s="1">
        <v>7974.3</v>
      </c>
      <c r="AG62" s="1">
        <v>2338.1</v>
      </c>
      <c r="AH62" s="1">
        <v>396.85</v>
      </c>
      <c r="AI62" s="1">
        <v>1121.03</v>
      </c>
      <c r="AJ62" s="1">
        <v>155.41999999999999</v>
      </c>
      <c r="AK62" s="1">
        <v>225.78</v>
      </c>
      <c r="AL62" s="1">
        <v>2618.6999999999998</v>
      </c>
      <c r="AM62" s="1">
        <v>5345.75</v>
      </c>
      <c r="AN62" s="1">
        <v>5422.3</v>
      </c>
      <c r="AO62" s="1">
        <v>1544.9</v>
      </c>
      <c r="AP62" s="1">
        <v>681.9</v>
      </c>
      <c r="AQ62" s="1">
        <v>693.35</v>
      </c>
      <c r="AR62" s="1">
        <v>1423.9</v>
      </c>
      <c r="AS62" s="1">
        <v>1482.9</v>
      </c>
      <c r="AT62" s="1">
        <v>6492.05</v>
      </c>
      <c r="AU62" s="1">
        <v>678.5</v>
      </c>
      <c r="AV62" s="1">
        <v>973.55</v>
      </c>
      <c r="AW62" s="1">
        <v>1162.2</v>
      </c>
      <c r="AX62" s="1">
        <v>3772.05</v>
      </c>
      <c r="AY62" s="1">
        <v>673.55</v>
      </c>
      <c r="BH62" s="2"/>
    </row>
    <row r="63" spans="1:60" ht="14.25" customHeight="1" x14ac:dyDescent="0.3">
      <c r="A63" s="2">
        <v>45744</v>
      </c>
      <c r="B63" s="1">
        <v>23519.35</v>
      </c>
      <c r="C63" s="1">
        <v>1275.0999999999999</v>
      </c>
      <c r="D63" s="1">
        <v>914.1</v>
      </c>
      <c r="E63" s="1">
        <v>1733.4</v>
      </c>
      <c r="F63" s="1">
        <v>3606.15</v>
      </c>
      <c r="G63" s="1">
        <v>1348.35</v>
      </c>
      <c r="H63" s="1">
        <v>771.5</v>
      </c>
      <c r="I63" s="1">
        <v>1570.65</v>
      </c>
      <c r="J63" s="1">
        <v>2258.85</v>
      </c>
      <c r="K63" s="1">
        <v>894.56</v>
      </c>
      <c r="L63" s="1">
        <v>409.75</v>
      </c>
      <c r="M63" s="1">
        <v>3492.3</v>
      </c>
      <c r="N63" s="1">
        <v>11522.15</v>
      </c>
      <c r="O63" s="1">
        <v>2665.8</v>
      </c>
      <c r="P63" s="1">
        <v>2171.1999999999998</v>
      </c>
      <c r="Q63" s="1">
        <v>1592.5</v>
      </c>
      <c r="R63" s="1">
        <v>1734.7</v>
      </c>
      <c r="S63" s="1">
        <v>11509.55</v>
      </c>
      <c r="T63" s="1">
        <v>1102</v>
      </c>
      <c r="U63" s="1">
        <v>2007.35</v>
      </c>
      <c r="V63" s="1">
        <v>3063.35</v>
      </c>
      <c r="W63" s="1">
        <v>357.6</v>
      </c>
      <c r="X63" s="1">
        <v>201.7</v>
      </c>
      <c r="Y63" s="1">
        <v>1182.95</v>
      </c>
      <c r="Z63" s="1">
        <v>246.38</v>
      </c>
      <c r="AA63" s="1">
        <v>301.32</v>
      </c>
      <c r="AB63" s="1">
        <v>1063.2</v>
      </c>
      <c r="AC63" s="1">
        <v>262.25</v>
      </c>
      <c r="AD63" s="1">
        <v>290.35000000000002</v>
      </c>
      <c r="AE63" s="1">
        <v>674.45</v>
      </c>
      <c r="AF63" s="1">
        <v>7878.85</v>
      </c>
      <c r="AG63" s="1">
        <v>2340.65</v>
      </c>
      <c r="AH63" s="1">
        <v>398.2</v>
      </c>
      <c r="AI63" s="1">
        <v>1125.3800000000001</v>
      </c>
      <c r="AJ63" s="1">
        <v>154.24</v>
      </c>
      <c r="AK63" s="1">
        <v>227.51</v>
      </c>
      <c r="AL63" s="1">
        <v>2611.15</v>
      </c>
      <c r="AM63" s="1">
        <v>5347.7</v>
      </c>
      <c r="AN63" s="1">
        <v>5325.15</v>
      </c>
      <c r="AO63" s="1">
        <v>1547.85</v>
      </c>
      <c r="AP63" s="1">
        <v>685.7</v>
      </c>
      <c r="AQ63" s="1">
        <v>682.45</v>
      </c>
      <c r="AR63" s="1">
        <v>1418.25</v>
      </c>
      <c r="AS63" s="1">
        <v>1442.2</v>
      </c>
      <c r="AT63" s="1">
        <v>6616.2</v>
      </c>
      <c r="AU63" s="1">
        <v>656</v>
      </c>
      <c r="AV63" s="1">
        <v>1001.9</v>
      </c>
      <c r="AW63" s="1">
        <v>1144.2</v>
      </c>
      <c r="AX63" s="1">
        <v>3722.95</v>
      </c>
      <c r="AY63" s="1">
        <v>649.85</v>
      </c>
      <c r="BH63" s="2"/>
    </row>
    <row r="64" spans="1:60" ht="14.25" customHeight="1" x14ac:dyDescent="0.3">
      <c r="A64" s="2">
        <v>45748</v>
      </c>
      <c r="B64" s="1">
        <v>23165.7</v>
      </c>
      <c r="C64" s="1">
        <v>1252.5999999999999</v>
      </c>
      <c r="D64" s="1">
        <v>883.92</v>
      </c>
      <c r="E64" s="1">
        <v>1724.15</v>
      </c>
      <c r="F64" s="1">
        <v>3550.8</v>
      </c>
      <c r="G64" s="1">
        <v>1318.45</v>
      </c>
      <c r="H64" s="1">
        <v>771.7</v>
      </c>
      <c r="I64" s="1">
        <v>1526.5</v>
      </c>
      <c r="J64" s="1">
        <v>2233.85</v>
      </c>
      <c r="K64" s="1">
        <v>869.82</v>
      </c>
      <c r="L64" s="1">
        <v>406.65</v>
      </c>
      <c r="M64" s="1">
        <v>3436.8</v>
      </c>
      <c r="N64" s="1">
        <v>11481.1</v>
      </c>
      <c r="O64" s="1">
        <v>2637.9</v>
      </c>
      <c r="P64" s="1">
        <v>2145.9</v>
      </c>
      <c r="Q64" s="1">
        <v>1530.35</v>
      </c>
      <c r="R64" s="1">
        <v>1698.35</v>
      </c>
      <c r="S64" s="1">
        <v>11378.65</v>
      </c>
      <c r="T64" s="1">
        <v>1085.5999999999999</v>
      </c>
      <c r="U64" s="1">
        <v>1937.1</v>
      </c>
      <c r="V64" s="1">
        <v>2986.95</v>
      </c>
      <c r="W64" s="1">
        <v>352.15</v>
      </c>
      <c r="X64" s="1">
        <v>202.01</v>
      </c>
      <c r="Y64" s="1">
        <v>1174.75</v>
      </c>
      <c r="Z64" s="1">
        <v>248.07</v>
      </c>
      <c r="AA64" s="1">
        <v>292</v>
      </c>
      <c r="AB64" s="1">
        <v>1056.25</v>
      </c>
      <c r="AC64" s="1">
        <v>262.60000000000002</v>
      </c>
      <c r="AD64" s="1">
        <v>289.3</v>
      </c>
      <c r="AE64" s="1">
        <v>671.85</v>
      </c>
      <c r="AF64" s="1">
        <v>7993.05</v>
      </c>
      <c r="AG64" s="1">
        <v>2316</v>
      </c>
      <c r="AH64" s="1">
        <v>397.65</v>
      </c>
      <c r="AI64" s="1">
        <v>1117</v>
      </c>
      <c r="AJ64" s="1">
        <v>153.12</v>
      </c>
      <c r="AK64" s="1">
        <v>230.42</v>
      </c>
      <c r="AL64" s="1">
        <v>2619</v>
      </c>
      <c r="AM64" s="1">
        <v>5307.2</v>
      </c>
      <c r="AN64" s="1">
        <v>5576.75</v>
      </c>
      <c r="AO64" s="1">
        <v>1545.25</v>
      </c>
      <c r="AP64" s="1">
        <v>692.9</v>
      </c>
      <c r="AQ64" s="1">
        <v>663.75</v>
      </c>
      <c r="AR64" s="1">
        <v>1395.15</v>
      </c>
      <c r="AS64" s="1">
        <v>1444.25</v>
      </c>
      <c r="AT64" s="1">
        <v>6632.3</v>
      </c>
      <c r="AU64" s="1">
        <v>637.45000000000005</v>
      </c>
      <c r="AV64" s="1">
        <v>992.25</v>
      </c>
      <c r="AW64" s="1">
        <v>1152.2</v>
      </c>
      <c r="AX64" s="1">
        <v>3762.05</v>
      </c>
      <c r="AY64" s="1">
        <v>682.7</v>
      </c>
      <c r="BH64" s="2"/>
    </row>
    <row r="65" spans="1:60" ht="14.25" customHeight="1" x14ac:dyDescent="0.3">
      <c r="A65" s="2">
        <v>45749</v>
      </c>
      <c r="B65" s="1">
        <v>23332.35</v>
      </c>
      <c r="C65" s="1">
        <v>1251.1500000000001</v>
      </c>
      <c r="D65" s="1">
        <v>898.45</v>
      </c>
      <c r="E65" s="1">
        <v>1754.6</v>
      </c>
      <c r="F65" s="1">
        <v>3543.95</v>
      </c>
      <c r="G65" s="1">
        <v>1331.25</v>
      </c>
      <c r="H65" s="1">
        <v>775.95</v>
      </c>
      <c r="I65" s="1">
        <v>1550.15</v>
      </c>
      <c r="J65" s="1">
        <v>2237.9</v>
      </c>
      <c r="K65" s="1">
        <v>866.92</v>
      </c>
      <c r="L65" s="1">
        <v>409.05</v>
      </c>
      <c r="M65" s="1">
        <v>3419.9</v>
      </c>
      <c r="N65" s="1">
        <v>11716.1</v>
      </c>
      <c r="O65" s="1">
        <v>2637.55</v>
      </c>
      <c r="P65" s="1">
        <v>2154.6</v>
      </c>
      <c r="Q65" s="1">
        <v>1527.55</v>
      </c>
      <c r="R65" s="1">
        <v>1713.65</v>
      </c>
      <c r="S65" s="1">
        <v>11250.95</v>
      </c>
      <c r="T65" s="1">
        <v>1084.45</v>
      </c>
      <c r="U65" s="1">
        <v>1930.95</v>
      </c>
      <c r="V65" s="1">
        <v>3098.45</v>
      </c>
      <c r="W65" s="1">
        <v>351.75</v>
      </c>
      <c r="X65" s="1">
        <v>212.03</v>
      </c>
      <c r="Y65" s="1">
        <v>1195.45</v>
      </c>
      <c r="Z65" s="1">
        <v>250.64</v>
      </c>
      <c r="AA65" s="1">
        <v>282.39999999999998</v>
      </c>
      <c r="AB65" s="1">
        <v>1055.9000000000001</v>
      </c>
      <c r="AC65" s="1">
        <v>263.60000000000002</v>
      </c>
      <c r="AD65" s="1">
        <v>286.75</v>
      </c>
      <c r="AE65" s="1">
        <v>671.9</v>
      </c>
      <c r="AF65" s="1">
        <v>8072.95</v>
      </c>
      <c r="AG65" s="1">
        <v>2306.65</v>
      </c>
      <c r="AH65" s="1">
        <v>397.5</v>
      </c>
      <c r="AI65" s="1">
        <v>1105.3499999999999</v>
      </c>
      <c r="AJ65" s="1">
        <v>154.69</v>
      </c>
      <c r="AK65" s="1">
        <v>229.78</v>
      </c>
      <c r="AL65" s="1">
        <v>2616.5</v>
      </c>
      <c r="AM65" s="1">
        <v>5355.5</v>
      </c>
      <c r="AN65" s="1">
        <v>5682.5</v>
      </c>
      <c r="AO65" s="1">
        <v>1559.85</v>
      </c>
      <c r="AP65" s="1">
        <v>696.15</v>
      </c>
      <c r="AQ65" s="1">
        <v>661.2</v>
      </c>
      <c r="AR65" s="1">
        <v>1423.05</v>
      </c>
      <c r="AS65" s="1">
        <v>1452.35</v>
      </c>
      <c r="AT65" s="1">
        <v>6732.15</v>
      </c>
      <c r="AU65" s="1">
        <v>639.4</v>
      </c>
      <c r="AV65" s="1">
        <v>1062.7</v>
      </c>
      <c r="AW65" s="1">
        <v>1150</v>
      </c>
      <c r="AX65" s="1">
        <v>3783.95</v>
      </c>
      <c r="AY65" s="1">
        <v>702.45</v>
      </c>
      <c r="BH65" s="2"/>
    </row>
    <row r="66" spans="1:60" ht="14.25" customHeight="1" x14ac:dyDescent="0.3">
      <c r="A66" s="2">
        <v>45750</v>
      </c>
      <c r="B66" s="1">
        <v>23250.1</v>
      </c>
      <c r="C66" s="1">
        <v>1248.7</v>
      </c>
      <c r="D66" s="1">
        <v>897.42</v>
      </c>
      <c r="E66" s="1">
        <v>1746</v>
      </c>
      <c r="F66" s="1">
        <v>3403.15</v>
      </c>
      <c r="G66" s="1">
        <v>1329.55</v>
      </c>
      <c r="H66" s="1">
        <v>779.2</v>
      </c>
      <c r="I66" s="1">
        <v>1496.5</v>
      </c>
      <c r="J66" s="1">
        <v>2244.5500000000002</v>
      </c>
      <c r="K66" s="1">
        <v>859.46</v>
      </c>
      <c r="L66" s="1">
        <v>409.4</v>
      </c>
      <c r="M66" s="1">
        <v>3420.15</v>
      </c>
      <c r="N66" s="1">
        <v>11688.1</v>
      </c>
      <c r="O66" s="1">
        <v>2611.4499999999998</v>
      </c>
      <c r="P66" s="1">
        <v>2132.6</v>
      </c>
      <c r="Q66" s="1">
        <v>1470.1</v>
      </c>
      <c r="R66" s="1">
        <v>1770</v>
      </c>
      <c r="S66" s="1">
        <v>11606.6</v>
      </c>
      <c r="T66" s="1">
        <v>1089.8499999999999</v>
      </c>
      <c r="U66" s="1">
        <v>1920.45</v>
      </c>
      <c r="V66" s="1">
        <v>3127.55</v>
      </c>
      <c r="W66" s="1">
        <v>358.9</v>
      </c>
      <c r="X66" s="1">
        <v>210.9</v>
      </c>
      <c r="Y66" s="1">
        <v>1199.9000000000001</v>
      </c>
      <c r="Z66" s="1">
        <v>243.31</v>
      </c>
      <c r="AA66" s="1">
        <v>287.5</v>
      </c>
      <c r="AB66" s="1">
        <v>1044.05</v>
      </c>
      <c r="AC66" s="1">
        <v>256.35000000000002</v>
      </c>
      <c r="AD66" s="1">
        <v>299.10000000000002</v>
      </c>
      <c r="AE66" s="1">
        <v>653.95000000000005</v>
      </c>
      <c r="AF66" s="1">
        <v>7912.2</v>
      </c>
      <c r="AG66" s="1">
        <v>2349.4</v>
      </c>
      <c r="AH66" s="1">
        <v>397.05</v>
      </c>
      <c r="AI66" s="1">
        <v>1122.82</v>
      </c>
      <c r="AJ66" s="1">
        <v>153.62</v>
      </c>
      <c r="AK66" s="1">
        <v>230.41</v>
      </c>
      <c r="AL66" s="1">
        <v>2651.9</v>
      </c>
      <c r="AM66" s="1">
        <v>5379.15</v>
      </c>
      <c r="AN66" s="1">
        <v>5675.3</v>
      </c>
      <c r="AO66" s="1">
        <v>1542.25</v>
      </c>
      <c r="AP66" s="1">
        <v>692.9</v>
      </c>
      <c r="AQ66" s="1">
        <v>652.65</v>
      </c>
      <c r="AR66" s="1">
        <v>1369.35</v>
      </c>
      <c r="AS66" s="1">
        <v>1495.7</v>
      </c>
      <c r="AT66" s="1">
        <v>6671.35</v>
      </c>
      <c r="AU66" s="1">
        <v>654.15</v>
      </c>
      <c r="AV66" s="1">
        <v>1071</v>
      </c>
      <c r="AW66" s="1">
        <v>1151.45</v>
      </c>
      <c r="AX66" s="1">
        <v>3753.35</v>
      </c>
      <c r="AY66" s="1">
        <v>709.4</v>
      </c>
      <c r="BH66" s="2"/>
    </row>
    <row r="67" spans="1:60" ht="14.25" customHeight="1" x14ac:dyDescent="0.3">
      <c r="A67" s="2">
        <v>45751</v>
      </c>
      <c r="B67" s="1">
        <v>22904.45</v>
      </c>
      <c r="C67" s="1">
        <v>1204.7</v>
      </c>
      <c r="D67" s="1">
        <v>908.65</v>
      </c>
      <c r="E67" s="1">
        <v>1743.45</v>
      </c>
      <c r="F67" s="1">
        <v>3299.4</v>
      </c>
      <c r="G67" s="1">
        <v>1335.3</v>
      </c>
      <c r="H67" s="1">
        <v>767.45</v>
      </c>
      <c r="I67" s="1">
        <v>1451.65</v>
      </c>
      <c r="J67" s="1">
        <v>2244.5500000000002</v>
      </c>
      <c r="K67" s="1">
        <v>871.89</v>
      </c>
      <c r="L67" s="1">
        <v>409.7</v>
      </c>
      <c r="M67" s="1">
        <v>3260.15</v>
      </c>
      <c r="N67" s="1">
        <v>11482</v>
      </c>
      <c r="O67" s="1">
        <v>2596.5500000000002</v>
      </c>
      <c r="P67" s="1">
        <v>2131.9499999999998</v>
      </c>
      <c r="Q67" s="1">
        <v>1422.1</v>
      </c>
      <c r="R67" s="1">
        <v>1709.35</v>
      </c>
      <c r="S67" s="1">
        <v>11498.65</v>
      </c>
      <c r="T67" s="1">
        <v>1091.3</v>
      </c>
      <c r="U67" s="1">
        <v>1912.3</v>
      </c>
      <c r="V67" s="1">
        <v>3076.2</v>
      </c>
      <c r="W67" s="1">
        <v>350.4</v>
      </c>
      <c r="X67" s="1">
        <v>210.53</v>
      </c>
      <c r="Y67" s="1">
        <v>1148.3499999999999</v>
      </c>
      <c r="Z67" s="1">
        <v>226.01</v>
      </c>
      <c r="AA67" s="1">
        <v>280</v>
      </c>
      <c r="AB67" s="1">
        <v>1005.75</v>
      </c>
      <c r="AC67" s="1">
        <v>246.3</v>
      </c>
      <c r="AD67" s="1">
        <v>293.89999999999998</v>
      </c>
      <c r="AE67" s="1">
        <v>613.85</v>
      </c>
      <c r="AF67" s="1">
        <v>7685.1</v>
      </c>
      <c r="AG67" s="1">
        <v>2356.0500000000002</v>
      </c>
      <c r="AH67" s="1">
        <v>385.05</v>
      </c>
      <c r="AI67" s="1">
        <v>1131.07</v>
      </c>
      <c r="AJ67" s="1">
        <v>140.38999999999999</v>
      </c>
      <c r="AK67" s="1">
        <v>222.32</v>
      </c>
      <c r="AL67" s="1">
        <v>2616.9</v>
      </c>
      <c r="AM67" s="1">
        <v>5247.9</v>
      </c>
      <c r="AN67" s="1">
        <v>5562.85</v>
      </c>
      <c r="AO67" s="1">
        <v>1512.6</v>
      </c>
      <c r="AP67" s="1">
        <v>689.05</v>
      </c>
      <c r="AQ67" s="1">
        <v>599.95000000000005</v>
      </c>
      <c r="AR67" s="1">
        <v>1320.95</v>
      </c>
      <c r="AS67" s="1">
        <v>1415.25</v>
      </c>
      <c r="AT67" s="1">
        <v>6714.55</v>
      </c>
      <c r="AU67" s="1">
        <v>653.6</v>
      </c>
      <c r="AV67" s="1">
        <v>1087.8499999999999</v>
      </c>
      <c r="AW67" s="1">
        <v>1109.95</v>
      </c>
      <c r="AX67" s="1">
        <v>3659.2</v>
      </c>
      <c r="AY67" s="1">
        <v>682</v>
      </c>
      <c r="BH67" s="2"/>
    </row>
    <row r="68" spans="1:60" ht="14.25" customHeight="1" x14ac:dyDescent="0.3">
      <c r="A68" s="2">
        <v>45754</v>
      </c>
      <c r="B68" s="1">
        <v>22161.599999999999</v>
      </c>
      <c r="C68" s="1">
        <v>1165.7</v>
      </c>
      <c r="D68" s="1">
        <v>878.85</v>
      </c>
      <c r="E68" s="1">
        <v>1686.65</v>
      </c>
      <c r="F68" s="1">
        <v>3274.05</v>
      </c>
      <c r="G68" s="1">
        <v>1287.55</v>
      </c>
      <c r="H68" s="1">
        <v>746.9</v>
      </c>
      <c r="I68" s="1">
        <v>1396.75</v>
      </c>
      <c r="J68" s="1">
        <v>2249.4</v>
      </c>
      <c r="K68" s="1">
        <v>856.8</v>
      </c>
      <c r="L68" s="1">
        <v>406.05</v>
      </c>
      <c r="M68" s="1">
        <v>3068.5</v>
      </c>
      <c r="N68" s="1">
        <v>11329.75</v>
      </c>
      <c r="O68" s="1">
        <v>2491.25</v>
      </c>
      <c r="P68" s="1">
        <v>2037.85</v>
      </c>
      <c r="Q68" s="1">
        <v>1374.1</v>
      </c>
      <c r="R68" s="1">
        <v>1666.35</v>
      </c>
      <c r="S68" s="1">
        <v>11191.6</v>
      </c>
      <c r="T68" s="1">
        <v>1047.95</v>
      </c>
      <c r="U68" s="1">
        <v>1852.65</v>
      </c>
      <c r="V68" s="1">
        <v>3022.2</v>
      </c>
      <c r="W68" s="1">
        <v>349.8</v>
      </c>
      <c r="X68" s="1">
        <v>209.63</v>
      </c>
      <c r="Y68" s="1">
        <v>1110.6500000000001</v>
      </c>
      <c r="Z68" s="1">
        <v>219.84</v>
      </c>
      <c r="AA68" s="1">
        <v>272.10000000000002</v>
      </c>
      <c r="AB68" s="1">
        <v>930.3</v>
      </c>
      <c r="AC68" s="1">
        <v>242.9</v>
      </c>
      <c r="AD68" s="1">
        <v>289.39999999999998</v>
      </c>
      <c r="AE68" s="1">
        <v>579.75</v>
      </c>
      <c r="AF68" s="1">
        <v>7306.8</v>
      </c>
      <c r="AG68" s="1">
        <v>2341.35</v>
      </c>
      <c r="AH68" s="1">
        <v>377.5</v>
      </c>
      <c r="AI68" s="1">
        <v>1124.5</v>
      </c>
      <c r="AJ68" s="1">
        <v>129.47999999999999</v>
      </c>
      <c r="AK68" s="1">
        <v>213.52</v>
      </c>
      <c r="AL68" s="1">
        <v>2509.1</v>
      </c>
      <c r="AM68" s="1">
        <v>5065.25</v>
      </c>
      <c r="AN68" s="1">
        <v>4740.95</v>
      </c>
      <c r="AO68" s="1">
        <v>1460.8</v>
      </c>
      <c r="AP68" s="1">
        <v>665.95</v>
      </c>
      <c r="AQ68" s="1">
        <v>561.79999999999995</v>
      </c>
      <c r="AR68" s="1">
        <v>1288</v>
      </c>
      <c r="AS68" s="1">
        <v>1384.7</v>
      </c>
      <c r="AT68" s="1">
        <v>6683.3</v>
      </c>
      <c r="AU68" s="1">
        <v>614</v>
      </c>
      <c r="AV68" s="1">
        <v>1047.3499999999999</v>
      </c>
      <c r="AW68" s="1">
        <v>1087.9000000000001</v>
      </c>
      <c r="AX68" s="1">
        <v>3526.9</v>
      </c>
      <c r="AY68" s="1">
        <v>675.9</v>
      </c>
      <c r="BH68" s="2"/>
    </row>
    <row r="69" spans="1:60" ht="14.25" customHeight="1" x14ac:dyDescent="0.3">
      <c r="A69" s="2">
        <v>45755</v>
      </c>
      <c r="B69" s="1">
        <v>22535.85</v>
      </c>
      <c r="C69" s="1">
        <v>1182.2</v>
      </c>
      <c r="D69" s="1">
        <v>884.58</v>
      </c>
      <c r="E69" s="1">
        <v>1720.4</v>
      </c>
      <c r="F69" s="1">
        <v>3292.95</v>
      </c>
      <c r="G69" s="1">
        <v>1299.9000000000001</v>
      </c>
      <c r="H69" s="1">
        <v>768.6</v>
      </c>
      <c r="I69" s="1">
        <v>1428.8</v>
      </c>
      <c r="J69" s="1">
        <v>2289.25</v>
      </c>
      <c r="K69" s="1">
        <v>882.22</v>
      </c>
      <c r="L69" s="1">
        <v>412.55</v>
      </c>
      <c r="M69" s="1">
        <v>3161.1</v>
      </c>
      <c r="N69" s="1">
        <v>11458.9</v>
      </c>
      <c r="O69" s="1">
        <v>2523.65</v>
      </c>
      <c r="P69" s="1">
        <v>2055.15</v>
      </c>
      <c r="Q69" s="1">
        <v>1403.35</v>
      </c>
      <c r="R69" s="1">
        <v>1688.35</v>
      </c>
      <c r="S69" s="1">
        <v>11270.45</v>
      </c>
      <c r="T69" s="1">
        <v>1077.8499999999999</v>
      </c>
      <c r="U69" s="1">
        <v>1903.2</v>
      </c>
      <c r="V69" s="1">
        <v>3122.3</v>
      </c>
      <c r="W69" s="1">
        <v>352.95</v>
      </c>
      <c r="X69" s="1">
        <v>215.19</v>
      </c>
      <c r="Y69" s="1">
        <v>1131.3499999999999</v>
      </c>
      <c r="Z69" s="1">
        <v>226.66</v>
      </c>
      <c r="AA69" s="1">
        <v>281.45</v>
      </c>
      <c r="AB69" s="1">
        <v>954.6</v>
      </c>
      <c r="AC69" s="1">
        <v>247.25</v>
      </c>
      <c r="AD69" s="1">
        <v>288.95</v>
      </c>
      <c r="AE69" s="1">
        <v>588.85</v>
      </c>
      <c r="AF69" s="1">
        <v>7498.05</v>
      </c>
      <c r="AG69" s="1">
        <v>2394.1999999999998</v>
      </c>
      <c r="AH69" s="1">
        <v>382.85</v>
      </c>
      <c r="AI69" s="1">
        <v>1137.7</v>
      </c>
      <c r="AJ69" s="1">
        <v>130.28</v>
      </c>
      <c r="AK69" s="1">
        <v>224.81</v>
      </c>
      <c r="AL69" s="1">
        <v>2590.0500000000002</v>
      </c>
      <c r="AM69" s="1">
        <v>5231.3500000000004</v>
      </c>
      <c r="AN69" s="1">
        <v>4767.2</v>
      </c>
      <c r="AO69" s="1">
        <v>1488</v>
      </c>
      <c r="AP69" s="1">
        <v>685.75</v>
      </c>
      <c r="AQ69" s="1">
        <v>568.35</v>
      </c>
      <c r="AR69" s="1">
        <v>1314.4</v>
      </c>
      <c r="AS69" s="1">
        <v>1432.55</v>
      </c>
      <c r="AT69" s="1">
        <v>6755.6</v>
      </c>
      <c r="AU69" s="1">
        <v>641.45000000000005</v>
      </c>
      <c r="AV69" s="1">
        <v>1069.75</v>
      </c>
      <c r="AW69" s="1">
        <v>1107.95</v>
      </c>
      <c r="AX69" s="1">
        <v>3574.15</v>
      </c>
      <c r="AY69" s="1">
        <v>679.65</v>
      </c>
      <c r="BH69" s="2"/>
    </row>
    <row r="70" spans="1:60" ht="14.25" customHeight="1" x14ac:dyDescent="0.3">
      <c r="A70" s="2">
        <v>45756</v>
      </c>
      <c r="B70" s="1">
        <v>22399.15</v>
      </c>
      <c r="C70" s="1">
        <v>1185.3499999999999</v>
      </c>
      <c r="D70" s="1">
        <v>882.5</v>
      </c>
      <c r="E70" s="1">
        <v>1715.55</v>
      </c>
      <c r="F70" s="1">
        <v>3246.6</v>
      </c>
      <c r="G70" s="1">
        <v>1300.8</v>
      </c>
      <c r="H70" s="1">
        <v>742.2</v>
      </c>
      <c r="I70" s="1">
        <v>1403.7</v>
      </c>
      <c r="J70" s="1">
        <v>2350</v>
      </c>
      <c r="K70" s="1">
        <v>873.58</v>
      </c>
      <c r="L70" s="1">
        <v>416.3</v>
      </c>
      <c r="M70" s="1">
        <v>3054.15</v>
      </c>
      <c r="N70" s="1">
        <v>11457.4</v>
      </c>
      <c r="O70" s="1">
        <v>2523.1</v>
      </c>
      <c r="P70" s="1">
        <v>2052.6999999999998</v>
      </c>
      <c r="Q70" s="1">
        <v>1380</v>
      </c>
      <c r="R70" s="1">
        <v>1652.2</v>
      </c>
      <c r="S70" s="1">
        <v>11397.05</v>
      </c>
      <c r="T70" s="1">
        <v>1061.6500000000001</v>
      </c>
      <c r="U70" s="1">
        <v>1895.7</v>
      </c>
      <c r="V70" s="1">
        <v>3174.15</v>
      </c>
      <c r="W70" s="1">
        <v>349.35</v>
      </c>
      <c r="X70" s="1">
        <v>211.39</v>
      </c>
      <c r="Y70" s="1">
        <v>1131.8</v>
      </c>
      <c r="Z70" s="1">
        <v>221.94</v>
      </c>
      <c r="AA70" s="1">
        <v>280.14999999999998</v>
      </c>
      <c r="AB70" s="1">
        <v>945.55</v>
      </c>
      <c r="AC70" s="1">
        <v>236.65</v>
      </c>
      <c r="AD70" s="1">
        <v>293.39999999999998</v>
      </c>
      <c r="AE70" s="1">
        <v>582.9</v>
      </c>
      <c r="AF70" s="1">
        <v>7572.3</v>
      </c>
      <c r="AG70" s="1">
        <v>2411.15</v>
      </c>
      <c r="AH70" s="1">
        <v>374.6</v>
      </c>
      <c r="AI70" s="1">
        <v>1172.43</v>
      </c>
      <c r="AJ70" s="1">
        <v>127.18</v>
      </c>
      <c r="AK70" s="1">
        <v>220.92</v>
      </c>
      <c r="AL70" s="1">
        <v>2557.75</v>
      </c>
      <c r="AM70" s="1">
        <v>5258.3</v>
      </c>
      <c r="AN70" s="1">
        <v>4620.2</v>
      </c>
      <c r="AO70" s="1">
        <v>1481.65</v>
      </c>
      <c r="AP70" s="1">
        <v>684.8</v>
      </c>
      <c r="AQ70" s="1">
        <v>564</v>
      </c>
      <c r="AR70" s="1">
        <v>1272.75</v>
      </c>
      <c r="AS70" s="1">
        <v>1415.6</v>
      </c>
      <c r="AT70" s="1">
        <v>6834.1</v>
      </c>
      <c r="AU70" s="1">
        <v>624.54999999999995</v>
      </c>
      <c r="AV70" s="1">
        <v>1089.75</v>
      </c>
      <c r="AW70" s="1">
        <v>1094.05</v>
      </c>
      <c r="AX70" s="1">
        <v>3610.9</v>
      </c>
      <c r="AY70" s="1">
        <v>678.55</v>
      </c>
      <c r="BH70" s="2"/>
    </row>
    <row r="71" spans="1:60" ht="14.25" customHeight="1" x14ac:dyDescent="0.3">
      <c r="A71" s="2">
        <v>45758</v>
      </c>
      <c r="B71" s="1">
        <v>22828.55</v>
      </c>
      <c r="C71" s="1">
        <v>1218.95</v>
      </c>
      <c r="D71" s="1">
        <v>903.38</v>
      </c>
      <c r="E71" s="1">
        <v>1756.6</v>
      </c>
      <c r="F71" s="1">
        <v>3231.5</v>
      </c>
      <c r="G71" s="1">
        <v>1311.65</v>
      </c>
      <c r="H71" s="1">
        <v>753.85</v>
      </c>
      <c r="I71" s="1">
        <v>1409.45</v>
      </c>
      <c r="J71" s="1">
        <v>2366.15</v>
      </c>
      <c r="K71" s="1">
        <v>892.11</v>
      </c>
      <c r="L71" s="1">
        <v>421.55</v>
      </c>
      <c r="M71" s="1">
        <v>3115.95</v>
      </c>
      <c r="N71" s="1">
        <v>11599.05</v>
      </c>
      <c r="O71" s="1">
        <v>2580.35</v>
      </c>
      <c r="P71" s="1">
        <v>2111.1999999999998</v>
      </c>
      <c r="Q71" s="1">
        <v>1390.55</v>
      </c>
      <c r="R71" s="1">
        <v>1687.55</v>
      </c>
      <c r="S71" s="1">
        <v>11502.65</v>
      </c>
      <c r="T71" s="1">
        <v>1068.95</v>
      </c>
      <c r="U71" s="1">
        <v>1946.3</v>
      </c>
      <c r="V71" s="1">
        <v>3234.9</v>
      </c>
      <c r="W71" s="1">
        <v>360.1</v>
      </c>
      <c r="X71" s="1">
        <v>217.2</v>
      </c>
      <c r="Y71" s="1">
        <v>1164.55</v>
      </c>
      <c r="Z71" s="1">
        <v>230.37</v>
      </c>
      <c r="AA71" s="1">
        <v>285</v>
      </c>
      <c r="AB71" s="1">
        <v>990.25</v>
      </c>
      <c r="AC71" s="1">
        <v>239.75</v>
      </c>
      <c r="AD71" s="1">
        <v>304.10000000000002</v>
      </c>
      <c r="AE71" s="1">
        <v>595.04999999999995</v>
      </c>
      <c r="AF71" s="1">
        <v>7768.85</v>
      </c>
      <c r="AG71" s="1">
        <v>2393.6</v>
      </c>
      <c r="AH71" s="1">
        <v>392.1</v>
      </c>
      <c r="AI71" s="1">
        <v>1180.7</v>
      </c>
      <c r="AJ71" s="1">
        <v>133.41999999999999</v>
      </c>
      <c r="AK71" s="1">
        <v>230.02</v>
      </c>
      <c r="AL71" s="1">
        <v>2651.25</v>
      </c>
      <c r="AM71" s="1">
        <v>5350.9</v>
      </c>
      <c r="AN71" s="1">
        <v>4780.55</v>
      </c>
      <c r="AO71" s="1">
        <v>1521.9</v>
      </c>
      <c r="AP71" s="1">
        <v>685.55</v>
      </c>
      <c r="AQ71" s="1">
        <v>600.29999999999995</v>
      </c>
      <c r="AR71" s="1">
        <v>1282.25</v>
      </c>
      <c r="AS71" s="1">
        <v>1463.05</v>
      </c>
      <c r="AT71" s="1">
        <v>6780.95</v>
      </c>
      <c r="AU71" s="1">
        <v>638.79999999999995</v>
      </c>
      <c r="AV71" s="1">
        <v>1097.9000000000001</v>
      </c>
      <c r="AW71" s="1">
        <v>1109.5</v>
      </c>
      <c r="AX71" s="1">
        <v>3666</v>
      </c>
      <c r="AY71" s="1">
        <v>689.5</v>
      </c>
      <c r="BH71" s="2"/>
    </row>
    <row r="72" spans="1:60" ht="14.25" customHeight="1" x14ac:dyDescent="0.3">
      <c r="A72" s="2">
        <v>45762</v>
      </c>
      <c r="B72" s="1">
        <v>23328.55</v>
      </c>
      <c r="C72" s="1">
        <v>1240.0999999999999</v>
      </c>
      <c r="D72" s="1">
        <v>932.45</v>
      </c>
      <c r="E72" s="1">
        <v>1798.8</v>
      </c>
      <c r="F72" s="1">
        <v>3248.2</v>
      </c>
      <c r="G72" s="1">
        <v>1350.2</v>
      </c>
      <c r="H72" s="1">
        <v>763.5</v>
      </c>
      <c r="I72" s="1">
        <v>1426</v>
      </c>
      <c r="J72" s="1">
        <v>2361.5</v>
      </c>
      <c r="K72" s="1">
        <v>914.1</v>
      </c>
      <c r="L72" s="1">
        <v>420.4</v>
      </c>
      <c r="M72" s="1">
        <v>3257.6</v>
      </c>
      <c r="N72" s="1">
        <v>11855</v>
      </c>
      <c r="O72" s="1">
        <v>2646</v>
      </c>
      <c r="P72" s="1">
        <v>2120.1999999999998</v>
      </c>
      <c r="Q72" s="1">
        <v>1426.5</v>
      </c>
      <c r="R72" s="1">
        <v>1705</v>
      </c>
      <c r="S72" s="1">
        <v>11719</v>
      </c>
      <c r="T72" s="1">
        <v>1112.8</v>
      </c>
      <c r="U72" s="1">
        <v>1968</v>
      </c>
      <c r="V72" s="1">
        <v>3273.4</v>
      </c>
      <c r="W72" s="1">
        <v>362.5</v>
      </c>
      <c r="X72" s="1">
        <v>222.23</v>
      </c>
      <c r="Y72" s="1">
        <v>1210.8</v>
      </c>
      <c r="Z72" s="1">
        <v>232.69</v>
      </c>
      <c r="AA72" s="1">
        <v>293.7</v>
      </c>
      <c r="AB72" s="1">
        <v>1008</v>
      </c>
      <c r="AC72" s="1">
        <v>244</v>
      </c>
      <c r="AD72" s="1">
        <v>304.55</v>
      </c>
      <c r="AE72" s="1">
        <v>622.20000000000005</v>
      </c>
      <c r="AF72" s="1">
        <v>7995.5</v>
      </c>
      <c r="AG72" s="1">
        <v>2415.6999999999998</v>
      </c>
      <c r="AH72" s="1">
        <v>395.25</v>
      </c>
      <c r="AI72" s="1">
        <v>1183.95</v>
      </c>
      <c r="AJ72" s="1">
        <v>136.41</v>
      </c>
      <c r="AK72" s="1">
        <v>238.57</v>
      </c>
      <c r="AL72" s="1">
        <v>2718.6</v>
      </c>
      <c r="AM72" s="1">
        <v>5529</v>
      </c>
      <c r="AN72" s="1">
        <v>4877</v>
      </c>
      <c r="AO72" s="1">
        <v>1562.6</v>
      </c>
      <c r="AP72" s="1">
        <v>704.7</v>
      </c>
      <c r="AQ72" s="1">
        <v>617.6</v>
      </c>
      <c r="AR72" s="1">
        <v>1301.7</v>
      </c>
      <c r="AS72" s="1">
        <v>1481.8</v>
      </c>
      <c r="AT72" s="1">
        <v>6905</v>
      </c>
      <c r="AU72" s="1">
        <v>672</v>
      </c>
      <c r="AV72" s="1">
        <v>1103.4000000000001</v>
      </c>
      <c r="AW72" s="1">
        <v>1154.9000000000001</v>
      </c>
      <c r="AX72" s="1">
        <v>3803.9</v>
      </c>
      <c r="AY72" s="1">
        <v>735.9</v>
      </c>
      <c r="BH72" s="2"/>
    </row>
    <row r="73" spans="1:60" ht="14.25" customHeight="1" x14ac:dyDescent="0.3">
      <c r="A73" s="2">
        <v>45763</v>
      </c>
      <c r="B73" s="1">
        <v>23437.200000000001</v>
      </c>
      <c r="C73" s="1">
        <v>1239.3</v>
      </c>
      <c r="D73" s="1">
        <v>939</v>
      </c>
      <c r="E73" s="1">
        <v>1822.6</v>
      </c>
      <c r="F73" s="1">
        <v>3273.8</v>
      </c>
      <c r="G73" s="1">
        <v>1356.4</v>
      </c>
      <c r="H73" s="1">
        <v>771.75</v>
      </c>
      <c r="I73" s="1">
        <v>1413.1</v>
      </c>
      <c r="J73" s="1">
        <v>2366.6</v>
      </c>
      <c r="K73" s="1">
        <v>905.65</v>
      </c>
      <c r="L73" s="1">
        <v>424.45</v>
      </c>
      <c r="M73" s="1">
        <v>3227.7</v>
      </c>
      <c r="N73" s="1">
        <v>11664</v>
      </c>
      <c r="O73" s="1">
        <v>2634.6</v>
      </c>
      <c r="P73" s="1">
        <v>2123.4</v>
      </c>
      <c r="Q73" s="1">
        <v>1431.7</v>
      </c>
      <c r="R73" s="1">
        <v>1693.1</v>
      </c>
      <c r="S73" s="1">
        <v>11728</v>
      </c>
      <c r="T73" s="1">
        <v>1161.3</v>
      </c>
      <c r="U73" s="1">
        <v>1969.2</v>
      </c>
      <c r="V73" s="1">
        <v>3272.1</v>
      </c>
      <c r="W73" s="1">
        <v>359.3</v>
      </c>
      <c r="X73" s="1">
        <v>222.08</v>
      </c>
      <c r="Y73" s="1">
        <v>1232.9000000000001</v>
      </c>
      <c r="Z73" s="1">
        <v>241.22</v>
      </c>
      <c r="AA73" s="1">
        <v>293.60000000000002</v>
      </c>
      <c r="AB73" s="1">
        <v>1009.4</v>
      </c>
      <c r="AC73" s="1">
        <v>247.65</v>
      </c>
      <c r="AD73" s="1">
        <v>305.75</v>
      </c>
      <c r="AE73" s="1">
        <v>616.04999999999995</v>
      </c>
      <c r="AF73" s="1">
        <v>7961.5</v>
      </c>
      <c r="AG73" s="1">
        <v>2459.9</v>
      </c>
      <c r="AH73" s="1">
        <v>399.25</v>
      </c>
      <c r="AI73" s="1">
        <v>1191.6500000000001</v>
      </c>
      <c r="AJ73" s="1">
        <v>136.97</v>
      </c>
      <c r="AK73" s="1">
        <v>242.28</v>
      </c>
      <c r="AL73" s="1">
        <v>2702.8</v>
      </c>
      <c r="AM73" s="1">
        <v>5615.5</v>
      </c>
      <c r="AN73" s="1">
        <v>5035.5</v>
      </c>
      <c r="AO73" s="1">
        <v>1565.4</v>
      </c>
      <c r="AP73" s="1">
        <v>716.05</v>
      </c>
      <c r="AQ73" s="1">
        <v>609.9</v>
      </c>
      <c r="AR73" s="1">
        <v>1308.7</v>
      </c>
      <c r="AS73" s="1">
        <v>1496.4</v>
      </c>
      <c r="AT73" s="1">
        <v>7005.5</v>
      </c>
      <c r="AU73" s="1">
        <v>676.05</v>
      </c>
      <c r="AV73" s="1">
        <v>1105.9000000000001</v>
      </c>
      <c r="AW73" s="1">
        <v>1158.4000000000001</v>
      </c>
      <c r="AX73" s="1">
        <v>3781.9</v>
      </c>
      <c r="AY73" s="1">
        <v>788.25</v>
      </c>
      <c r="BH73" s="2"/>
    </row>
    <row r="74" spans="1:60" ht="14.25" customHeight="1" x14ac:dyDescent="0.3">
      <c r="A74" s="2">
        <v>45764</v>
      </c>
      <c r="B74" s="1">
        <v>23851.65</v>
      </c>
      <c r="C74" s="1">
        <v>1274.5</v>
      </c>
      <c r="D74" s="1">
        <v>953.35</v>
      </c>
      <c r="E74" s="1">
        <v>1889.1</v>
      </c>
      <c r="F74" s="1">
        <v>3298.9</v>
      </c>
      <c r="G74" s="1">
        <v>1406.7</v>
      </c>
      <c r="H74" s="1">
        <v>797.45</v>
      </c>
      <c r="I74" s="1">
        <v>1419.5</v>
      </c>
      <c r="J74" s="1">
        <v>2375</v>
      </c>
      <c r="K74" s="1">
        <v>916.25</v>
      </c>
      <c r="L74" s="1">
        <v>427.25</v>
      </c>
      <c r="M74" s="1">
        <v>3247.3</v>
      </c>
      <c r="N74" s="1">
        <v>11695</v>
      </c>
      <c r="O74" s="1">
        <v>2679.4</v>
      </c>
      <c r="P74" s="1">
        <v>2188.1</v>
      </c>
      <c r="Q74" s="1">
        <v>1438</v>
      </c>
      <c r="R74" s="1">
        <v>1751.5</v>
      </c>
      <c r="S74" s="1">
        <v>11901</v>
      </c>
      <c r="T74" s="1">
        <v>1190.8</v>
      </c>
      <c r="U74" s="1">
        <v>2035.3</v>
      </c>
      <c r="V74" s="1">
        <v>3327.5</v>
      </c>
      <c r="W74" s="1">
        <v>364</v>
      </c>
      <c r="X74" s="1">
        <v>231.6</v>
      </c>
      <c r="Y74" s="1">
        <v>1259.4000000000001</v>
      </c>
      <c r="Z74" s="1">
        <v>243.49</v>
      </c>
      <c r="AA74" s="1">
        <v>295.14999999999998</v>
      </c>
      <c r="AB74" s="1">
        <v>1007.2</v>
      </c>
      <c r="AC74" s="1">
        <v>236.9</v>
      </c>
      <c r="AD74" s="1">
        <v>309</v>
      </c>
      <c r="AE74" s="1">
        <v>621.54999999999995</v>
      </c>
      <c r="AF74" s="1">
        <v>8018</v>
      </c>
      <c r="AG74" s="1">
        <v>2467.9</v>
      </c>
      <c r="AH74" s="1">
        <v>398.85</v>
      </c>
      <c r="AI74" s="1">
        <v>1208.3</v>
      </c>
      <c r="AJ74" s="1">
        <v>137.13999999999999</v>
      </c>
      <c r="AK74" s="1">
        <v>246.47</v>
      </c>
      <c r="AL74" s="1">
        <v>2760.7</v>
      </c>
      <c r="AM74" s="1">
        <v>5678.5</v>
      </c>
      <c r="AN74" s="1">
        <v>5130.5</v>
      </c>
      <c r="AO74" s="1">
        <v>1608.2</v>
      </c>
      <c r="AP74" s="1">
        <v>720.05</v>
      </c>
      <c r="AQ74" s="1">
        <v>609.5</v>
      </c>
      <c r="AR74" s="1">
        <v>1306.8</v>
      </c>
      <c r="AS74" s="1">
        <v>1515.2</v>
      </c>
      <c r="AT74" s="1">
        <v>7073.5</v>
      </c>
      <c r="AU74" s="1">
        <v>691.75</v>
      </c>
      <c r="AV74" s="1">
        <v>1120.2</v>
      </c>
      <c r="AW74" s="1">
        <v>1163.5999999999999</v>
      </c>
      <c r="AX74" s="1">
        <v>3771.8</v>
      </c>
      <c r="AY74" s="1">
        <v>794.7</v>
      </c>
      <c r="BH74" s="2"/>
    </row>
    <row r="75" spans="1:60" ht="14.25" customHeight="1" x14ac:dyDescent="0.3">
      <c r="A75" s="2">
        <v>45768</v>
      </c>
      <c r="B75" s="1">
        <v>24125.55</v>
      </c>
      <c r="C75" s="1">
        <v>1295.5</v>
      </c>
      <c r="D75" s="1">
        <v>963.55</v>
      </c>
      <c r="E75" s="1">
        <v>1883.4</v>
      </c>
      <c r="F75" s="1">
        <v>3321.6</v>
      </c>
      <c r="G75" s="1">
        <v>1409.8</v>
      </c>
      <c r="H75" s="1">
        <v>816.7</v>
      </c>
      <c r="I75" s="1">
        <v>1451</v>
      </c>
      <c r="J75" s="1">
        <v>2351</v>
      </c>
      <c r="K75" s="1">
        <v>927.35</v>
      </c>
      <c r="L75" s="1">
        <v>422.85</v>
      </c>
      <c r="M75" s="1">
        <v>3280.5</v>
      </c>
      <c r="N75" s="1">
        <v>11745</v>
      </c>
      <c r="O75" s="1">
        <v>2764</v>
      </c>
      <c r="P75" s="1">
        <v>2241.4</v>
      </c>
      <c r="Q75" s="1">
        <v>1482</v>
      </c>
      <c r="R75" s="1">
        <v>1744.9</v>
      </c>
      <c r="S75" s="1">
        <v>11934</v>
      </c>
      <c r="T75" s="1">
        <v>1223</v>
      </c>
      <c r="U75" s="1">
        <v>2103.5</v>
      </c>
      <c r="V75" s="1">
        <v>3336.1</v>
      </c>
      <c r="W75" s="1">
        <v>364.55</v>
      </c>
      <c r="X75" s="1">
        <v>234.24</v>
      </c>
      <c r="Y75" s="1">
        <v>1243.0999999999999</v>
      </c>
      <c r="Z75" s="1">
        <v>249.78</v>
      </c>
      <c r="AA75" s="1">
        <v>299.95</v>
      </c>
      <c r="AB75" s="1">
        <v>1034</v>
      </c>
      <c r="AC75" s="1">
        <v>238.45</v>
      </c>
      <c r="AD75" s="1">
        <v>320</v>
      </c>
      <c r="AE75" s="1">
        <v>630.04999999999995</v>
      </c>
      <c r="AF75" s="1">
        <v>8247.5</v>
      </c>
      <c r="AG75" s="1">
        <v>2445</v>
      </c>
      <c r="AH75" s="1">
        <v>400.5</v>
      </c>
      <c r="AI75" s="1">
        <v>1199.7</v>
      </c>
      <c r="AJ75" s="1">
        <v>139.18</v>
      </c>
      <c r="AK75" s="1">
        <v>246.38</v>
      </c>
      <c r="AL75" s="1">
        <v>2756.9</v>
      </c>
      <c r="AM75" s="1">
        <v>5810.5</v>
      </c>
      <c r="AN75" s="1">
        <v>5360</v>
      </c>
      <c r="AO75" s="1">
        <v>1628.5</v>
      </c>
      <c r="AP75" s="1">
        <v>712.2</v>
      </c>
      <c r="AQ75" s="1">
        <v>622</v>
      </c>
      <c r="AR75" s="1">
        <v>1373.5</v>
      </c>
      <c r="AS75" s="1">
        <v>1511.1</v>
      </c>
      <c r="AT75" s="1">
        <v>7142.5</v>
      </c>
      <c r="AU75" s="1">
        <v>703</v>
      </c>
      <c r="AV75" s="1">
        <v>1121</v>
      </c>
      <c r="AW75" s="1">
        <v>1177.4000000000001</v>
      </c>
      <c r="AX75" s="1">
        <v>3917</v>
      </c>
      <c r="AY75" s="1">
        <v>828.2</v>
      </c>
      <c r="BH75" s="2"/>
    </row>
    <row r="76" spans="1:60" ht="14.25" customHeight="1" x14ac:dyDescent="0.3">
      <c r="A76" s="2">
        <v>45769</v>
      </c>
      <c r="B76" s="1">
        <v>24167.25</v>
      </c>
      <c r="C76" s="1">
        <v>1291.2</v>
      </c>
      <c r="D76" s="1">
        <v>980.85</v>
      </c>
      <c r="E76" s="1">
        <v>1852.2</v>
      </c>
      <c r="F76" s="1">
        <v>3314.4</v>
      </c>
      <c r="G76" s="1">
        <v>1416.5</v>
      </c>
      <c r="H76" s="1">
        <v>822.4</v>
      </c>
      <c r="I76" s="1">
        <v>1422.8</v>
      </c>
      <c r="J76" s="1">
        <v>2398.6999999999998</v>
      </c>
      <c r="K76" s="1">
        <v>926.05</v>
      </c>
      <c r="L76" s="1">
        <v>433.6</v>
      </c>
      <c r="M76" s="1">
        <v>3257.8</v>
      </c>
      <c r="N76" s="1">
        <v>11734</v>
      </c>
      <c r="O76" s="1">
        <v>2817.1</v>
      </c>
      <c r="P76" s="1">
        <v>2268.8000000000002</v>
      </c>
      <c r="Q76" s="1">
        <v>1479.9</v>
      </c>
      <c r="R76" s="1">
        <v>1747.4</v>
      </c>
      <c r="S76" s="1">
        <v>11959</v>
      </c>
      <c r="T76" s="1">
        <v>1216.8</v>
      </c>
      <c r="U76" s="1">
        <v>2077</v>
      </c>
      <c r="V76" s="1">
        <v>3337.4</v>
      </c>
      <c r="W76" s="1">
        <v>360.25</v>
      </c>
      <c r="X76" s="1">
        <v>237.47</v>
      </c>
      <c r="Y76" s="1">
        <v>1233.2</v>
      </c>
      <c r="Z76" s="1">
        <v>247.78</v>
      </c>
      <c r="AA76" s="1">
        <v>303.35000000000002</v>
      </c>
      <c r="AB76" s="1">
        <v>1044.2</v>
      </c>
      <c r="AC76" s="1">
        <v>234.15</v>
      </c>
      <c r="AD76" s="1">
        <v>312.55</v>
      </c>
      <c r="AE76" s="1">
        <v>630.85</v>
      </c>
      <c r="AF76" s="1">
        <v>8141</v>
      </c>
      <c r="AG76" s="1">
        <v>2432</v>
      </c>
      <c r="AH76" s="1">
        <v>398.6</v>
      </c>
      <c r="AI76" s="1">
        <v>1203.6500000000001</v>
      </c>
      <c r="AJ76" s="1">
        <v>138.16</v>
      </c>
      <c r="AK76" s="1">
        <v>250.56</v>
      </c>
      <c r="AL76" s="1">
        <v>2749.4</v>
      </c>
      <c r="AM76" s="1">
        <v>5784</v>
      </c>
      <c r="AN76" s="1">
        <v>5323</v>
      </c>
      <c r="AO76" s="1">
        <v>1619</v>
      </c>
      <c r="AP76" s="1">
        <v>712.55</v>
      </c>
      <c r="AQ76" s="1">
        <v>620.1</v>
      </c>
      <c r="AR76" s="1">
        <v>1376.5</v>
      </c>
      <c r="AS76" s="1">
        <v>1528.2</v>
      </c>
      <c r="AT76" s="1">
        <v>7088.5</v>
      </c>
      <c r="AU76" s="1">
        <v>703.5</v>
      </c>
      <c r="AV76" s="1">
        <v>1136.7</v>
      </c>
      <c r="AW76" s="1">
        <v>1175</v>
      </c>
      <c r="AX76" s="1">
        <v>3833.6</v>
      </c>
      <c r="AY76" s="1">
        <v>787.5</v>
      </c>
      <c r="BH76" s="2"/>
    </row>
    <row r="77" spans="1:60" ht="14.25" customHeight="1" x14ac:dyDescent="0.3">
      <c r="A77" s="2">
        <v>45770</v>
      </c>
      <c r="B77" s="1">
        <v>24328.95</v>
      </c>
      <c r="C77" s="1">
        <v>1300</v>
      </c>
      <c r="D77" s="1">
        <v>961.95</v>
      </c>
      <c r="E77" s="1">
        <v>1881.6</v>
      </c>
      <c r="F77" s="1">
        <v>3413</v>
      </c>
      <c r="G77" s="1">
        <v>1424.4</v>
      </c>
      <c r="H77" s="1">
        <v>813.45</v>
      </c>
      <c r="I77" s="1">
        <v>1474.9</v>
      </c>
      <c r="J77" s="1">
        <v>2423.8000000000002</v>
      </c>
      <c r="K77" s="1">
        <v>932.3</v>
      </c>
      <c r="L77" s="1">
        <v>430.85</v>
      </c>
      <c r="M77" s="1">
        <v>3301</v>
      </c>
      <c r="N77" s="1">
        <v>11907</v>
      </c>
      <c r="O77" s="1">
        <v>2917.8</v>
      </c>
      <c r="P77" s="1">
        <v>2227</v>
      </c>
      <c r="Q77" s="1">
        <v>1594</v>
      </c>
      <c r="R77" s="1">
        <v>1788.8</v>
      </c>
      <c r="S77" s="1">
        <v>11949</v>
      </c>
      <c r="T77" s="1">
        <v>1206.9000000000001</v>
      </c>
      <c r="U77" s="1">
        <v>2100.8000000000002</v>
      </c>
      <c r="V77" s="1">
        <v>3357.3</v>
      </c>
      <c r="W77" s="1">
        <v>363.8</v>
      </c>
      <c r="X77" s="1">
        <v>239.24</v>
      </c>
      <c r="Y77" s="1">
        <v>1239.0999999999999</v>
      </c>
      <c r="Z77" s="1">
        <v>252.17</v>
      </c>
      <c r="AA77" s="1">
        <v>305.85000000000002</v>
      </c>
      <c r="AB77" s="1">
        <v>1039.2</v>
      </c>
      <c r="AC77" s="1">
        <v>243.6</v>
      </c>
      <c r="AD77" s="1">
        <v>314.95</v>
      </c>
      <c r="AE77" s="1">
        <v>659.9</v>
      </c>
      <c r="AF77" s="1">
        <v>8261.5</v>
      </c>
      <c r="AG77" s="1">
        <v>2453.1</v>
      </c>
      <c r="AH77" s="1">
        <v>398.95</v>
      </c>
      <c r="AI77" s="1">
        <v>1216.7</v>
      </c>
      <c r="AJ77" s="1">
        <v>141.16</v>
      </c>
      <c r="AK77" s="1">
        <v>258.14</v>
      </c>
      <c r="AL77" s="1">
        <v>2685.6</v>
      </c>
      <c r="AM77" s="1">
        <v>5740</v>
      </c>
      <c r="AN77" s="1">
        <v>5329</v>
      </c>
      <c r="AO77" s="1">
        <v>1615.5</v>
      </c>
      <c r="AP77" s="1">
        <v>709.1</v>
      </c>
      <c r="AQ77" s="1">
        <v>629.1</v>
      </c>
      <c r="AR77" s="1">
        <v>1439.6</v>
      </c>
      <c r="AS77" s="1">
        <v>1533.7</v>
      </c>
      <c r="AT77" s="1">
        <v>7142</v>
      </c>
      <c r="AU77" s="1">
        <v>703.9</v>
      </c>
      <c r="AV77" s="1">
        <v>1150.0999999999999</v>
      </c>
      <c r="AW77" s="1">
        <v>1186</v>
      </c>
      <c r="AX77" s="1">
        <v>3940.5</v>
      </c>
      <c r="AY77" s="1">
        <v>794.2</v>
      </c>
      <c r="BH77" s="2"/>
    </row>
    <row r="78" spans="1:60" ht="14.25" customHeight="1" x14ac:dyDescent="0.3">
      <c r="A78" s="2">
        <v>45771</v>
      </c>
      <c r="B78" s="1">
        <v>24246.7</v>
      </c>
      <c r="C78" s="1">
        <v>1301.5999999999999</v>
      </c>
      <c r="D78" s="1">
        <v>958.4</v>
      </c>
      <c r="E78" s="1">
        <v>1845.6</v>
      </c>
      <c r="F78" s="1">
        <v>3401.6</v>
      </c>
      <c r="G78" s="1">
        <v>1402.7</v>
      </c>
      <c r="H78" s="1">
        <v>813.4</v>
      </c>
      <c r="I78" s="1">
        <v>1471.4</v>
      </c>
      <c r="J78" s="1">
        <v>2325.3000000000002</v>
      </c>
      <c r="K78" s="1">
        <v>930.1</v>
      </c>
      <c r="L78" s="1">
        <v>430.05</v>
      </c>
      <c r="M78" s="1">
        <v>3300.6</v>
      </c>
      <c r="N78" s="1">
        <v>11894</v>
      </c>
      <c r="O78" s="1">
        <v>2901.4</v>
      </c>
      <c r="P78" s="1">
        <v>2223</v>
      </c>
      <c r="Q78" s="1">
        <v>1586.7</v>
      </c>
      <c r="R78" s="1">
        <v>1803.9</v>
      </c>
      <c r="S78" s="1">
        <v>12159</v>
      </c>
      <c r="T78" s="1">
        <v>1207.0999999999999</v>
      </c>
      <c r="U78" s="1">
        <v>2105</v>
      </c>
      <c r="V78" s="1">
        <v>3382.6</v>
      </c>
      <c r="W78" s="1">
        <v>363.2</v>
      </c>
      <c r="X78" s="1">
        <v>236.38</v>
      </c>
      <c r="Y78" s="1">
        <v>1236.4000000000001</v>
      </c>
      <c r="Z78" s="1">
        <v>249.37</v>
      </c>
      <c r="AA78" s="1">
        <v>305.7</v>
      </c>
      <c r="AB78" s="1">
        <v>1044.5</v>
      </c>
      <c r="AC78" s="1">
        <v>242.75</v>
      </c>
      <c r="AD78" s="1">
        <v>314.39999999999998</v>
      </c>
      <c r="AE78" s="1">
        <v>668.35</v>
      </c>
      <c r="AF78" s="1">
        <v>8201.5</v>
      </c>
      <c r="AG78" s="1">
        <v>2464.4</v>
      </c>
      <c r="AH78" s="1">
        <v>399.85</v>
      </c>
      <c r="AI78" s="1">
        <v>1216.5999999999999</v>
      </c>
      <c r="AJ78" s="1">
        <v>141.52000000000001</v>
      </c>
      <c r="AK78" s="1">
        <v>258.77999999999997</v>
      </c>
      <c r="AL78" s="1">
        <v>2729.2</v>
      </c>
      <c r="AM78" s="1">
        <v>5650.5</v>
      </c>
      <c r="AN78" s="1">
        <v>5323.5</v>
      </c>
      <c r="AO78" s="1">
        <v>1608.2</v>
      </c>
      <c r="AP78" s="1">
        <v>708.4</v>
      </c>
      <c r="AQ78" s="1">
        <v>628.35</v>
      </c>
      <c r="AR78" s="1">
        <v>1445.2</v>
      </c>
      <c r="AS78" s="1">
        <v>1551.7</v>
      </c>
      <c r="AT78" s="1">
        <v>7159.5</v>
      </c>
      <c r="AU78" s="1">
        <v>696.65</v>
      </c>
      <c r="AV78" s="1">
        <v>1161.3</v>
      </c>
      <c r="AW78" s="1">
        <v>1200.5</v>
      </c>
      <c r="AX78" s="1">
        <v>3954.5</v>
      </c>
      <c r="AY78" s="1">
        <v>819.75</v>
      </c>
      <c r="BH78" s="2"/>
    </row>
    <row r="79" spans="1:60" ht="14.25" customHeight="1" x14ac:dyDescent="0.3">
      <c r="A79" s="2">
        <v>45772</v>
      </c>
      <c r="B79" s="1">
        <v>24039.35</v>
      </c>
      <c r="C79" s="1">
        <v>1300.4000000000001</v>
      </c>
      <c r="D79" s="1">
        <v>955.6</v>
      </c>
      <c r="E79" s="1">
        <v>1817.2</v>
      </c>
      <c r="F79" s="1">
        <v>3448</v>
      </c>
      <c r="G79" s="1">
        <v>1404.8</v>
      </c>
      <c r="H79" s="1">
        <v>798.65</v>
      </c>
      <c r="I79" s="1">
        <v>1480.2</v>
      </c>
      <c r="J79" s="1">
        <v>2332.1999999999998</v>
      </c>
      <c r="K79" s="1">
        <v>911.2</v>
      </c>
      <c r="L79" s="1">
        <v>427.8</v>
      </c>
      <c r="M79" s="1">
        <v>3272.1</v>
      </c>
      <c r="N79" s="1">
        <v>11698</v>
      </c>
      <c r="O79" s="1">
        <v>2864.2</v>
      </c>
      <c r="P79" s="1">
        <v>2204.4</v>
      </c>
      <c r="Q79" s="1">
        <v>1578.2</v>
      </c>
      <c r="R79" s="1">
        <v>1787.4</v>
      </c>
      <c r="S79" s="1">
        <v>12237</v>
      </c>
      <c r="T79" s="1">
        <v>1166.3</v>
      </c>
      <c r="U79" s="1">
        <v>2045.5</v>
      </c>
      <c r="V79" s="1">
        <v>3365.2</v>
      </c>
      <c r="W79" s="1">
        <v>356.45</v>
      </c>
      <c r="X79" s="1">
        <v>228.81</v>
      </c>
      <c r="Y79" s="1">
        <v>1193</v>
      </c>
      <c r="Z79" s="1">
        <v>246.33</v>
      </c>
      <c r="AA79" s="1">
        <v>297.60000000000002</v>
      </c>
      <c r="AB79" s="1">
        <v>1028.4000000000001</v>
      </c>
      <c r="AC79" s="1">
        <v>240.9</v>
      </c>
      <c r="AD79" s="1">
        <v>306.5</v>
      </c>
      <c r="AE79" s="1">
        <v>655.25</v>
      </c>
      <c r="AF79" s="1">
        <v>8034</v>
      </c>
      <c r="AG79" s="1">
        <v>2431.6</v>
      </c>
      <c r="AH79" s="1">
        <v>393.15</v>
      </c>
      <c r="AI79" s="1">
        <v>1206.75</v>
      </c>
      <c r="AJ79" s="1">
        <v>138.85</v>
      </c>
      <c r="AK79" s="1">
        <v>253.05</v>
      </c>
      <c r="AL79" s="1">
        <v>2734.8</v>
      </c>
      <c r="AM79" s="1">
        <v>5575.5</v>
      </c>
      <c r="AN79" s="1">
        <v>5145</v>
      </c>
      <c r="AO79" s="1">
        <v>1695.1</v>
      </c>
      <c r="AP79" s="1">
        <v>704.55</v>
      </c>
      <c r="AQ79" s="1">
        <v>622.1</v>
      </c>
      <c r="AR79" s="1">
        <v>1462</v>
      </c>
      <c r="AS79" s="1">
        <v>1525.9</v>
      </c>
      <c r="AT79" s="1">
        <v>6953</v>
      </c>
      <c r="AU79" s="1">
        <v>655.20000000000005</v>
      </c>
      <c r="AV79" s="1">
        <v>1155.7</v>
      </c>
      <c r="AW79" s="1">
        <v>1174.8</v>
      </c>
      <c r="AX79" s="1">
        <v>3895.5</v>
      </c>
      <c r="AY79" s="1">
        <v>822.35</v>
      </c>
      <c r="BH79" s="2"/>
    </row>
    <row r="80" spans="1:60" ht="14.25" customHeight="1" x14ac:dyDescent="0.3">
      <c r="A80" s="2">
        <v>45775</v>
      </c>
      <c r="B80" s="1">
        <v>24328.5</v>
      </c>
      <c r="C80" s="1">
        <v>1368.8</v>
      </c>
      <c r="D80" s="1">
        <v>960.1</v>
      </c>
      <c r="E80" s="1">
        <v>1821.8</v>
      </c>
      <c r="F80" s="1">
        <v>3443.5</v>
      </c>
      <c r="G80" s="1">
        <v>1428.8</v>
      </c>
      <c r="H80" s="1">
        <v>817.35</v>
      </c>
      <c r="I80" s="1">
        <v>1482.1</v>
      </c>
      <c r="J80" s="1">
        <v>2318.6</v>
      </c>
      <c r="K80" s="1">
        <v>909.3</v>
      </c>
      <c r="L80" s="1">
        <v>428.8</v>
      </c>
      <c r="M80" s="1">
        <v>3327.3</v>
      </c>
      <c r="N80" s="1">
        <v>11846</v>
      </c>
      <c r="O80" s="1">
        <v>2930.6</v>
      </c>
      <c r="P80" s="1">
        <v>2225.6</v>
      </c>
      <c r="Q80" s="1">
        <v>1549.3</v>
      </c>
      <c r="R80" s="1">
        <v>1841.6</v>
      </c>
      <c r="S80" s="1">
        <v>12114</v>
      </c>
      <c r="T80" s="1">
        <v>1192.8</v>
      </c>
      <c r="U80" s="1">
        <v>2049.6999999999998</v>
      </c>
      <c r="V80" s="1">
        <v>3369.1</v>
      </c>
      <c r="W80" s="1">
        <v>361.5</v>
      </c>
      <c r="X80" s="1">
        <v>227.21</v>
      </c>
      <c r="Y80" s="1">
        <v>1209.9000000000001</v>
      </c>
      <c r="Z80" s="1">
        <v>250.6</v>
      </c>
      <c r="AA80" s="1">
        <v>305.05</v>
      </c>
      <c r="AB80" s="1">
        <v>1054.4000000000001</v>
      </c>
      <c r="AC80" s="1">
        <v>240.5</v>
      </c>
      <c r="AD80" s="1">
        <v>308.55</v>
      </c>
      <c r="AE80" s="1">
        <v>668.15</v>
      </c>
      <c r="AF80" s="1">
        <v>8096</v>
      </c>
      <c r="AG80" s="1">
        <v>2452.1999999999998</v>
      </c>
      <c r="AH80" s="1">
        <v>397.15</v>
      </c>
      <c r="AI80" s="1">
        <v>1203</v>
      </c>
      <c r="AJ80" s="1">
        <v>142.07</v>
      </c>
      <c r="AK80" s="1">
        <v>257.89999999999998</v>
      </c>
      <c r="AL80" s="1">
        <v>2753.4</v>
      </c>
      <c r="AM80" s="1">
        <v>5622</v>
      </c>
      <c r="AN80" s="1">
        <v>5209.5</v>
      </c>
      <c r="AO80" s="1">
        <v>1736.1</v>
      </c>
      <c r="AP80" s="1">
        <v>710.85</v>
      </c>
      <c r="AQ80" s="1">
        <v>628.65</v>
      </c>
      <c r="AR80" s="1">
        <v>1461.5</v>
      </c>
      <c r="AS80" s="1">
        <v>1555.1</v>
      </c>
      <c r="AT80" s="1">
        <v>7045</v>
      </c>
      <c r="AU80" s="1">
        <v>622</v>
      </c>
      <c r="AV80" s="1">
        <v>1155.2</v>
      </c>
      <c r="AW80" s="1">
        <v>1198.7</v>
      </c>
      <c r="AX80" s="1">
        <v>3911.7</v>
      </c>
      <c r="AY80" s="1">
        <v>830.55</v>
      </c>
      <c r="BH80" s="2"/>
    </row>
    <row r="81" spans="1:60" ht="14.25" customHeight="1" x14ac:dyDescent="0.3">
      <c r="A81" s="2">
        <v>45776</v>
      </c>
      <c r="B81" s="1">
        <v>24335.95</v>
      </c>
      <c r="C81" s="1">
        <v>1399.7</v>
      </c>
      <c r="D81" s="1">
        <v>954.4</v>
      </c>
      <c r="E81" s="1">
        <v>1823.8</v>
      </c>
      <c r="F81" s="1">
        <v>3472.5</v>
      </c>
      <c r="G81" s="1">
        <v>1429.8</v>
      </c>
      <c r="H81" s="1">
        <v>812.55</v>
      </c>
      <c r="I81" s="1">
        <v>1497.5</v>
      </c>
      <c r="J81" s="1">
        <v>2321.6999999999998</v>
      </c>
      <c r="K81" s="1">
        <v>909.3</v>
      </c>
      <c r="L81" s="1">
        <v>426</v>
      </c>
      <c r="M81" s="1">
        <v>3322.3</v>
      </c>
      <c r="N81" s="1">
        <v>11841</v>
      </c>
      <c r="O81" s="1">
        <v>2909.6</v>
      </c>
      <c r="P81" s="1">
        <v>2205</v>
      </c>
      <c r="Q81" s="1">
        <v>1569</v>
      </c>
      <c r="R81" s="1">
        <v>1805.5</v>
      </c>
      <c r="S81" s="1">
        <v>11869</v>
      </c>
      <c r="T81" s="1">
        <v>1187.3</v>
      </c>
      <c r="U81" s="1">
        <v>2066.9</v>
      </c>
      <c r="V81" s="1">
        <v>3378.6</v>
      </c>
      <c r="W81" s="1">
        <v>356.95</v>
      </c>
      <c r="X81" s="1">
        <v>231.11</v>
      </c>
      <c r="Y81" s="1">
        <v>1216.4000000000001</v>
      </c>
      <c r="Z81" s="1">
        <v>245.68</v>
      </c>
      <c r="AA81" s="1">
        <v>317.10000000000002</v>
      </c>
      <c r="AB81" s="1">
        <v>1035.5999999999999</v>
      </c>
      <c r="AC81" s="1">
        <v>241.4</v>
      </c>
      <c r="AD81" s="1">
        <v>302.95</v>
      </c>
      <c r="AE81" s="1">
        <v>665.6</v>
      </c>
      <c r="AF81" s="1">
        <v>8078.5</v>
      </c>
      <c r="AG81" s="1">
        <v>2451.1</v>
      </c>
      <c r="AH81" s="1">
        <v>389.1</v>
      </c>
      <c r="AI81" s="1">
        <v>1193.75</v>
      </c>
      <c r="AJ81" s="1">
        <v>141.5</v>
      </c>
      <c r="AK81" s="1">
        <v>257.63</v>
      </c>
      <c r="AL81" s="1">
        <v>2745.7</v>
      </c>
      <c r="AM81" s="1">
        <v>5579</v>
      </c>
      <c r="AN81" s="1">
        <v>5391.5</v>
      </c>
      <c r="AO81" s="1">
        <v>1730.1</v>
      </c>
      <c r="AP81" s="1">
        <v>715.05</v>
      </c>
      <c r="AQ81" s="1">
        <v>622.54999999999995</v>
      </c>
      <c r="AR81" s="1">
        <v>1495.3</v>
      </c>
      <c r="AS81" s="1">
        <v>1541.5</v>
      </c>
      <c r="AT81" s="1">
        <v>6992.5</v>
      </c>
      <c r="AU81" s="1">
        <v>614.70000000000005</v>
      </c>
      <c r="AV81" s="1">
        <v>1168.9000000000001</v>
      </c>
      <c r="AW81" s="1">
        <v>1176</v>
      </c>
      <c r="AX81" s="1">
        <v>3852.7</v>
      </c>
      <c r="AY81" s="1">
        <v>836.95</v>
      </c>
      <c r="BH81" s="2"/>
    </row>
    <row r="82" spans="1:60" ht="14.25" customHeight="1" x14ac:dyDescent="0.3">
      <c r="A82" s="2">
        <v>45777</v>
      </c>
      <c r="B82" s="1">
        <v>24334.2</v>
      </c>
      <c r="C82" s="1">
        <v>1405</v>
      </c>
      <c r="D82" s="1">
        <v>962.5</v>
      </c>
      <c r="E82" s="1">
        <v>1864.5</v>
      </c>
      <c r="F82" s="1">
        <v>3453.7</v>
      </c>
      <c r="G82" s="1">
        <v>1427</v>
      </c>
      <c r="H82" s="1">
        <v>788.65</v>
      </c>
      <c r="I82" s="1">
        <v>1500.1</v>
      </c>
      <c r="J82" s="1">
        <v>2342.1</v>
      </c>
      <c r="K82" s="1">
        <v>863.45</v>
      </c>
      <c r="L82" s="1">
        <v>425.8</v>
      </c>
      <c r="M82" s="1">
        <v>3341</v>
      </c>
      <c r="N82" s="1">
        <v>12257</v>
      </c>
      <c r="O82" s="1">
        <v>2928.8</v>
      </c>
      <c r="P82" s="1">
        <v>2208.1</v>
      </c>
      <c r="Q82" s="1">
        <v>1567.5</v>
      </c>
      <c r="R82" s="1">
        <v>1832.3</v>
      </c>
      <c r="S82" s="1">
        <v>11641</v>
      </c>
      <c r="T82" s="1">
        <v>1185</v>
      </c>
      <c r="U82" s="1">
        <v>1951.6</v>
      </c>
      <c r="V82" s="1">
        <v>3379.7</v>
      </c>
      <c r="W82" s="1">
        <v>354.55</v>
      </c>
      <c r="X82" s="1">
        <v>232.52</v>
      </c>
      <c r="Y82" s="1">
        <v>1216.5</v>
      </c>
      <c r="Z82" s="1">
        <v>244.45</v>
      </c>
      <c r="AA82" s="1">
        <v>314.10000000000002</v>
      </c>
      <c r="AB82" s="1">
        <v>1029.8</v>
      </c>
      <c r="AC82" s="1">
        <v>241.5</v>
      </c>
      <c r="AD82" s="1">
        <v>307.45</v>
      </c>
      <c r="AE82" s="1">
        <v>644.25</v>
      </c>
      <c r="AF82" s="1">
        <v>8030</v>
      </c>
      <c r="AG82" s="1">
        <v>2425.6999999999998</v>
      </c>
      <c r="AH82" s="1">
        <v>385.3</v>
      </c>
      <c r="AI82" s="1">
        <v>1194.0999999999999</v>
      </c>
      <c r="AJ82" s="1">
        <v>140.08000000000001</v>
      </c>
      <c r="AK82" s="1">
        <v>260.42</v>
      </c>
      <c r="AL82" s="1">
        <v>2737.5</v>
      </c>
      <c r="AM82" s="1">
        <v>5567</v>
      </c>
      <c r="AN82" s="1">
        <v>5172.5</v>
      </c>
      <c r="AO82" s="1">
        <v>1765.8</v>
      </c>
      <c r="AP82" s="1">
        <v>743.7</v>
      </c>
      <c r="AQ82" s="1">
        <v>624.65</v>
      </c>
      <c r="AR82" s="1">
        <v>1503</v>
      </c>
      <c r="AS82" s="1">
        <v>1550.1</v>
      </c>
      <c r="AT82" s="1">
        <v>6977</v>
      </c>
      <c r="AU82" s="1">
        <v>611.70000000000005</v>
      </c>
      <c r="AV82" s="1">
        <v>1165.8</v>
      </c>
      <c r="AW82" s="1">
        <v>1183.9000000000001</v>
      </c>
      <c r="AX82" s="1">
        <v>3827.4</v>
      </c>
      <c r="AY82" s="1">
        <v>838.4</v>
      </c>
      <c r="BH82" s="2"/>
    </row>
    <row r="83" spans="1:60" ht="14.25" customHeight="1" x14ac:dyDescent="0.3">
      <c r="A83" s="2">
        <v>45779</v>
      </c>
      <c r="B83" s="1">
        <v>24346.7</v>
      </c>
      <c r="C83" s="1">
        <v>1422.4</v>
      </c>
      <c r="D83" s="1">
        <v>962.5</v>
      </c>
      <c r="E83" s="1">
        <v>1851.9</v>
      </c>
      <c r="F83" s="1">
        <v>3444.7</v>
      </c>
      <c r="G83" s="1">
        <v>1432.4</v>
      </c>
      <c r="H83" s="1">
        <v>800</v>
      </c>
      <c r="I83" s="1">
        <v>1506.8</v>
      </c>
      <c r="J83" s="1">
        <v>2323.9</v>
      </c>
      <c r="K83" s="1">
        <v>886.25</v>
      </c>
      <c r="L83" s="1">
        <v>430.25</v>
      </c>
      <c r="M83" s="1">
        <v>3329.8</v>
      </c>
      <c r="N83" s="1">
        <v>12406</v>
      </c>
      <c r="O83" s="1">
        <v>2926.2</v>
      </c>
      <c r="P83" s="1">
        <v>2185.1999999999998</v>
      </c>
      <c r="Q83" s="1">
        <v>1576.5</v>
      </c>
      <c r="R83" s="1">
        <v>1829.4</v>
      </c>
      <c r="S83" s="1">
        <v>11644</v>
      </c>
      <c r="T83" s="1">
        <v>1182.2</v>
      </c>
      <c r="U83" s="1">
        <v>1958</v>
      </c>
      <c r="V83" s="1">
        <v>3341</v>
      </c>
      <c r="W83" s="1">
        <v>348.45</v>
      </c>
      <c r="X83" s="1">
        <v>234.29</v>
      </c>
      <c r="Y83" s="1">
        <v>1267.0999999999999</v>
      </c>
      <c r="Z83" s="1">
        <v>243.42</v>
      </c>
      <c r="AA83" s="1">
        <v>311.35000000000002</v>
      </c>
      <c r="AB83" s="1">
        <v>973.2</v>
      </c>
      <c r="AC83" s="1">
        <v>242.87</v>
      </c>
      <c r="AD83" s="1">
        <v>303.95</v>
      </c>
      <c r="AE83" s="1">
        <v>652</v>
      </c>
      <c r="AF83" s="1">
        <v>7836.5</v>
      </c>
      <c r="AG83" s="1">
        <v>2409.8000000000002</v>
      </c>
      <c r="AH83" s="1">
        <v>384.4</v>
      </c>
      <c r="AI83" s="1">
        <v>1168.8499999999999</v>
      </c>
      <c r="AJ83" s="1">
        <v>141.18</v>
      </c>
      <c r="AK83" s="1">
        <v>258.8</v>
      </c>
      <c r="AL83" s="1">
        <v>2718.3</v>
      </c>
      <c r="AM83" s="1">
        <v>5437.5</v>
      </c>
      <c r="AN83" s="1">
        <v>5148</v>
      </c>
      <c r="AO83" s="1">
        <v>1764.7</v>
      </c>
      <c r="AP83" s="1">
        <v>727.75</v>
      </c>
      <c r="AQ83" s="1">
        <v>632.1</v>
      </c>
      <c r="AR83" s="1">
        <v>1496.3</v>
      </c>
      <c r="AS83" s="1">
        <v>1525.6</v>
      </c>
      <c r="AT83" s="1">
        <v>6954.5</v>
      </c>
      <c r="AU83" s="1">
        <v>604.20000000000005</v>
      </c>
      <c r="AV83" s="1">
        <v>1156.8</v>
      </c>
      <c r="AW83" s="1">
        <v>1182.9000000000001</v>
      </c>
      <c r="AX83" s="1">
        <v>3740.5</v>
      </c>
      <c r="AY83" s="1">
        <v>853</v>
      </c>
      <c r="BH83" s="2"/>
    </row>
    <row r="84" spans="1:60" ht="14.25" customHeight="1" x14ac:dyDescent="0.3">
      <c r="A84" s="2">
        <v>45782</v>
      </c>
      <c r="B84" s="1">
        <v>24461.15</v>
      </c>
      <c r="C84" s="1">
        <v>1431.3</v>
      </c>
      <c r="D84" s="1">
        <v>968.4</v>
      </c>
      <c r="E84" s="1">
        <v>1866</v>
      </c>
      <c r="F84" s="1">
        <v>3454.3</v>
      </c>
      <c r="G84" s="1">
        <v>1429.4</v>
      </c>
      <c r="H84" s="1">
        <v>790</v>
      </c>
      <c r="I84" s="1">
        <v>1508.6</v>
      </c>
      <c r="J84" s="1">
        <v>2348.6</v>
      </c>
      <c r="K84" s="1">
        <v>893.2</v>
      </c>
      <c r="L84" s="1">
        <v>436.95</v>
      </c>
      <c r="M84" s="1">
        <v>3330.2</v>
      </c>
      <c r="N84" s="1">
        <v>12458</v>
      </c>
      <c r="O84" s="1">
        <v>3021.5</v>
      </c>
      <c r="P84" s="1">
        <v>2084.9</v>
      </c>
      <c r="Q84" s="1">
        <v>1568.6</v>
      </c>
      <c r="R84" s="1">
        <v>1836.6</v>
      </c>
      <c r="S84" s="1">
        <v>11670</v>
      </c>
      <c r="T84" s="1">
        <v>1173.2</v>
      </c>
      <c r="U84" s="1">
        <v>2026.2</v>
      </c>
      <c r="V84" s="1">
        <v>3321.8</v>
      </c>
      <c r="W84" s="1">
        <v>348.6</v>
      </c>
      <c r="X84" s="1">
        <v>239.9</v>
      </c>
      <c r="Y84" s="1">
        <v>1347.1</v>
      </c>
      <c r="Z84" s="1">
        <v>239.2</v>
      </c>
      <c r="AA84" s="1">
        <v>315.3</v>
      </c>
      <c r="AB84" s="1">
        <v>955.5</v>
      </c>
      <c r="AC84" s="1">
        <v>243.57</v>
      </c>
      <c r="AD84" s="1">
        <v>308.2</v>
      </c>
      <c r="AE84" s="1">
        <v>661.55</v>
      </c>
      <c r="AF84" s="1">
        <v>7920.5</v>
      </c>
      <c r="AG84" s="1">
        <v>2436.9</v>
      </c>
      <c r="AH84" s="1">
        <v>385.6</v>
      </c>
      <c r="AI84" s="1">
        <v>1164.0999999999999</v>
      </c>
      <c r="AJ84" s="1">
        <v>142.08000000000001</v>
      </c>
      <c r="AK84" s="1">
        <v>260.60000000000002</v>
      </c>
      <c r="AL84" s="1">
        <v>2755.1</v>
      </c>
      <c r="AM84" s="1">
        <v>5460.5</v>
      </c>
      <c r="AN84" s="1">
        <v>5370.5</v>
      </c>
      <c r="AO84" s="1">
        <v>1769.9</v>
      </c>
      <c r="AP84" s="1">
        <v>738.9</v>
      </c>
      <c r="AQ84" s="1">
        <v>633.4</v>
      </c>
      <c r="AR84" s="1">
        <v>1494.6</v>
      </c>
      <c r="AS84" s="1">
        <v>1542.9</v>
      </c>
      <c r="AT84" s="1">
        <v>6974</v>
      </c>
      <c r="AU84" s="1">
        <v>628.85</v>
      </c>
      <c r="AV84" s="1">
        <v>1161.5</v>
      </c>
      <c r="AW84" s="1">
        <v>1171.3</v>
      </c>
      <c r="AX84" s="1">
        <v>3767.6</v>
      </c>
      <c r="AY84" s="1">
        <v>846.75</v>
      </c>
      <c r="BH84" s="2"/>
    </row>
    <row r="85" spans="1:60" ht="14.25" customHeight="1" x14ac:dyDescent="0.3">
      <c r="A85" s="2">
        <v>45783</v>
      </c>
      <c r="B85" s="1">
        <v>24379.599999999999</v>
      </c>
      <c r="C85" s="1">
        <v>1420.9</v>
      </c>
      <c r="D85" s="1">
        <v>965.85</v>
      </c>
      <c r="E85" s="1">
        <v>1901</v>
      </c>
      <c r="F85" s="1">
        <v>3460</v>
      </c>
      <c r="G85" s="1">
        <v>1431.6</v>
      </c>
      <c r="H85" s="1">
        <v>774.1</v>
      </c>
      <c r="I85" s="1">
        <v>1511.5</v>
      </c>
      <c r="J85" s="1">
        <v>2381.8000000000002</v>
      </c>
      <c r="K85" s="1">
        <v>879.75</v>
      </c>
      <c r="L85" s="1">
        <v>435.55</v>
      </c>
      <c r="M85" s="1">
        <v>3334</v>
      </c>
      <c r="N85" s="1">
        <v>12581</v>
      </c>
      <c r="O85" s="1">
        <v>3068.4</v>
      </c>
      <c r="P85" s="1">
        <v>2074</v>
      </c>
      <c r="Q85" s="1">
        <v>1579.1</v>
      </c>
      <c r="R85" s="1">
        <v>1819.1</v>
      </c>
      <c r="S85" s="1">
        <v>11693</v>
      </c>
      <c r="T85" s="1">
        <v>1161.4000000000001</v>
      </c>
      <c r="U85" s="1">
        <v>2035.8</v>
      </c>
      <c r="V85" s="1">
        <v>3299.3</v>
      </c>
      <c r="W85" s="1">
        <v>341.8</v>
      </c>
      <c r="X85" s="1">
        <v>232.64</v>
      </c>
      <c r="Y85" s="1">
        <v>1320.8</v>
      </c>
      <c r="Z85" s="1">
        <v>237</v>
      </c>
      <c r="AA85" s="1">
        <v>310.5</v>
      </c>
      <c r="AB85" s="1">
        <v>967.5</v>
      </c>
      <c r="AC85" s="1">
        <v>241.19</v>
      </c>
      <c r="AD85" s="1">
        <v>307.60000000000002</v>
      </c>
      <c r="AE85" s="1">
        <v>648.20000000000005</v>
      </c>
      <c r="AF85" s="1">
        <v>7945.5</v>
      </c>
      <c r="AG85" s="1">
        <v>2418</v>
      </c>
      <c r="AH85" s="1">
        <v>378.25</v>
      </c>
      <c r="AI85" s="1">
        <v>1178.25</v>
      </c>
      <c r="AJ85" s="1">
        <v>144.44</v>
      </c>
      <c r="AK85" s="1">
        <v>251.2</v>
      </c>
      <c r="AL85" s="1">
        <v>2728.7</v>
      </c>
      <c r="AM85" s="1">
        <v>5515</v>
      </c>
      <c r="AN85" s="1">
        <v>5224</v>
      </c>
      <c r="AO85" s="1">
        <v>1726</v>
      </c>
      <c r="AP85" s="1">
        <v>722.6</v>
      </c>
      <c r="AQ85" s="1">
        <v>630.04999999999995</v>
      </c>
      <c r="AR85" s="1">
        <v>1496.2</v>
      </c>
      <c r="AS85" s="1">
        <v>1511.4</v>
      </c>
      <c r="AT85" s="1">
        <v>7009</v>
      </c>
      <c r="AU85" s="1">
        <v>623.45000000000005</v>
      </c>
      <c r="AV85" s="1">
        <v>1155.3</v>
      </c>
      <c r="AW85" s="1">
        <v>1160.4000000000001</v>
      </c>
      <c r="AX85" s="1">
        <v>3872.6</v>
      </c>
      <c r="AY85" s="1">
        <v>831.8</v>
      </c>
      <c r="BH85" s="2"/>
    </row>
    <row r="86" spans="1:60" ht="14.25" customHeight="1" x14ac:dyDescent="0.3">
      <c r="A86" s="2">
        <v>45784</v>
      </c>
      <c r="B86" s="1">
        <v>24414.400000000001</v>
      </c>
      <c r="C86" s="1">
        <v>1406</v>
      </c>
      <c r="D86" s="1">
        <v>972.8</v>
      </c>
      <c r="E86" s="1">
        <v>1896.8</v>
      </c>
      <c r="F86" s="1">
        <v>3445.1</v>
      </c>
      <c r="G86" s="1">
        <v>1435.4</v>
      </c>
      <c r="H86" s="1">
        <v>776.1</v>
      </c>
      <c r="I86" s="1">
        <v>1508.3</v>
      </c>
      <c r="J86" s="1">
        <v>2370.8000000000002</v>
      </c>
      <c r="K86" s="1">
        <v>898.65</v>
      </c>
      <c r="L86" s="1">
        <v>431.15</v>
      </c>
      <c r="M86" s="1">
        <v>3321.4</v>
      </c>
      <c r="N86" s="1">
        <v>12633</v>
      </c>
      <c r="O86" s="1">
        <v>3119.9</v>
      </c>
      <c r="P86" s="1">
        <v>2094.9</v>
      </c>
      <c r="Q86" s="1">
        <v>1563.3</v>
      </c>
      <c r="R86" s="1">
        <v>1781.3</v>
      </c>
      <c r="S86" s="1">
        <v>11658</v>
      </c>
      <c r="T86" s="1">
        <v>1161.3</v>
      </c>
      <c r="U86" s="1">
        <v>2030.3</v>
      </c>
      <c r="V86" s="1">
        <v>3338.9</v>
      </c>
      <c r="W86" s="1">
        <v>342.05</v>
      </c>
      <c r="X86" s="1">
        <v>236.9</v>
      </c>
      <c r="Y86" s="1">
        <v>1338.2</v>
      </c>
      <c r="Z86" s="1">
        <v>238.67</v>
      </c>
      <c r="AA86" s="1">
        <v>309.95</v>
      </c>
      <c r="AB86" s="1">
        <v>966.1</v>
      </c>
      <c r="AC86" s="1">
        <v>244.04</v>
      </c>
      <c r="AD86" s="1">
        <v>311.10000000000002</v>
      </c>
      <c r="AE86" s="1">
        <v>680.3</v>
      </c>
      <c r="AF86" s="1">
        <v>7849</v>
      </c>
      <c r="AG86" s="1">
        <v>2334.1</v>
      </c>
      <c r="AH86" s="1">
        <v>383.3</v>
      </c>
      <c r="AI86" s="1">
        <v>1169.2</v>
      </c>
      <c r="AJ86" s="1">
        <v>146</v>
      </c>
      <c r="AK86" s="1">
        <v>256.10000000000002</v>
      </c>
      <c r="AL86" s="1">
        <v>2699.9</v>
      </c>
      <c r="AM86" s="1">
        <v>5489</v>
      </c>
      <c r="AN86" s="1">
        <v>5233</v>
      </c>
      <c r="AO86" s="1">
        <v>1744.5</v>
      </c>
      <c r="AP86" s="1">
        <v>723.9</v>
      </c>
      <c r="AQ86" s="1">
        <v>636.29999999999995</v>
      </c>
      <c r="AR86" s="1">
        <v>1495.2</v>
      </c>
      <c r="AS86" s="1">
        <v>1508.8</v>
      </c>
      <c r="AT86" s="1">
        <v>6983</v>
      </c>
      <c r="AU86" s="1">
        <v>636.65</v>
      </c>
      <c r="AV86" s="1">
        <v>1146</v>
      </c>
      <c r="AW86" s="1">
        <v>1160.7</v>
      </c>
      <c r="AX86" s="1">
        <v>3868</v>
      </c>
      <c r="AY86" s="1">
        <v>833.8</v>
      </c>
      <c r="BH86" s="2"/>
    </row>
    <row r="87" spans="1:60" ht="14.25" customHeight="1" x14ac:dyDescent="0.3">
      <c r="A87" s="2">
        <v>45785</v>
      </c>
      <c r="B87" s="1">
        <v>24273.8</v>
      </c>
      <c r="C87" s="1">
        <v>1407</v>
      </c>
      <c r="D87" s="1">
        <v>964.25</v>
      </c>
      <c r="E87" s="1">
        <v>1874.9</v>
      </c>
      <c r="F87" s="1">
        <v>3448.9</v>
      </c>
      <c r="G87" s="1">
        <v>1435.5</v>
      </c>
      <c r="H87" s="1">
        <v>769</v>
      </c>
      <c r="I87" s="1">
        <v>1511.4</v>
      </c>
      <c r="J87" s="1">
        <v>2354.9</v>
      </c>
      <c r="K87" s="1">
        <v>883.25</v>
      </c>
      <c r="L87" s="1">
        <v>430.6</v>
      </c>
      <c r="M87" s="1">
        <v>3323.9</v>
      </c>
      <c r="N87" s="1">
        <v>12392</v>
      </c>
      <c r="O87" s="1">
        <v>3033.1</v>
      </c>
      <c r="P87" s="1">
        <v>2112.6</v>
      </c>
      <c r="Q87" s="1">
        <v>1580.7</v>
      </c>
      <c r="R87" s="1">
        <v>1767.2</v>
      </c>
      <c r="S87" s="1">
        <v>11631</v>
      </c>
      <c r="T87" s="1">
        <v>1172.2</v>
      </c>
      <c r="U87" s="1">
        <v>2006</v>
      </c>
      <c r="V87" s="1">
        <v>3369.3</v>
      </c>
      <c r="W87" s="1">
        <v>340</v>
      </c>
      <c r="X87" s="1">
        <v>229.81</v>
      </c>
      <c r="Y87" s="1">
        <v>1333.1</v>
      </c>
      <c r="Z87" s="1">
        <v>233.22</v>
      </c>
      <c r="AA87" s="1">
        <v>307.14999999999998</v>
      </c>
      <c r="AB87" s="1">
        <v>953.2</v>
      </c>
      <c r="AC87" s="1">
        <v>241.57</v>
      </c>
      <c r="AD87" s="1">
        <v>308.25</v>
      </c>
      <c r="AE87" s="1">
        <v>682.85</v>
      </c>
      <c r="AF87" s="1">
        <v>7724.5</v>
      </c>
      <c r="AG87" s="1">
        <v>2302.6</v>
      </c>
      <c r="AH87" s="1">
        <v>385.45</v>
      </c>
      <c r="AI87" s="1">
        <v>1170.3499999999999</v>
      </c>
      <c r="AJ87" s="1">
        <v>143.66999999999999</v>
      </c>
      <c r="AK87" s="1">
        <v>251.45</v>
      </c>
      <c r="AL87" s="1">
        <v>2698.7</v>
      </c>
      <c r="AM87" s="1">
        <v>5372.5</v>
      </c>
      <c r="AN87" s="1">
        <v>5226.5</v>
      </c>
      <c r="AO87" s="1">
        <v>1731.5</v>
      </c>
      <c r="AP87" s="1">
        <v>722.95</v>
      </c>
      <c r="AQ87" s="1">
        <v>620.20000000000005</v>
      </c>
      <c r="AR87" s="1">
        <v>1502.8</v>
      </c>
      <c r="AS87" s="1">
        <v>1486.8</v>
      </c>
      <c r="AT87" s="1">
        <v>6851.5</v>
      </c>
      <c r="AU87" s="1">
        <v>615.79999999999995</v>
      </c>
      <c r="AV87" s="1">
        <v>1116</v>
      </c>
      <c r="AW87" s="1">
        <v>1148</v>
      </c>
      <c r="AX87" s="1">
        <v>3800.5</v>
      </c>
      <c r="AY87" s="1">
        <v>826.8</v>
      </c>
      <c r="BH87" s="2"/>
    </row>
    <row r="88" spans="1:60" ht="14.25" customHeight="1" x14ac:dyDescent="0.3">
      <c r="A88" s="2">
        <v>45786</v>
      </c>
      <c r="B88" s="1">
        <v>24008</v>
      </c>
      <c r="C88" s="1">
        <v>1377.2</v>
      </c>
      <c r="D88" s="1">
        <v>944.85</v>
      </c>
      <c r="E88" s="1">
        <v>1848.4</v>
      </c>
      <c r="F88" s="1">
        <v>3440.3</v>
      </c>
      <c r="G88" s="1">
        <v>1388.9</v>
      </c>
      <c r="H88" s="1">
        <v>779.25</v>
      </c>
      <c r="I88" s="1">
        <v>1507.6</v>
      </c>
      <c r="J88" s="1">
        <v>2332.9</v>
      </c>
      <c r="K88" s="1">
        <v>864.1</v>
      </c>
      <c r="L88" s="1">
        <v>423.55</v>
      </c>
      <c r="M88" s="1">
        <v>3443.9</v>
      </c>
      <c r="N88" s="1">
        <v>12250</v>
      </c>
      <c r="O88" s="1">
        <v>2982.1</v>
      </c>
      <c r="P88" s="1">
        <v>2103.1</v>
      </c>
      <c r="Q88" s="1">
        <v>1569.4</v>
      </c>
      <c r="R88" s="1">
        <v>1744.8</v>
      </c>
      <c r="S88" s="1">
        <v>11364</v>
      </c>
      <c r="T88" s="1">
        <v>1151.0999999999999</v>
      </c>
      <c r="U88" s="1">
        <v>1970</v>
      </c>
      <c r="V88" s="1">
        <v>3510.3</v>
      </c>
      <c r="W88" s="1">
        <v>334.75</v>
      </c>
      <c r="X88" s="1">
        <v>227.14</v>
      </c>
      <c r="Y88" s="1">
        <v>1306.3</v>
      </c>
      <c r="Z88" s="1">
        <v>234.96</v>
      </c>
      <c r="AA88" s="1">
        <v>315.85000000000002</v>
      </c>
      <c r="AB88" s="1">
        <v>957</v>
      </c>
      <c r="AC88" s="1">
        <v>242.01</v>
      </c>
      <c r="AD88" s="1">
        <v>299.3</v>
      </c>
      <c r="AE88" s="1">
        <v>708.5</v>
      </c>
      <c r="AF88" s="1">
        <v>7682.5</v>
      </c>
      <c r="AG88" s="1">
        <v>2299.6</v>
      </c>
      <c r="AH88" s="1">
        <v>382.4</v>
      </c>
      <c r="AI88" s="1">
        <v>1162.7</v>
      </c>
      <c r="AJ88" s="1">
        <v>142.78</v>
      </c>
      <c r="AK88" s="1">
        <v>248.35</v>
      </c>
      <c r="AL88" s="1">
        <v>2634.8</v>
      </c>
      <c r="AM88" s="1">
        <v>5324</v>
      </c>
      <c r="AN88" s="1">
        <v>5113</v>
      </c>
      <c r="AO88" s="1">
        <v>1699.8</v>
      </c>
      <c r="AP88" s="1">
        <v>713.6</v>
      </c>
      <c r="AQ88" s="1">
        <v>627.15</v>
      </c>
      <c r="AR88" s="1">
        <v>1493.7</v>
      </c>
      <c r="AS88" s="1">
        <v>1480</v>
      </c>
      <c r="AT88" s="1">
        <v>6722</v>
      </c>
      <c r="AU88" s="1">
        <v>601.45000000000005</v>
      </c>
      <c r="AV88" s="1">
        <v>1113.7</v>
      </c>
      <c r="AW88" s="1">
        <v>1155.9000000000001</v>
      </c>
      <c r="AX88" s="1">
        <v>3853.9</v>
      </c>
      <c r="AY88" s="1">
        <v>818.2</v>
      </c>
      <c r="BH88" s="2"/>
    </row>
    <row r="89" spans="1:60" ht="14.25" customHeight="1" x14ac:dyDescent="0.3">
      <c r="A89" s="2">
        <v>45789</v>
      </c>
      <c r="B89" s="1">
        <v>24924.7</v>
      </c>
      <c r="C89" s="1">
        <v>1436.5</v>
      </c>
      <c r="D89" s="1">
        <v>978.6</v>
      </c>
      <c r="E89" s="1">
        <v>1870.8</v>
      </c>
      <c r="F89" s="1">
        <v>3620.4</v>
      </c>
      <c r="G89" s="1">
        <v>1448.5</v>
      </c>
      <c r="H89" s="1">
        <v>801.65</v>
      </c>
      <c r="I89" s="1">
        <v>1626.9</v>
      </c>
      <c r="J89" s="1">
        <v>2382.5</v>
      </c>
      <c r="K89" s="1">
        <v>901.85</v>
      </c>
      <c r="L89" s="1">
        <v>435.5</v>
      </c>
      <c r="M89" s="1">
        <v>3587.2</v>
      </c>
      <c r="N89" s="1">
        <v>12616</v>
      </c>
      <c r="O89" s="1">
        <v>3104.7</v>
      </c>
      <c r="P89" s="1">
        <v>2145</v>
      </c>
      <c r="Q89" s="1">
        <v>1670.3</v>
      </c>
      <c r="R89" s="1">
        <v>1686.2</v>
      </c>
      <c r="S89" s="1">
        <v>11736</v>
      </c>
      <c r="T89" s="1">
        <v>1203</v>
      </c>
      <c r="U89" s="1">
        <v>2050.4</v>
      </c>
      <c r="V89" s="1">
        <v>3562.9</v>
      </c>
      <c r="W89" s="1">
        <v>348.55</v>
      </c>
      <c r="X89" s="1">
        <v>239.5</v>
      </c>
      <c r="Y89" s="1">
        <v>1362.1</v>
      </c>
      <c r="Z89" s="1">
        <v>244.02</v>
      </c>
      <c r="AA89" s="1">
        <v>322.8</v>
      </c>
      <c r="AB89" s="1">
        <v>1005.2</v>
      </c>
      <c r="AC89" s="1">
        <v>257.27999999999997</v>
      </c>
      <c r="AD89" s="1">
        <v>309.05</v>
      </c>
      <c r="AE89" s="1">
        <v>720.8</v>
      </c>
      <c r="AF89" s="1">
        <v>8039.5</v>
      </c>
      <c r="AG89" s="1">
        <v>2356.4</v>
      </c>
      <c r="AH89" s="1">
        <v>395.5</v>
      </c>
      <c r="AI89" s="1">
        <v>1191.9000000000001</v>
      </c>
      <c r="AJ89" s="1">
        <v>151.63</v>
      </c>
      <c r="AK89" s="1">
        <v>262.89999999999998</v>
      </c>
      <c r="AL89" s="1">
        <v>2742.8</v>
      </c>
      <c r="AM89" s="1">
        <v>5520</v>
      </c>
      <c r="AN89" s="1">
        <v>5441</v>
      </c>
      <c r="AO89" s="1">
        <v>1751.5</v>
      </c>
      <c r="AP89" s="1">
        <v>734.6</v>
      </c>
      <c r="AQ89" s="1">
        <v>651.95000000000005</v>
      </c>
      <c r="AR89" s="1">
        <v>1573.1</v>
      </c>
      <c r="AS89" s="1">
        <v>1511.6</v>
      </c>
      <c r="AT89" s="1">
        <v>6926</v>
      </c>
      <c r="AU89" s="1">
        <v>645.95000000000005</v>
      </c>
      <c r="AV89" s="1">
        <v>1145.5999999999999</v>
      </c>
      <c r="AW89" s="1">
        <v>1195.5999999999999</v>
      </c>
      <c r="AX89" s="1">
        <v>3984.9</v>
      </c>
      <c r="AY89" s="1">
        <v>788.5</v>
      </c>
      <c r="BH89" s="2"/>
    </row>
    <row r="90" spans="1:60" ht="14.25" customHeight="1" x14ac:dyDescent="0.3">
      <c r="A90" s="2">
        <v>45790</v>
      </c>
      <c r="B90" s="1">
        <v>24578.35</v>
      </c>
      <c r="C90" s="1">
        <v>1415.7</v>
      </c>
      <c r="D90" s="1">
        <v>961.3</v>
      </c>
      <c r="E90" s="1">
        <v>1820.6</v>
      </c>
      <c r="F90" s="1">
        <v>3515</v>
      </c>
      <c r="G90" s="1">
        <v>1430.6</v>
      </c>
      <c r="H90" s="1">
        <v>801.75</v>
      </c>
      <c r="I90" s="1">
        <v>1568.6</v>
      </c>
      <c r="J90" s="1">
        <v>2360</v>
      </c>
      <c r="K90" s="1">
        <v>904.2</v>
      </c>
      <c r="L90" s="1">
        <v>427.9</v>
      </c>
      <c r="M90" s="1">
        <v>3567</v>
      </c>
      <c r="N90" s="1">
        <v>12482</v>
      </c>
      <c r="O90" s="1">
        <v>3053.8</v>
      </c>
      <c r="P90" s="1">
        <v>2115.6</v>
      </c>
      <c r="Q90" s="1">
        <v>1619.6</v>
      </c>
      <c r="R90" s="1">
        <v>1700</v>
      </c>
      <c r="S90" s="1">
        <v>11661</v>
      </c>
      <c r="T90" s="1">
        <v>1193.5999999999999</v>
      </c>
      <c r="U90" s="1">
        <v>2018.2</v>
      </c>
      <c r="V90" s="1">
        <v>3563.2</v>
      </c>
      <c r="W90" s="1">
        <v>341.5</v>
      </c>
      <c r="X90" s="1">
        <v>231.65</v>
      </c>
      <c r="Y90" s="1">
        <v>1369.2</v>
      </c>
      <c r="Z90" s="1">
        <v>241.16</v>
      </c>
      <c r="AA90" s="1">
        <v>335.75</v>
      </c>
      <c r="AB90" s="1">
        <v>989.9</v>
      </c>
      <c r="AC90" s="1">
        <v>251.57</v>
      </c>
      <c r="AD90" s="1">
        <v>298.45</v>
      </c>
      <c r="AE90" s="1">
        <v>707.7</v>
      </c>
      <c r="AF90" s="1">
        <v>8063</v>
      </c>
      <c r="AG90" s="1">
        <v>2324.6</v>
      </c>
      <c r="AH90" s="1">
        <v>395.15</v>
      </c>
      <c r="AI90" s="1">
        <v>1185.0999999999999</v>
      </c>
      <c r="AJ90" s="1">
        <v>149.43</v>
      </c>
      <c r="AK90" s="1">
        <v>267.39999999999998</v>
      </c>
      <c r="AL90" s="1">
        <v>2708.7</v>
      </c>
      <c r="AM90" s="1">
        <v>5419</v>
      </c>
      <c r="AN90" s="1">
        <v>5326.5</v>
      </c>
      <c r="AO90" s="1">
        <v>1740</v>
      </c>
      <c r="AP90" s="1">
        <v>735.05</v>
      </c>
      <c r="AQ90" s="1">
        <v>634.75</v>
      </c>
      <c r="AR90" s="1">
        <v>1572.5</v>
      </c>
      <c r="AS90" s="1">
        <v>1520.1</v>
      </c>
      <c r="AT90" s="1">
        <v>6917.5</v>
      </c>
      <c r="AU90" s="1">
        <v>633.6</v>
      </c>
      <c r="AV90" s="1">
        <v>1118.5999999999999</v>
      </c>
      <c r="AW90" s="1">
        <v>1207.0999999999999</v>
      </c>
      <c r="AX90" s="1">
        <v>4063.6</v>
      </c>
      <c r="AY90" s="1">
        <v>770.1</v>
      </c>
      <c r="BH90" s="2"/>
    </row>
    <row r="91" spans="1:60" ht="14.25" customHeight="1" x14ac:dyDescent="0.3">
      <c r="A91" s="2">
        <v>45791</v>
      </c>
      <c r="B91" s="1">
        <v>24666.9</v>
      </c>
      <c r="C91" s="1">
        <v>1424.4</v>
      </c>
      <c r="D91" s="1">
        <v>955.3</v>
      </c>
      <c r="E91" s="1">
        <v>1834.2</v>
      </c>
      <c r="F91" s="1">
        <v>3548.7</v>
      </c>
      <c r="G91" s="1">
        <v>1426.2</v>
      </c>
      <c r="H91" s="1">
        <v>800.7</v>
      </c>
      <c r="I91" s="1">
        <v>1592.4</v>
      </c>
      <c r="J91" s="1">
        <v>2350.5</v>
      </c>
      <c r="K91" s="1">
        <v>908.1</v>
      </c>
      <c r="L91" s="1">
        <v>429.1</v>
      </c>
      <c r="M91" s="1">
        <v>3573.1</v>
      </c>
      <c r="N91" s="1">
        <v>12670</v>
      </c>
      <c r="O91" s="1">
        <v>3101.8</v>
      </c>
      <c r="P91" s="1">
        <v>2092.4</v>
      </c>
      <c r="Q91" s="1">
        <v>1637.7</v>
      </c>
      <c r="R91" s="1">
        <v>1708.2</v>
      </c>
      <c r="S91" s="1">
        <v>11672</v>
      </c>
      <c r="T91" s="1">
        <v>1195.5</v>
      </c>
      <c r="U91" s="1">
        <v>2020.4</v>
      </c>
      <c r="V91" s="1">
        <v>3587.6</v>
      </c>
      <c r="W91" s="1">
        <v>338.55</v>
      </c>
      <c r="X91" s="1">
        <v>236.86</v>
      </c>
      <c r="Y91" s="1">
        <v>1371.8</v>
      </c>
      <c r="Z91" s="1">
        <v>246.01</v>
      </c>
      <c r="AA91" s="1">
        <v>344.35</v>
      </c>
      <c r="AB91" s="1">
        <v>989.3</v>
      </c>
      <c r="AC91" s="1">
        <v>252.94</v>
      </c>
      <c r="AD91" s="1">
        <v>295.95</v>
      </c>
      <c r="AE91" s="1">
        <v>698.95</v>
      </c>
      <c r="AF91" s="1">
        <v>8102.5</v>
      </c>
      <c r="AG91" s="1">
        <v>2282.3000000000002</v>
      </c>
      <c r="AH91" s="1">
        <v>403.1</v>
      </c>
      <c r="AI91" s="1">
        <v>1185.2</v>
      </c>
      <c r="AJ91" s="1">
        <v>155.31</v>
      </c>
      <c r="AK91" s="1">
        <v>267.5</v>
      </c>
      <c r="AL91" s="1">
        <v>2737.2</v>
      </c>
      <c r="AM91" s="1">
        <v>5446.5</v>
      </c>
      <c r="AN91" s="1">
        <v>5362</v>
      </c>
      <c r="AO91" s="1">
        <v>1755.2</v>
      </c>
      <c r="AP91" s="1">
        <v>741.7</v>
      </c>
      <c r="AQ91" s="1">
        <v>650.54999999999995</v>
      </c>
      <c r="AR91" s="1">
        <v>1603.2</v>
      </c>
      <c r="AS91" s="1">
        <v>1494.8</v>
      </c>
      <c r="AT91" s="1">
        <v>6916.5</v>
      </c>
      <c r="AU91" s="1">
        <v>651.95000000000005</v>
      </c>
      <c r="AV91" s="1">
        <v>1120.4000000000001</v>
      </c>
      <c r="AW91" s="1">
        <v>1220</v>
      </c>
      <c r="AX91" s="1">
        <v>4067.2</v>
      </c>
      <c r="AY91" s="1">
        <v>781.35</v>
      </c>
      <c r="BH91" s="2"/>
    </row>
    <row r="92" spans="1:60" ht="14.25" customHeight="1" x14ac:dyDescent="0.3">
      <c r="A92" s="2">
        <v>45792</v>
      </c>
      <c r="B92" s="1">
        <v>25062.1</v>
      </c>
      <c r="C92" s="1">
        <v>1454.2</v>
      </c>
      <c r="D92" s="1">
        <v>966.9</v>
      </c>
      <c r="E92" s="1">
        <v>1867.2</v>
      </c>
      <c r="F92" s="1">
        <v>3579.9</v>
      </c>
      <c r="G92" s="1">
        <v>1450.8</v>
      </c>
      <c r="H92" s="1">
        <v>807.75</v>
      </c>
      <c r="I92" s="1">
        <v>1613</v>
      </c>
      <c r="J92" s="1">
        <v>2355.1999999999998</v>
      </c>
      <c r="K92" s="1">
        <v>918.85</v>
      </c>
      <c r="L92" s="1">
        <v>432.65</v>
      </c>
      <c r="M92" s="1">
        <v>3618.2</v>
      </c>
      <c r="N92" s="1">
        <v>12952</v>
      </c>
      <c r="O92" s="1">
        <v>3144.3</v>
      </c>
      <c r="P92" s="1">
        <v>2106.4</v>
      </c>
      <c r="Q92" s="1">
        <v>1696</v>
      </c>
      <c r="R92" s="1">
        <v>1740.1</v>
      </c>
      <c r="S92" s="1">
        <v>11894</v>
      </c>
      <c r="T92" s="1">
        <v>1209.0999999999999</v>
      </c>
      <c r="U92" s="1">
        <v>2041.9</v>
      </c>
      <c r="V92" s="1">
        <v>3636.8</v>
      </c>
      <c r="W92" s="1">
        <v>341.95</v>
      </c>
      <c r="X92" s="1">
        <v>242.59</v>
      </c>
      <c r="Y92" s="1">
        <v>1406.2</v>
      </c>
      <c r="Z92" s="1">
        <v>247.61</v>
      </c>
      <c r="AA92" s="1">
        <v>350.4</v>
      </c>
      <c r="AB92" s="1">
        <v>1038.3</v>
      </c>
      <c r="AC92" s="1">
        <v>256.57</v>
      </c>
      <c r="AD92" s="1">
        <v>299.64999999999998</v>
      </c>
      <c r="AE92" s="1">
        <v>728.1</v>
      </c>
      <c r="AF92" s="1">
        <v>8326</v>
      </c>
      <c r="AG92" s="1">
        <v>2329.9</v>
      </c>
      <c r="AH92" s="1">
        <v>404.65</v>
      </c>
      <c r="AI92" s="1">
        <v>1199.05</v>
      </c>
      <c r="AJ92" s="1">
        <v>157.35</v>
      </c>
      <c r="AK92" s="1">
        <v>273.7</v>
      </c>
      <c r="AL92" s="1">
        <v>2824.8</v>
      </c>
      <c r="AM92" s="1">
        <v>5466</v>
      </c>
      <c r="AN92" s="1">
        <v>5577.5</v>
      </c>
      <c r="AO92" s="1">
        <v>1784.6</v>
      </c>
      <c r="AP92" s="1">
        <v>751.2</v>
      </c>
      <c r="AQ92" s="1">
        <v>661.35</v>
      </c>
      <c r="AR92" s="1">
        <v>1629.1</v>
      </c>
      <c r="AS92" s="1">
        <v>1502.2</v>
      </c>
      <c r="AT92" s="1">
        <v>7072.5</v>
      </c>
      <c r="AU92" s="1">
        <v>674.8</v>
      </c>
      <c r="AV92" s="1">
        <v>1147.2</v>
      </c>
      <c r="AW92" s="1">
        <v>1236.3</v>
      </c>
      <c r="AX92" s="1">
        <v>4325</v>
      </c>
      <c r="AY92" s="1">
        <v>780.5</v>
      </c>
      <c r="BH92" s="2"/>
    </row>
    <row r="93" spans="1:60" ht="14.25" customHeight="1" x14ac:dyDescent="0.3">
      <c r="A93" s="2">
        <v>45793</v>
      </c>
      <c r="B93" s="1">
        <v>25019.8</v>
      </c>
      <c r="C93" s="1">
        <v>1456.4</v>
      </c>
      <c r="D93" s="1">
        <v>967.35</v>
      </c>
      <c r="E93" s="1">
        <v>1814</v>
      </c>
      <c r="F93" s="1">
        <v>3561.3</v>
      </c>
      <c r="G93" s="1">
        <v>1454</v>
      </c>
      <c r="H93" s="1">
        <v>792.1</v>
      </c>
      <c r="I93" s="1">
        <v>1589.9</v>
      </c>
      <c r="J93" s="1">
        <v>2381.4</v>
      </c>
      <c r="K93" s="1">
        <v>916.7</v>
      </c>
      <c r="L93" s="1">
        <v>435.7</v>
      </c>
      <c r="M93" s="1">
        <v>3604.7</v>
      </c>
      <c r="N93" s="1">
        <v>12995</v>
      </c>
      <c r="O93" s="1">
        <v>3135.6</v>
      </c>
      <c r="P93" s="1">
        <v>2108.1999999999998</v>
      </c>
      <c r="Q93" s="1">
        <v>1659.9</v>
      </c>
      <c r="R93" s="1">
        <v>1734.9</v>
      </c>
      <c r="S93" s="1">
        <v>11905</v>
      </c>
      <c r="T93" s="1">
        <v>1208.8</v>
      </c>
      <c r="U93" s="1">
        <v>2033.6</v>
      </c>
      <c r="V93" s="1">
        <v>3633.7</v>
      </c>
      <c r="W93" s="1">
        <v>343.1</v>
      </c>
      <c r="X93" s="1">
        <v>245.76</v>
      </c>
      <c r="Y93" s="1">
        <v>1407.4</v>
      </c>
      <c r="Z93" s="1">
        <v>247.27</v>
      </c>
      <c r="AA93" s="1">
        <v>363.9</v>
      </c>
      <c r="AB93" s="1">
        <v>1021.8</v>
      </c>
      <c r="AC93" s="1">
        <v>254.31</v>
      </c>
      <c r="AD93" s="1">
        <v>300.2</v>
      </c>
      <c r="AE93" s="1">
        <v>730.7</v>
      </c>
      <c r="AF93" s="1">
        <v>8482.5</v>
      </c>
      <c r="AG93" s="1">
        <v>2353.6</v>
      </c>
      <c r="AH93" s="1">
        <v>404.8</v>
      </c>
      <c r="AI93" s="1">
        <v>1204.4000000000001</v>
      </c>
      <c r="AJ93" s="1">
        <v>157.55000000000001</v>
      </c>
      <c r="AK93" s="1">
        <v>277</v>
      </c>
      <c r="AL93" s="1">
        <v>2804.2</v>
      </c>
      <c r="AM93" s="1">
        <v>5509.5</v>
      </c>
      <c r="AN93" s="1">
        <v>5583</v>
      </c>
      <c r="AO93" s="1">
        <v>1773.4</v>
      </c>
      <c r="AP93" s="1">
        <v>750.55</v>
      </c>
      <c r="AQ93" s="1">
        <v>657.55</v>
      </c>
      <c r="AR93" s="1">
        <v>1617</v>
      </c>
      <c r="AS93" s="1">
        <v>1499.9</v>
      </c>
      <c r="AT93" s="1">
        <v>7015</v>
      </c>
      <c r="AU93" s="1">
        <v>665.5</v>
      </c>
      <c r="AV93" s="1">
        <v>1168</v>
      </c>
      <c r="AW93" s="1">
        <v>1230.7</v>
      </c>
      <c r="AX93" s="1">
        <v>4345.3</v>
      </c>
      <c r="AY93" s="1">
        <v>780.2</v>
      </c>
      <c r="BH93" s="2"/>
    </row>
    <row r="94" spans="1:60" ht="14.25" customHeight="1" x14ac:dyDescent="0.3">
      <c r="A94" s="2">
        <v>45796</v>
      </c>
      <c r="B94" s="1">
        <v>24945.45</v>
      </c>
      <c r="C94" s="1">
        <v>1440.8</v>
      </c>
      <c r="D94" s="1">
        <v>969.35</v>
      </c>
      <c r="E94" s="1">
        <v>1818.3</v>
      </c>
      <c r="F94" s="1">
        <v>3518.8</v>
      </c>
      <c r="G94" s="1">
        <v>1449</v>
      </c>
      <c r="H94" s="1">
        <v>795</v>
      </c>
      <c r="I94" s="1">
        <v>1559.8</v>
      </c>
      <c r="J94" s="1">
        <v>2382.6999999999998</v>
      </c>
      <c r="K94" s="1">
        <v>925.55</v>
      </c>
      <c r="L94" s="1">
        <v>435.35</v>
      </c>
      <c r="M94" s="1">
        <v>3600.2</v>
      </c>
      <c r="N94" s="1">
        <v>12989</v>
      </c>
      <c r="O94" s="1">
        <v>3128</v>
      </c>
      <c r="P94" s="1">
        <v>2111.1999999999998</v>
      </c>
      <c r="Q94" s="1">
        <v>1649.6</v>
      </c>
      <c r="R94" s="1">
        <v>1730.2</v>
      </c>
      <c r="S94" s="1">
        <v>11929</v>
      </c>
      <c r="T94" s="1">
        <v>1202.8</v>
      </c>
      <c r="U94" s="1">
        <v>2038.3</v>
      </c>
      <c r="V94" s="1">
        <v>3617.7</v>
      </c>
      <c r="W94" s="1">
        <v>345.15</v>
      </c>
      <c r="X94" s="1">
        <v>238.03</v>
      </c>
      <c r="Y94" s="1">
        <v>1398.3</v>
      </c>
      <c r="Z94" s="1">
        <v>246.58</v>
      </c>
      <c r="AA94" s="1">
        <v>363.75</v>
      </c>
      <c r="AB94" s="1">
        <v>1019.6</v>
      </c>
      <c r="AC94" s="1">
        <v>251.75</v>
      </c>
      <c r="AD94" s="1">
        <v>304.05</v>
      </c>
      <c r="AE94" s="1">
        <v>729.5</v>
      </c>
      <c r="AF94" s="1">
        <v>8851</v>
      </c>
      <c r="AG94" s="1">
        <v>2331.4</v>
      </c>
      <c r="AH94" s="1">
        <v>402.7</v>
      </c>
      <c r="AI94" s="1">
        <v>1203.9000000000001</v>
      </c>
      <c r="AJ94" s="1">
        <v>157.57</v>
      </c>
      <c r="AK94" s="1">
        <v>277.05</v>
      </c>
      <c r="AL94" s="1">
        <v>2727</v>
      </c>
      <c r="AM94" s="1">
        <v>5530</v>
      </c>
      <c r="AN94" s="1">
        <v>5551</v>
      </c>
      <c r="AO94" s="1">
        <v>1770</v>
      </c>
      <c r="AP94" s="1">
        <v>750.95</v>
      </c>
      <c r="AQ94" s="1">
        <v>658.35</v>
      </c>
      <c r="AR94" s="1">
        <v>1597.8</v>
      </c>
      <c r="AS94" s="1">
        <v>1491.6</v>
      </c>
      <c r="AT94" s="1">
        <v>6974.5</v>
      </c>
      <c r="AU94" s="1">
        <v>677.8</v>
      </c>
      <c r="AV94" s="1">
        <v>1149.3</v>
      </c>
      <c r="AW94" s="1">
        <v>1219</v>
      </c>
      <c r="AX94" s="1">
        <v>4387.7</v>
      </c>
      <c r="AY94" s="1">
        <v>784.05</v>
      </c>
      <c r="BH94" s="2"/>
    </row>
    <row r="95" spans="1:60" ht="14.25" customHeight="1" x14ac:dyDescent="0.3">
      <c r="A95" s="2">
        <v>45797</v>
      </c>
      <c r="B95" s="1">
        <v>24683.9</v>
      </c>
      <c r="C95" s="1">
        <v>1424.6</v>
      </c>
      <c r="D95" s="1">
        <v>957.45</v>
      </c>
      <c r="E95" s="1">
        <v>1808.9</v>
      </c>
      <c r="F95" s="1">
        <v>3498.3</v>
      </c>
      <c r="G95" s="1">
        <v>1438.2</v>
      </c>
      <c r="H95" s="1">
        <v>785.65</v>
      </c>
      <c r="I95" s="1">
        <v>1560.6</v>
      </c>
      <c r="J95" s="1">
        <v>2341.1</v>
      </c>
      <c r="K95" s="1">
        <v>907.9</v>
      </c>
      <c r="L95" s="1">
        <v>434.9</v>
      </c>
      <c r="M95" s="1">
        <v>3567.8</v>
      </c>
      <c r="N95" s="1">
        <v>12638</v>
      </c>
      <c r="O95" s="1">
        <v>3063.5</v>
      </c>
      <c r="P95" s="1">
        <v>2090.1</v>
      </c>
      <c r="Q95" s="1">
        <v>1638.3</v>
      </c>
      <c r="R95" s="1">
        <v>1707.8</v>
      </c>
      <c r="S95" s="1">
        <v>11697</v>
      </c>
      <c r="T95" s="1">
        <v>1195.8</v>
      </c>
      <c r="U95" s="1">
        <v>2005.1</v>
      </c>
      <c r="V95" s="1">
        <v>3580.6</v>
      </c>
      <c r="W95" s="1">
        <v>342.6</v>
      </c>
      <c r="X95" s="1">
        <v>228.28</v>
      </c>
      <c r="Y95" s="1">
        <v>1384.6</v>
      </c>
      <c r="Z95" s="1">
        <v>249.26</v>
      </c>
      <c r="AA95" s="1">
        <v>363.8</v>
      </c>
      <c r="AB95" s="1">
        <v>1012.7</v>
      </c>
      <c r="AC95" s="1">
        <v>249.71</v>
      </c>
      <c r="AD95" s="1">
        <v>297.89999999999998</v>
      </c>
      <c r="AE95" s="1">
        <v>718.9</v>
      </c>
      <c r="AF95" s="1">
        <v>8565</v>
      </c>
      <c r="AG95" s="1">
        <v>2295.6</v>
      </c>
      <c r="AH95" s="1">
        <v>408.1</v>
      </c>
      <c r="AI95" s="1">
        <v>1179.25</v>
      </c>
      <c r="AJ95" s="1">
        <v>158.69</v>
      </c>
      <c r="AK95" s="1">
        <v>271.45</v>
      </c>
      <c r="AL95" s="1">
        <v>2720.8</v>
      </c>
      <c r="AM95" s="1">
        <v>5387.5</v>
      </c>
      <c r="AN95" s="1">
        <v>5449.5</v>
      </c>
      <c r="AO95" s="1">
        <v>1757.8</v>
      </c>
      <c r="AP95" s="1">
        <v>747.05</v>
      </c>
      <c r="AQ95" s="1">
        <v>662.75</v>
      </c>
      <c r="AR95" s="1">
        <v>1576</v>
      </c>
      <c r="AS95" s="1">
        <v>1454.4</v>
      </c>
      <c r="AT95" s="1">
        <v>6912</v>
      </c>
      <c r="AU95" s="1">
        <v>658.35</v>
      </c>
      <c r="AV95" s="1">
        <v>1128.5</v>
      </c>
      <c r="AW95" s="1">
        <v>1224.2</v>
      </c>
      <c r="AX95" s="1">
        <v>4241.6000000000004</v>
      </c>
      <c r="AY95" s="1">
        <v>782.25</v>
      </c>
      <c r="BH95" s="2"/>
    </row>
    <row r="96" spans="1:60" ht="14.25" customHeight="1" x14ac:dyDescent="0.3">
      <c r="A96" s="2">
        <v>45798</v>
      </c>
      <c r="B96" s="1">
        <v>24813.45</v>
      </c>
      <c r="C96" s="1">
        <v>1429.2</v>
      </c>
      <c r="D96" s="1">
        <v>963.4</v>
      </c>
      <c r="E96" s="1">
        <v>1822.5</v>
      </c>
      <c r="F96" s="1">
        <v>3525.8</v>
      </c>
      <c r="G96" s="1">
        <v>1444.7</v>
      </c>
      <c r="H96" s="1">
        <v>787.1</v>
      </c>
      <c r="I96" s="1">
        <v>1568.5</v>
      </c>
      <c r="J96" s="1">
        <v>2363.9</v>
      </c>
      <c r="K96" s="1">
        <v>919.75</v>
      </c>
      <c r="L96" s="1">
        <v>433</v>
      </c>
      <c r="M96" s="1">
        <v>3589</v>
      </c>
      <c r="N96" s="1">
        <v>12615</v>
      </c>
      <c r="O96" s="1">
        <v>3090.7</v>
      </c>
      <c r="P96" s="1">
        <v>2071.3000000000002</v>
      </c>
      <c r="Q96" s="1">
        <v>1652</v>
      </c>
      <c r="R96" s="1">
        <v>1731.8</v>
      </c>
      <c r="S96" s="1">
        <v>11666</v>
      </c>
      <c r="T96" s="1">
        <v>1197.8</v>
      </c>
      <c r="U96" s="1">
        <v>2037.3</v>
      </c>
      <c r="V96" s="1">
        <v>3580.5</v>
      </c>
      <c r="W96" s="1">
        <v>346.15</v>
      </c>
      <c r="X96" s="1">
        <v>229.97</v>
      </c>
      <c r="Y96" s="1">
        <v>1384.6</v>
      </c>
      <c r="Z96" s="1">
        <v>248.68</v>
      </c>
      <c r="AA96" s="1">
        <v>383</v>
      </c>
      <c r="AB96" s="1">
        <v>1000.9</v>
      </c>
      <c r="AC96" s="1">
        <v>250.92</v>
      </c>
      <c r="AD96" s="1">
        <v>296.14999999999998</v>
      </c>
      <c r="AE96" s="1">
        <v>726.8</v>
      </c>
      <c r="AF96" s="1">
        <v>8687.5</v>
      </c>
      <c r="AG96" s="1">
        <v>2312.4</v>
      </c>
      <c r="AH96" s="1">
        <v>405.35</v>
      </c>
      <c r="AI96" s="1">
        <v>1196.3</v>
      </c>
      <c r="AJ96" s="1">
        <v>161.63999999999999</v>
      </c>
      <c r="AK96" s="1">
        <v>274.35000000000002</v>
      </c>
      <c r="AL96" s="1">
        <v>2706.9</v>
      </c>
      <c r="AM96" s="1">
        <v>5409</v>
      </c>
      <c r="AN96" s="1">
        <v>5443.5</v>
      </c>
      <c r="AO96" s="1">
        <v>1763.9</v>
      </c>
      <c r="AP96" s="1">
        <v>759.7</v>
      </c>
      <c r="AQ96" s="1">
        <v>663</v>
      </c>
      <c r="AR96" s="1">
        <v>1598.2</v>
      </c>
      <c r="AS96" s="1">
        <v>1482.4</v>
      </c>
      <c r="AT96" s="1">
        <v>6984</v>
      </c>
      <c r="AU96" s="1">
        <v>658</v>
      </c>
      <c r="AV96" s="1">
        <v>1138.8</v>
      </c>
      <c r="AW96" s="1">
        <v>1224.7</v>
      </c>
      <c r="AX96" s="1">
        <v>4263.8</v>
      </c>
      <c r="AY96" s="1">
        <v>769.95</v>
      </c>
      <c r="BH96" s="2"/>
    </row>
    <row r="97" spans="1:60" ht="14.25" customHeight="1" x14ac:dyDescent="0.3">
      <c r="A97" s="2">
        <v>45799</v>
      </c>
      <c r="B97" s="1">
        <v>24609.7</v>
      </c>
      <c r="C97" s="1">
        <v>1409.4</v>
      </c>
      <c r="D97" s="1">
        <v>959.95</v>
      </c>
      <c r="E97" s="1">
        <v>1831.4</v>
      </c>
      <c r="F97" s="1">
        <v>3477</v>
      </c>
      <c r="G97" s="1">
        <v>1442.1</v>
      </c>
      <c r="H97" s="1">
        <v>785.25</v>
      </c>
      <c r="I97" s="1">
        <v>1547.5</v>
      </c>
      <c r="J97" s="1">
        <v>2330.6999999999998</v>
      </c>
      <c r="K97" s="1">
        <v>913.9</v>
      </c>
      <c r="L97" s="1">
        <v>426.1</v>
      </c>
      <c r="M97" s="1">
        <v>3551.4</v>
      </c>
      <c r="N97" s="1">
        <v>12445</v>
      </c>
      <c r="O97" s="1">
        <v>3006.3</v>
      </c>
      <c r="P97" s="1">
        <v>2065.8000000000002</v>
      </c>
      <c r="Q97" s="1">
        <v>1633</v>
      </c>
      <c r="R97" s="1">
        <v>1718.7</v>
      </c>
      <c r="S97" s="1">
        <v>11680</v>
      </c>
      <c r="T97" s="1">
        <v>1188.5</v>
      </c>
      <c r="U97" s="1">
        <v>2001</v>
      </c>
      <c r="V97" s="1">
        <v>3541</v>
      </c>
      <c r="W97" s="1">
        <v>341.4</v>
      </c>
      <c r="X97" s="1">
        <v>229.02</v>
      </c>
      <c r="Y97" s="1">
        <v>1371.4</v>
      </c>
      <c r="Z97" s="1">
        <v>241.67</v>
      </c>
      <c r="AA97" s="1">
        <v>383.4</v>
      </c>
      <c r="AB97" s="1">
        <v>1005.6</v>
      </c>
      <c r="AC97" s="1">
        <v>245.94</v>
      </c>
      <c r="AD97" s="1">
        <v>290.89999999999998</v>
      </c>
      <c r="AE97" s="1">
        <v>717.45</v>
      </c>
      <c r="AF97" s="1">
        <v>8733.5</v>
      </c>
      <c r="AG97" s="1">
        <v>2299.1999999999998</v>
      </c>
      <c r="AH97" s="1">
        <v>398.85</v>
      </c>
      <c r="AI97" s="1">
        <v>1180.8499999999999</v>
      </c>
      <c r="AJ97" s="1">
        <v>161.29</v>
      </c>
      <c r="AK97" s="1">
        <v>274.55</v>
      </c>
      <c r="AL97" s="1">
        <v>2674.6</v>
      </c>
      <c r="AM97" s="1">
        <v>5387</v>
      </c>
      <c r="AN97" s="1">
        <v>5342</v>
      </c>
      <c r="AO97" s="1">
        <v>1759.3</v>
      </c>
      <c r="AP97" s="1">
        <v>755.85</v>
      </c>
      <c r="AQ97" s="1">
        <v>649.54999999999995</v>
      </c>
      <c r="AR97" s="1">
        <v>1565.6</v>
      </c>
      <c r="AS97" s="1">
        <v>1468.5</v>
      </c>
      <c r="AT97" s="1">
        <v>6954.5</v>
      </c>
      <c r="AU97" s="1">
        <v>649.75</v>
      </c>
      <c r="AV97" s="1">
        <v>1126.7</v>
      </c>
      <c r="AW97" s="1">
        <v>1222.2</v>
      </c>
      <c r="AX97" s="1">
        <v>4276.3</v>
      </c>
      <c r="AY97" s="1">
        <v>785</v>
      </c>
      <c r="BH97" s="2"/>
    </row>
    <row r="98" spans="1:60" ht="14.25" customHeight="1" x14ac:dyDescent="0.3">
      <c r="A98" s="2">
        <v>45800</v>
      </c>
      <c r="B98" s="1">
        <v>24853.15</v>
      </c>
      <c r="C98" s="1">
        <v>1426.8</v>
      </c>
      <c r="D98" s="1">
        <v>966.8</v>
      </c>
      <c r="E98" s="1">
        <v>1831.7</v>
      </c>
      <c r="F98" s="1">
        <v>3514.6</v>
      </c>
      <c r="G98" s="1">
        <v>1449.8</v>
      </c>
      <c r="H98" s="1">
        <v>790.5</v>
      </c>
      <c r="I98" s="1">
        <v>1564.8</v>
      </c>
      <c r="J98" s="1">
        <v>2359.1999999999998</v>
      </c>
      <c r="K98" s="1">
        <v>924.35</v>
      </c>
      <c r="L98" s="1">
        <v>436.3</v>
      </c>
      <c r="M98" s="1">
        <v>3599.9</v>
      </c>
      <c r="N98" s="1">
        <v>12453</v>
      </c>
      <c r="O98" s="1">
        <v>3012.7</v>
      </c>
      <c r="P98" s="1">
        <v>2100.8000000000002</v>
      </c>
      <c r="Q98" s="1">
        <v>1648.2</v>
      </c>
      <c r="R98" s="1">
        <v>1683.6</v>
      </c>
      <c r="S98" s="1">
        <v>11746</v>
      </c>
      <c r="T98" s="1">
        <v>1210.0999999999999</v>
      </c>
      <c r="U98" s="1">
        <v>2036.5</v>
      </c>
      <c r="V98" s="1">
        <v>3579.7</v>
      </c>
      <c r="W98" s="1">
        <v>344.6</v>
      </c>
      <c r="X98" s="1">
        <v>237.55</v>
      </c>
      <c r="Y98" s="1">
        <v>1395.4</v>
      </c>
      <c r="Z98" s="1">
        <v>244.24</v>
      </c>
      <c r="AA98" s="1">
        <v>383.8</v>
      </c>
      <c r="AB98" s="1">
        <v>1008.5</v>
      </c>
      <c r="AC98" s="1">
        <v>247.36</v>
      </c>
      <c r="AD98" s="1">
        <v>298.10000000000002</v>
      </c>
      <c r="AE98" s="1">
        <v>718.25</v>
      </c>
      <c r="AF98" s="1">
        <v>8741</v>
      </c>
      <c r="AG98" s="1">
        <v>2315.5</v>
      </c>
      <c r="AH98" s="1">
        <v>401.5</v>
      </c>
      <c r="AI98" s="1">
        <v>1207.2</v>
      </c>
      <c r="AJ98" s="1">
        <v>162.97</v>
      </c>
      <c r="AK98" s="1">
        <v>281.75</v>
      </c>
      <c r="AL98" s="1">
        <v>2659.4</v>
      </c>
      <c r="AM98" s="1">
        <v>5400</v>
      </c>
      <c r="AN98" s="1">
        <v>5435.5</v>
      </c>
      <c r="AO98" s="1">
        <v>1798.7</v>
      </c>
      <c r="AP98" s="1">
        <v>780.4</v>
      </c>
      <c r="AQ98" s="1">
        <v>650.1</v>
      </c>
      <c r="AR98" s="1">
        <v>1580.3</v>
      </c>
      <c r="AS98" s="1">
        <v>1484.2</v>
      </c>
      <c r="AT98" s="1">
        <v>7064.5</v>
      </c>
      <c r="AU98" s="1">
        <v>659.85</v>
      </c>
      <c r="AV98" s="1">
        <v>1140.8</v>
      </c>
      <c r="AW98" s="1">
        <v>1230.0999999999999</v>
      </c>
      <c r="AX98" s="1">
        <v>4308.8</v>
      </c>
      <c r="AY98" s="1">
        <v>793.4</v>
      </c>
      <c r="BH98" s="2"/>
    </row>
    <row r="99" spans="1:60" ht="14.25" customHeight="1" x14ac:dyDescent="0.3">
      <c r="A99" s="2">
        <v>45803</v>
      </c>
      <c r="B99" s="1">
        <v>25001.15</v>
      </c>
      <c r="C99" s="1">
        <v>1434.8</v>
      </c>
      <c r="D99" s="1">
        <v>970.1</v>
      </c>
      <c r="E99" s="1">
        <v>1847.4</v>
      </c>
      <c r="F99" s="1">
        <v>3537.3</v>
      </c>
      <c r="G99" s="1">
        <v>1460.6</v>
      </c>
      <c r="H99" s="1">
        <v>794.4</v>
      </c>
      <c r="I99" s="1">
        <v>1580.5</v>
      </c>
      <c r="J99" s="1">
        <v>2394.1</v>
      </c>
      <c r="K99" s="1">
        <v>926.95</v>
      </c>
      <c r="L99" s="1">
        <v>442.9</v>
      </c>
      <c r="M99" s="1">
        <v>3648.7</v>
      </c>
      <c r="N99" s="1">
        <v>12421</v>
      </c>
      <c r="O99" s="1">
        <v>3080.2</v>
      </c>
      <c r="P99" s="1">
        <v>2089.3000000000002</v>
      </c>
      <c r="Q99" s="1">
        <v>1673.6</v>
      </c>
      <c r="R99" s="1">
        <v>1676.1</v>
      </c>
      <c r="S99" s="1">
        <v>11689</v>
      </c>
      <c r="T99" s="1">
        <v>1215.2</v>
      </c>
      <c r="U99" s="1">
        <v>2052.6</v>
      </c>
      <c r="V99" s="1">
        <v>3610.3</v>
      </c>
      <c r="W99" s="1">
        <v>343.5</v>
      </c>
      <c r="X99" s="1">
        <v>226.8</v>
      </c>
      <c r="Y99" s="1">
        <v>1400.2</v>
      </c>
      <c r="Z99" s="1">
        <v>245.94</v>
      </c>
      <c r="AA99" s="1">
        <v>384.55</v>
      </c>
      <c r="AB99" s="1">
        <v>1032.3</v>
      </c>
      <c r="AC99" s="1">
        <v>250.24</v>
      </c>
      <c r="AD99" s="1">
        <v>296.7</v>
      </c>
      <c r="AE99" s="1">
        <v>729</v>
      </c>
      <c r="AF99" s="1">
        <v>8958.5</v>
      </c>
      <c r="AG99" s="1">
        <v>2327.1999999999998</v>
      </c>
      <c r="AH99" s="1">
        <v>402.7</v>
      </c>
      <c r="AI99" s="1">
        <v>1227</v>
      </c>
      <c r="AJ99" s="1">
        <v>162.51</v>
      </c>
      <c r="AK99" s="1">
        <v>281.75</v>
      </c>
      <c r="AL99" s="1">
        <v>2656.4</v>
      </c>
      <c r="AM99" s="1">
        <v>5427.5</v>
      </c>
      <c r="AN99" s="1">
        <v>5526</v>
      </c>
      <c r="AO99" s="1">
        <v>1801.6</v>
      </c>
      <c r="AP99" s="1">
        <v>780</v>
      </c>
      <c r="AQ99" s="1">
        <v>661.45</v>
      </c>
      <c r="AR99" s="1">
        <v>1601.4</v>
      </c>
      <c r="AS99" s="1">
        <v>1484.2</v>
      </c>
      <c r="AT99" s="1">
        <v>7096.5</v>
      </c>
      <c r="AU99" s="1">
        <v>664.5</v>
      </c>
      <c r="AV99" s="1">
        <v>1146.3</v>
      </c>
      <c r="AW99" s="1">
        <v>1240.9000000000001</v>
      </c>
      <c r="AX99" s="1">
        <v>4359.3999999999996</v>
      </c>
      <c r="AY99" s="1">
        <v>800.1</v>
      </c>
      <c r="BH99" s="2"/>
    </row>
    <row r="100" spans="1:60" ht="14.25" customHeight="1" x14ac:dyDescent="0.3">
      <c r="A100" s="2">
        <v>45804</v>
      </c>
      <c r="B100" s="1">
        <v>24826.2</v>
      </c>
      <c r="C100" s="1">
        <v>1422.1</v>
      </c>
      <c r="D100" s="1">
        <v>963.15</v>
      </c>
      <c r="E100" s="1">
        <v>1843.8</v>
      </c>
      <c r="F100" s="1">
        <v>3498.7</v>
      </c>
      <c r="G100" s="1">
        <v>1446.4</v>
      </c>
      <c r="H100" s="1">
        <v>793.7</v>
      </c>
      <c r="I100" s="1">
        <v>1570.1</v>
      </c>
      <c r="J100" s="1">
        <v>2380.1999999999998</v>
      </c>
      <c r="K100" s="1">
        <v>917.1</v>
      </c>
      <c r="L100" s="1">
        <v>433.9</v>
      </c>
      <c r="M100" s="1">
        <v>3640</v>
      </c>
      <c r="N100" s="1">
        <v>12414</v>
      </c>
      <c r="O100" s="1">
        <v>3039.8</v>
      </c>
      <c r="P100" s="1">
        <v>2077.4</v>
      </c>
      <c r="Q100" s="1">
        <v>1652.1</v>
      </c>
      <c r="R100" s="1">
        <v>1683.4</v>
      </c>
      <c r="S100" s="1">
        <v>11421</v>
      </c>
      <c r="T100" s="1">
        <v>1195.5999999999999</v>
      </c>
      <c r="U100" s="1">
        <v>2029.9</v>
      </c>
      <c r="V100" s="1">
        <v>3589.4</v>
      </c>
      <c r="W100" s="1">
        <v>338.55</v>
      </c>
      <c r="X100" s="1">
        <v>224.79</v>
      </c>
      <c r="Y100" s="1">
        <v>1404.2</v>
      </c>
      <c r="Z100" s="1">
        <v>244.54</v>
      </c>
      <c r="AA100" s="1">
        <v>385.4</v>
      </c>
      <c r="AB100" s="1">
        <v>1013.7</v>
      </c>
      <c r="AC100" s="1">
        <v>248.25</v>
      </c>
      <c r="AD100" s="1">
        <v>294.55</v>
      </c>
      <c r="AE100" s="1">
        <v>716.45</v>
      </c>
      <c r="AF100" s="1">
        <v>8963</v>
      </c>
      <c r="AG100" s="1">
        <v>2327.6</v>
      </c>
      <c r="AH100" s="1">
        <v>399.95</v>
      </c>
      <c r="AI100" s="1">
        <v>1230.45</v>
      </c>
      <c r="AJ100" s="1">
        <v>161.66</v>
      </c>
      <c r="AK100" s="1">
        <v>291.39999999999998</v>
      </c>
      <c r="AL100" s="1">
        <v>2614.1999999999998</v>
      </c>
      <c r="AM100" s="1">
        <v>5389.5</v>
      </c>
      <c r="AN100" s="1">
        <v>5573</v>
      </c>
      <c r="AO100" s="1">
        <v>1803.3</v>
      </c>
      <c r="AP100" s="1">
        <v>775.8</v>
      </c>
      <c r="AQ100" s="1">
        <v>659.45</v>
      </c>
      <c r="AR100" s="1">
        <v>1592.4</v>
      </c>
      <c r="AS100" s="1">
        <v>1480.5</v>
      </c>
      <c r="AT100" s="1">
        <v>7073.5</v>
      </c>
      <c r="AU100" s="1">
        <v>661.9</v>
      </c>
      <c r="AV100" s="1">
        <v>1138.4000000000001</v>
      </c>
      <c r="AW100" s="1">
        <v>1243.2</v>
      </c>
      <c r="AX100" s="1">
        <v>4338.2</v>
      </c>
      <c r="AY100" s="1">
        <v>820.7</v>
      </c>
      <c r="BH100" s="2"/>
    </row>
    <row r="101" spans="1:60" ht="14.25" customHeight="1" x14ac:dyDescent="0.3">
      <c r="A101" s="2">
        <v>45805</v>
      </c>
      <c r="B101" s="1">
        <v>24752.45</v>
      </c>
      <c r="C101" s="1">
        <v>1412.9</v>
      </c>
      <c r="D101" s="1">
        <v>961.75</v>
      </c>
      <c r="E101" s="1">
        <v>1856.1</v>
      </c>
      <c r="F101" s="1">
        <v>3497.7</v>
      </c>
      <c r="G101" s="1">
        <v>1453.8</v>
      </c>
      <c r="H101" s="1">
        <v>796.55</v>
      </c>
      <c r="I101" s="1">
        <v>1571.8</v>
      </c>
      <c r="J101" s="1">
        <v>2362</v>
      </c>
      <c r="K101" s="1">
        <v>926.75</v>
      </c>
      <c r="L101" s="1">
        <v>420.2</v>
      </c>
      <c r="M101" s="1">
        <v>3646.3</v>
      </c>
      <c r="N101" s="1">
        <v>12331</v>
      </c>
      <c r="O101" s="1">
        <v>2997.8</v>
      </c>
      <c r="P101" s="1">
        <v>2074.3000000000002</v>
      </c>
      <c r="Q101" s="1">
        <v>1657.3</v>
      </c>
      <c r="R101" s="1">
        <v>1666.4</v>
      </c>
      <c r="S101" s="1">
        <v>11238</v>
      </c>
      <c r="T101" s="1">
        <v>1194.7</v>
      </c>
      <c r="U101" s="1">
        <v>2022.4</v>
      </c>
      <c r="V101" s="1">
        <v>3574.7</v>
      </c>
      <c r="W101" s="1">
        <v>340.05</v>
      </c>
      <c r="X101" s="1">
        <v>224.18</v>
      </c>
      <c r="Y101" s="1">
        <v>1411</v>
      </c>
      <c r="Z101" s="1">
        <v>242.67</v>
      </c>
      <c r="AA101" s="1">
        <v>390.45</v>
      </c>
      <c r="AB101" s="1">
        <v>1001</v>
      </c>
      <c r="AC101" s="1">
        <v>247.43</v>
      </c>
      <c r="AD101" s="1">
        <v>291.14999999999998</v>
      </c>
      <c r="AE101" s="1">
        <v>717.95</v>
      </c>
      <c r="AF101" s="1">
        <v>8849</v>
      </c>
      <c r="AG101" s="1">
        <v>2303.1999999999998</v>
      </c>
      <c r="AH101" s="1">
        <v>398.2</v>
      </c>
      <c r="AI101" s="1">
        <v>1209.5</v>
      </c>
      <c r="AJ101" s="1">
        <v>161.24</v>
      </c>
      <c r="AK101" s="1">
        <v>290.35000000000002</v>
      </c>
      <c r="AL101" s="1">
        <v>2577.6</v>
      </c>
      <c r="AM101" s="1">
        <v>5326.5</v>
      </c>
      <c r="AN101" s="1">
        <v>5559</v>
      </c>
      <c r="AO101" s="1">
        <v>1807.4</v>
      </c>
      <c r="AP101" s="1">
        <v>789.45</v>
      </c>
      <c r="AQ101" s="1">
        <v>649.95000000000005</v>
      </c>
      <c r="AR101" s="1">
        <v>1580.3</v>
      </c>
      <c r="AS101" s="1">
        <v>1468.5</v>
      </c>
      <c r="AT101" s="1">
        <v>6956.5</v>
      </c>
      <c r="AU101" s="1">
        <v>655.7</v>
      </c>
      <c r="AV101" s="1">
        <v>1121.4000000000001</v>
      </c>
      <c r="AW101" s="1">
        <v>1242.5999999999999</v>
      </c>
      <c r="AX101" s="1">
        <v>4362.2</v>
      </c>
      <c r="AY101" s="1">
        <v>805.15</v>
      </c>
      <c r="BH101" s="2"/>
    </row>
    <row r="102" spans="1:60" ht="14.25" customHeight="1" x14ac:dyDescent="0.3">
      <c r="A102" s="2">
        <v>45806</v>
      </c>
      <c r="B102" s="1">
        <v>24833.599999999999</v>
      </c>
      <c r="C102" s="1">
        <v>1417.8</v>
      </c>
      <c r="D102" s="1">
        <v>963.75</v>
      </c>
      <c r="E102" s="1">
        <v>1863.6</v>
      </c>
      <c r="F102" s="1">
        <v>3498.1</v>
      </c>
      <c r="G102" s="1">
        <v>1456.5</v>
      </c>
      <c r="H102" s="1">
        <v>797.35</v>
      </c>
      <c r="I102" s="1">
        <v>1585.6</v>
      </c>
      <c r="J102" s="1">
        <v>2366.6999999999998</v>
      </c>
      <c r="K102" s="1">
        <v>920.4</v>
      </c>
      <c r="L102" s="1">
        <v>418.75</v>
      </c>
      <c r="M102" s="1">
        <v>3655.3</v>
      </c>
      <c r="N102" s="1">
        <v>12392</v>
      </c>
      <c r="O102" s="1">
        <v>3009</v>
      </c>
      <c r="P102" s="1">
        <v>2081.6</v>
      </c>
      <c r="Q102" s="1">
        <v>1664.7</v>
      </c>
      <c r="R102" s="1">
        <v>1699.8</v>
      </c>
      <c r="S102" s="1">
        <v>11269</v>
      </c>
      <c r="T102" s="1">
        <v>1201.7</v>
      </c>
      <c r="U102" s="1">
        <v>2010.9</v>
      </c>
      <c r="V102" s="1">
        <v>3588.3</v>
      </c>
      <c r="W102" s="1">
        <v>339.35</v>
      </c>
      <c r="X102" s="1">
        <v>228.37</v>
      </c>
      <c r="Y102" s="1">
        <v>1438.6</v>
      </c>
      <c r="Z102" s="1">
        <v>243.04</v>
      </c>
      <c r="AA102" s="1">
        <v>386.8</v>
      </c>
      <c r="AB102" s="1">
        <v>1006.2</v>
      </c>
      <c r="AC102" s="1">
        <v>250.14</v>
      </c>
      <c r="AD102" s="1">
        <v>293.10000000000002</v>
      </c>
      <c r="AE102" s="1">
        <v>724.45</v>
      </c>
      <c r="AF102" s="1">
        <v>8874.5</v>
      </c>
      <c r="AG102" s="1">
        <v>2294.3000000000002</v>
      </c>
      <c r="AH102" s="1">
        <v>398.2</v>
      </c>
      <c r="AI102" s="1">
        <v>1217.5</v>
      </c>
      <c r="AJ102" s="1">
        <v>163.12</v>
      </c>
      <c r="AK102" s="1">
        <v>287.85000000000002</v>
      </c>
      <c r="AL102" s="1">
        <v>2573.6</v>
      </c>
      <c r="AM102" s="1">
        <v>5379</v>
      </c>
      <c r="AN102" s="1">
        <v>5657</v>
      </c>
      <c r="AO102" s="1">
        <v>1825</v>
      </c>
      <c r="AP102" s="1">
        <v>780.9</v>
      </c>
      <c r="AQ102" s="1">
        <v>650</v>
      </c>
      <c r="AR102" s="1">
        <v>1600</v>
      </c>
      <c r="AS102" s="1">
        <v>1476.9</v>
      </c>
      <c r="AT102" s="1">
        <v>6923</v>
      </c>
      <c r="AU102" s="1">
        <v>652.25</v>
      </c>
      <c r="AV102" s="1">
        <v>1109.8</v>
      </c>
      <c r="AW102" s="1">
        <v>1248.2</v>
      </c>
      <c r="AX102" s="1">
        <v>4356.6000000000004</v>
      </c>
      <c r="AY102" s="1">
        <v>824.15</v>
      </c>
      <c r="BH102" s="2"/>
    </row>
    <row r="103" spans="1:60" ht="14.25" customHeight="1" x14ac:dyDescent="0.3">
      <c r="A103" s="2">
        <v>45807</v>
      </c>
      <c r="B103" s="1">
        <v>24750.7</v>
      </c>
      <c r="C103" s="1">
        <v>1420.9</v>
      </c>
      <c r="D103" s="1">
        <v>972.45</v>
      </c>
      <c r="E103" s="1">
        <v>1856.2</v>
      </c>
      <c r="F103" s="1">
        <v>3463.4</v>
      </c>
      <c r="G103" s="1">
        <v>1445.8</v>
      </c>
      <c r="H103" s="1">
        <v>812.3</v>
      </c>
      <c r="I103" s="1">
        <v>1562.7</v>
      </c>
      <c r="J103" s="1">
        <v>2348.3000000000002</v>
      </c>
      <c r="K103" s="1">
        <v>918.05</v>
      </c>
      <c r="L103" s="1">
        <v>418.05</v>
      </c>
      <c r="M103" s="1">
        <v>3675.1</v>
      </c>
      <c r="N103" s="1">
        <v>12319</v>
      </c>
      <c r="O103" s="1">
        <v>2976.8</v>
      </c>
      <c r="P103" s="1">
        <v>2074.6999999999998</v>
      </c>
      <c r="Q103" s="1">
        <v>1636.6</v>
      </c>
      <c r="R103" s="1">
        <v>1677.6</v>
      </c>
      <c r="S103" s="1">
        <v>11210</v>
      </c>
      <c r="T103" s="1">
        <v>1192.2</v>
      </c>
      <c r="U103" s="1">
        <v>2017.4</v>
      </c>
      <c r="V103" s="1">
        <v>3555</v>
      </c>
      <c r="W103" s="1">
        <v>333.9</v>
      </c>
      <c r="X103" s="1">
        <v>238.31</v>
      </c>
      <c r="Y103" s="1">
        <v>1432.8</v>
      </c>
      <c r="Z103" s="1">
        <v>239.4</v>
      </c>
      <c r="AA103" s="1">
        <v>384.6</v>
      </c>
      <c r="AB103" s="1">
        <v>993.5</v>
      </c>
      <c r="AC103" s="1">
        <v>249.67</v>
      </c>
      <c r="AD103" s="1">
        <v>289.75</v>
      </c>
      <c r="AE103" s="1">
        <v>719.5</v>
      </c>
      <c r="AF103" s="1">
        <v>8607</v>
      </c>
      <c r="AG103" s="1">
        <v>2259.1</v>
      </c>
      <c r="AH103" s="1">
        <v>397.3</v>
      </c>
      <c r="AI103" s="1">
        <v>1198.0999999999999</v>
      </c>
      <c r="AJ103" s="1">
        <v>161.02000000000001</v>
      </c>
      <c r="AK103" s="1">
        <v>286.64999999999998</v>
      </c>
      <c r="AL103" s="1">
        <v>2545.8000000000002</v>
      </c>
      <c r="AM103" s="1">
        <v>5333.5</v>
      </c>
      <c r="AN103" s="1">
        <v>5643.5</v>
      </c>
      <c r="AO103" s="1">
        <v>1812.2</v>
      </c>
      <c r="AP103" s="1">
        <v>776.85</v>
      </c>
      <c r="AQ103" s="1">
        <v>633.5</v>
      </c>
      <c r="AR103" s="1">
        <v>1573.9</v>
      </c>
      <c r="AS103" s="1">
        <v>1465.7</v>
      </c>
      <c r="AT103" s="1">
        <v>6880.5</v>
      </c>
      <c r="AU103" s="1">
        <v>639.35</v>
      </c>
      <c r="AV103" s="1">
        <v>1106.3</v>
      </c>
      <c r="AW103" s="1">
        <v>1251.2</v>
      </c>
      <c r="AX103" s="1">
        <v>4309.3</v>
      </c>
      <c r="AY103" s="1">
        <v>816.95</v>
      </c>
      <c r="BH103" s="2"/>
    </row>
    <row r="104" spans="1:60" ht="14.25" customHeight="1" x14ac:dyDescent="0.3">
      <c r="A104" s="2">
        <v>45810</v>
      </c>
      <c r="B104" s="1">
        <v>24716.6</v>
      </c>
      <c r="C104" s="1">
        <v>1413.7</v>
      </c>
      <c r="D104" s="1">
        <v>966.05</v>
      </c>
      <c r="E104" s="1">
        <v>1854.1</v>
      </c>
      <c r="F104" s="1">
        <v>3449.8</v>
      </c>
      <c r="G104" s="1">
        <v>1450.5</v>
      </c>
      <c r="H104" s="1">
        <v>813.65</v>
      </c>
      <c r="I104" s="1">
        <v>1553.8</v>
      </c>
      <c r="J104" s="1">
        <v>2371.6</v>
      </c>
      <c r="K104" s="1">
        <v>911.85</v>
      </c>
      <c r="L104" s="1">
        <v>419.3</v>
      </c>
      <c r="M104" s="1">
        <v>3679.6</v>
      </c>
      <c r="N104" s="1">
        <v>12290</v>
      </c>
      <c r="O104" s="1">
        <v>3025.9</v>
      </c>
      <c r="P104" s="1">
        <v>2063.6</v>
      </c>
      <c r="Q104" s="1">
        <v>1631.5</v>
      </c>
      <c r="R104" s="1">
        <v>1674.6</v>
      </c>
      <c r="S104" s="1">
        <v>11195</v>
      </c>
      <c r="T104" s="1">
        <v>1194.4000000000001</v>
      </c>
      <c r="U104" s="1">
        <v>2029</v>
      </c>
      <c r="V104" s="1">
        <v>3525.5</v>
      </c>
      <c r="W104" s="1">
        <v>332.55</v>
      </c>
      <c r="X104" s="1">
        <v>241.2</v>
      </c>
      <c r="Y104" s="1">
        <v>1468</v>
      </c>
      <c r="Z104" s="1">
        <v>238.31</v>
      </c>
      <c r="AA104" s="1">
        <v>387.5</v>
      </c>
      <c r="AB104" s="1">
        <v>978.8</v>
      </c>
      <c r="AC104" s="1">
        <v>247.68</v>
      </c>
      <c r="AD104" s="1">
        <v>293.05</v>
      </c>
      <c r="AE104" s="1">
        <v>711.6</v>
      </c>
      <c r="AF104" s="1">
        <v>8513.5</v>
      </c>
      <c r="AG104" s="1">
        <v>2266.6999999999998</v>
      </c>
      <c r="AH104" s="1">
        <v>399.7</v>
      </c>
      <c r="AI104" s="1">
        <v>1203.1500000000001</v>
      </c>
      <c r="AJ104" s="1">
        <v>159.04</v>
      </c>
      <c r="AK104" s="1">
        <v>286.45</v>
      </c>
      <c r="AL104" s="1">
        <v>2524.1</v>
      </c>
      <c r="AM104" s="1">
        <v>5361</v>
      </c>
      <c r="AN104" s="1">
        <v>5621.5</v>
      </c>
      <c r="AO104" s="1">
        <v>1802.5</v>
      </c>
      <c r="AP104" s="1">
        <v>766.7</v>
      </c>
      <c r="AQ104" s="1">
        <v>631.1</v>
      </c>
      <c r="AR104" s="1">
        <v>1549.1</v>
      </c>
      <c r="AS104" s="1">
        <v>1470.2</v>
      </c>
      <c r="AT104" s="1">
        <v>6915.5</v>
      </c>
      <c r="AU104" s="1">
        <v>642.54999999999995</v>
      </c>
      <c r="AV104" s="1">
        <v>1120.4000000000001</v>
      </c>
      <c r="AW104" s="1">
        <v>1247.7</v>
      </c>
      <c r="AX104" s="1">
        <v>4232.3</v>
      </c>
      <c r="AY104" s="1">
        <v>812.7</v>
      </c>
      <c r="BH104" s="2"/>
    </row>
    <row r="105" spans="1:60" ht="14.25" customHeight="1" x14ac:dyDescent="0.3">
      <c r="A105" s="2">
        <v>45811</v>
      </c>
      <c r="B105" s="1">
        <v>24542.5</v>
      </c>
      <c r="C105" s="1">
        <v>1405.5</v>
      </c>
      <c r="D105" s="1">
        <v>962.3</v>
      </c>
      <c r="E105" s="1">
        <v>1841.3</v>
      </c>
      <c r="F105" s="1">
        <v>3405.2</v>
      </c>
      <c r="G105" s="1">
        <v>1437.9</v>
      </c>
      <c r="H105" s="1">
        <v>809.8</v>
      </c>
      <c r="I105" s="1">
        <v>1543</v>
      </c>
      <c r="J105" s="1">
        <v>2352.3000000000002</v>
      </c>
      <c r="K105" s="1">
        <v>897.9</v>
      </c>
      <c r="L105" s="1">
        <v>416.95</v>
      </c>
      <c r="M105" s="1">
        <v>3644.8</v>
      </c>
      <c r="N105" s="1">
        <v>12128</v>
      </c>
      <c r="O105" s="1">
        <v>3046.5</v>
      </c>
      <c r="P105" s="1">
        <v>2044.5</v>
      </c>
      <c r="Q105" s="1">
        <v>1630.4</v>
      </c>
      <c r="R105" s="1">
        <v>1667.5</v>
      </c>
      <c r="S105" s="1">
        <v>11035</v>
      </c>
      <c r="T105" s="1">
        <v>1181.5</v>
      </c>
      <c r="U105" s="1">
        <v>1991.9</v>
      </c>
      <c r="V105" s="1">
        <v>3519.8</v>
      </c>
      <c r="W105" s="1">
        <v>328.25</v>
      </c>
      <c r="X105" s="1">
        <v>237.7</v>
      </c>
      <c r="Y105" s="1">
        <v>1432.3</v>
      </c>
      <c r="Z105" s="1">
        <v>237.27</v>
      </c>
      <c r="AA105" s="1">
        <v>386</v>
      </c>
      <c r="AB105" s="1">
        <v>973.8</v>
      </c>
      <c r="AC105" s="1">
        <v>246.22</v>
      </c>
      <c r="AD105" s="1">
        <v>288.25</v>
      </c>
      <c r="AE105" s="1">
        <v>703.85</v>
      </c>
      <c r="AF105" s="1">
        <v>8563</v>
      </c>
      <c r="AG105" s="1">
        <v>2255.6999999999998</v>
      </c>
      <c r="AH105" s="1">
        <v>392.85</v>
      </c>
      <c r="AI105" s="1">
        <v>1195.7</v>
      </c>
      <c r="AJ105" s="1">
        <v>157.35</v>
      </c>
      <c r="AK105" s="1">
        <v>283.89999999999998</v>
      </c>
      <c r="AL105" s="1">
        <v>2552.4</v>
      </c>
      <c r="AM105" s="1">
        <v>5354</v>
      </c>
      <c r="AN105" s="1">
        <v>5590</v>
      </c>
      <c r="AO105" s="1">
        <v>1775.3</v>
      </c>
      <c r="AP105" s="1">
        <v>757.9</v>
      </c>
      <c r="AQ105" s="1">
        <v>632</v>
      </c>
      <c r="AR105" s="1">
        <v>1543.8</v>
      </c>
      <c r="AS105" s="1">
        <v>1473.2</v>
      </c>
      <c r="AT105" s="1">
        <v>6812.5</v>
      </c>
      <c r="AU105" s="1">
        <v>648.25</v>
      </c>
      <c r="AV105" s="1">
        <v>1114.5999999999999</v>
      </c>
      <c r="AW105" s="1">
        <v>1248.3</v>
      </c>
      <c r="AX105" s="1">
        <v>4208.6000000000004</v>
      </c>
      <c r="AY105" s="1">
        <v>800.85</v>
      </c>
      <c r="BH105" s="2"/>
    </row>
    <row r="106" spans="1:60" ht="14.25" customHeight="1" x14ac:dyDescent="0.3">
      <c r="A106" s="2">
        <v>45812</v>
      </c>
      <c r="B106" s="1">
        <v>24620.2</v>
      </c>
      <c r="C106" s="1">
        <v>1423.5</v>
      </c>
      <c r="D106" s="1">
        <v>970.6</v>
      </c>
      <c r="E106" s="1">
        <v>1875.4</v>
      </c>
      <c r="F106" s="1">
        <v>3380.9</v>
      </c>
      <c r="G106" s="1">
        <v>1431</v>
      </c>
      <c r="H106" s="1">
        <v>806.5</v>
      </c>
      <c r="I106" s="1">
        <v>1551.2</v>
      </c>
      <c r="J106" s="1">
        <v>2364.5</v>
      </c>
      <c r="K106" s="1">
        <v>898.7</v>
      </c>
      <c r="L106" s="1">
        <v>417</v>
      </c>
      <c r="M106" s="1">
        <v>3626.5</v>
      </c>
      <c r="N106" s="1">
        <v>12163</v>
      </c>
      <c r="O106" s="1">
        <v>3053.4</v>
      </c>
      <c r="P106" s="1">
        <v>2046.3</v>
      </c>
      <c r="Q106" s="1">
        <v>1626.1</v>
      </c>
      <c r="R106" s="1">
        <v>1664.9</v>
      </c>
      <c r="S106" s="1">
        <v>11033</v>
      </c>
      <c r="T106" s="1">
        <v>1171</v>
      </c>
      <c r="U106" s="1">
        <v>1956.1</v>
      </c>
      <c r="V106" s="1">
        <v>3499.8</v>
      </c>
      <c r="W106" s="1">
        <v>329.25</v>
      </c>
      <c r="X106" s="1">
        <v>245.68</v>
      </c>
      <c r="Y106" s="1">
        <v>1436.2</v>
      </c>
      <c r="Z106" s="1">
        <v>238.05</v>
      </c>
      <c r="AA106" s="1">
        <v>390.6</v>
      </c>
      <c r="AB106" s="1">
        <v>968.55</v>
      </c>
      <c r="AC106" s="1">
        <v>246.86</v>
      </c>
      <c r="AD106" s="1">
        <v>288.55</v>
      </c>
      <c r="AE106" s="1">
        <v>709.15</v>
      </c>
      <c r="AF106" s="1">
        <v>8563.5</v>
      </c>
      <c r="AG106" s="1">
        <v>2249</v>
      </c>
      <c r="AH106" s="1">
        <v>394.6</v>
      </c>
      <c r="AI106" s="1">
        <v>1198.75</v>
      </c>
      <c r="AJ106" s="1">
        <v>158.18</v>
      </c>
      <c r="AK106" s="1">
        <v>290.35000000000002</v>
      </c>
      <c r="AL106" s="1">
        <v>2549.6999999999998</v>
      </c>
      <c r="AM106" s="1">
        <v>5319.5</v>
      </c>
      <c r="AN106" s="1">
        <v>5506.5</v>
      </c>
      <c r="AO106" s="1">
        <v>1775.9</v>
      </c>
      <c r="AP106" s="1">
        <v>758.8</v>
      </c>
      <c r="AQ106" s="1">
        <v>635.85</v>
      </c>
      <c r="AR106" s="1">
        <v>1556.7</v>
      </c>
      <c r="AS106" s="1">
        <v>1471.9</v>
      </c>
      <c r="AT106" s="1">
        <v>6855</v>
      </c>
      <c r="AU106" s="1">
        <v>641.20000000000005</v>
      </c>
      <c r="AV106" s="1">
        <v>1124.4000000000001</v>
      </c>
      <c r="AW106" s="1">
        <v>1251.9000000000001</v>
      </c>
      <c r="AX106" s="1">
        <v>4200.6000000000004</v>
      </c>
      <c r="AY106" s="1">
        <v>814.35</v>
      </c>
      <c r="BH106" s="2"/>
    </row>
    <row r="107" spans="1:60" ht="14.25" customHeight="1" x14ac:dyDescent="0.3">
      <c r="A107" s="2">
        <v>45813</v>
      </c>
      <c r="B107" s="1">
        <v>24750.9</v>
      </c>
      <c r="C107" s="1">
        <v>1442.4</v>
      </c>
      <c r="D107" s="1">
        <v>974.8</v>
      </c>
      <c r="E107" s="1">
        <v>1878.8</v>
      </c>
      <c r="F107" s="1">
        <v>3371.1</v>
      </c>
      <c r="G107" s="1">
        <v>1454.8</v>
      </c>
      <c r="H107" s="1">
        <v>806</v>
      </c>
      <c r="I107" s="1">
        <v>1554.3</v>
      </c>
      <c r="J107" s="1">
        <v>2376.4</v>
      </c>
      <c r="K107" s="1">
        <v>893.4</v>
      </c>
      <c r="L107" s="1">
        <v>419.1</v>
      </c>
      <c r="M107" s="1">
        <v>3642.6</v>
      </c>
      <c r="N107" s="1">
        <v>12126</v>
      </c>
      <c r="O107" s="1">
        <v>3041.6</v>
      </c>
      <c r="P107" s="1">
        <v>2039.9</v>
      </c>
      <c r="Q107" s="1">
        <v>1632.4</v>
      </c>
      <c r="R107" s="1">
        <v>1683.1</v>
      </c>
      <c r="S107" s="1">
        <v>11159</v>
      </c>
      <c r="T107" s="1">
        <v>1159</v>
      </c>
      <c r="U107" s="1">
        <v>1944</v>
      </c>
      <c r="V107" s="1">
        <v>3504</v>
      </c>
      <c r="W107" s="1">
        <v>328.65</v>
      </c>
      <c r="X107" s="1">
        <v>256.56</v>
      </c>
      <c r="Y107" s="1">
        <v>1456.7</v>
      </c>
      <c r="Z107" s="1">
        <v>237.77</v>
      </c>
      <c r="AA107" s="1">
        <v>393.5</v>
      </c>
      <c r="AB107" s="1">
        <v>968.75</v>
      </c>
      <c r="AC107" s="1">
        <v>247.94</v>
      </c>
      <c r="AD107" s="1">
        <v>294.25</v>
      </c>
      <c r="AE107" s="1">
        <v>710.15</v>
      </c>
      <c r="AF107" s="1">
        <v>8557.5</v>
      </c>
      <c r="AG107" s="1">
        <v>2243.5</v>
      </c>
      <c r="AH107" s="1">
        <v>394.9</v>
      </c>
      <c r="AI107" s="1">
        <v>1200.6500000000001</v>
      </c>
      <c r="AJ107" s="1">
        <v>157.97</v>
      </c>
      <c r="AK107" s="1">
        <v>291.5</v>
      </c>
      <c r="AL107" s="1">
        <v>2554.4</v>
      </c>
      <c r="AM107" s="1">
        <v>5308.5</v>
      </c>
      <c r="AN107" s="1">
        <v>5673</v>
      </c>
      <c r="AO107" s="1">
        <v>1774.8</v>
      </c>
      <c r="AP107" s="1">
        <v>761.6</v>
      </c>
      <c r="AQ107" s="1">
        <v>637.25</v>
      </c>
      <c r="AR107" s="1">
        <v>1562.8</v>
      </c>
      <c r="AS107" s="1">
        <v>1489.8</v>
      </c>
      <c r="AT107" s="1">
        <v>6876</v>
      </c>
      <c r="AU107" s="1">
        <v>651.45000000000005</v>
      </c>
      <c r="AV107" s="1">
        <v>1111.9000000000001</v>
      </c>
      <c r="AW107" s="1">
        <v>1290.5999999999999</v>
      </c>
      <c r="AX107" s="1">
        <v>4178.8999999999996</v>
      </c>
      <c r="AY107" s="1">
        <v>803.2</v>
      </c>
      <c r="BH107" s="2"/>
    </row>
    <row r="108" spans="1:60" ht="14.25" customHeight="1" x14ac:dyDescent="0.3">
      <c r="A108" s="2">
        <v>45814</v>
      </c>
      <c r="B108" s="1">
        <v>25003.05</v>
      </c>
      <c r="C108" s="1">
        <v>1443.5</v>
      </c>
      <c r="D108" s="1">
        <v>989.35</v>
      </c>
      <c r="E108" s="1">
        <v>1870.2</v>
      </c>
      <c r="F108" s="1">
        <v>3384.2</v>
      </c>
      <c r="G108" s="1">
        <v>1459.7</v>
      </c>
      <c r="H108" s="1">
        <v>813.05</v>
      </c>
      <c r="I108" s="1">
        <v>1563.8</v>
      </c>
      <c r="J108" s="1">
        <v>2389.8000000000002</v>
      </c>
      <c r="K108" s="1">
        <v>937.15</v>
      </c>
      <c r="L108" s="1">
        <v>421.05</v>
      </c>
      <c r="M108" s="1">
        <v>3656.3</v>
      </c>
      <c r="N108" s="1">
        <v>12462</v>
      </c>
      <c r="O108" s="1">
        <v>3106.5</v>
      </c>
      <c r="P108" s="1">
        <v>2073.4</v>
      </c>
      <c r="Q108" s="1">
        <v>1637.7</v>
      </c>
      <c r="R108" s="1">
        <v>1679.2</v>
      </c>
      <c r="S108" s="1">
        <v>11253</v>
      </c>
      <c r="T108" s="1">
        <v>1194.5999999999999</v>
      </c>
      <c r="U108" s="1">
        <v>1990</v>
      </c>
      <c r="V108" s="1">
        <v>3559.9</v>
      </c>
      <c r="W108" s="1">
        <v>332.85</v>
      </c>
      <c r="X108" s="1">
        <v>261.86</v>
      </c>
      <c r="Y108" s="1">
        <v>1471.7</v>
      </c>
      <c r="Z108" s="1">
        <v>240.06</v>
      </c>
      <c r="AA108" s="1">
        <v>390.7</v>
      </c>
      <c r="AB108" s="1">
        <v>1004.9</v>
      </c>
      <c r="AC108" s="1">
        <v>248.59</v>
      </c>
      <c r="AD108" s="1">
        <v>295.8</v>
      </c>
      <c r="AE108" s="1">
        <v>711</v>
      </c>
      <c r="AF108" s="1">
        <v>8637</v>
      </c>
      <c r="AG108" s="1">
        <v>2245.1999999999998</v>
      </c>
      <c r="AH108" s="1">
        <v>398.95</v>
      </c>
      <c r="AI108" s="1">
        <v>1208.5999999999999</v>
      </c>
      <c r="AJ108" s="1">
        <v>157.49</v>
      </c>
      <c r="AK108" s="1">
        <v>294</v>
      </c>
      <c r="AL108" s="1">
        <v>2574.4</v>
      </c>
      <c r="AM108" s="1">
        <v>5394</v>
      </c>
      <c r="AN108" s="1">
        <v>5777</v>
      </c>
      <c r="AO108" s="1">
        <v>1780.6</v>
      </c>
      <c r="AP108" s="1">
        <v>755.1</v>
      </c>
      <c r="AQ108" s="1">
        <v>650.15</v>
      </c>
      <c r="AR108" s="1">
        <v>1571.1</v>
      </c>
      <c r="AS108" s="1">
        <v>1504.2</v>
      </c>
      <c r="AT108" s="1">
        <v>6942.5</v>
      </c>
      <c r="AU108" s="1">
        <v>688.25</v>
      </c>
      <c r="AV108" s="1">
        <v>1115.5999999999999</v>
      </c>
      <c r="AW108" s="1">
        <v>1320.9</v>
      </c>
      <c r="AX108" s="1">
        <v>4268</v>
      </c>
      <c r="AY108" s="1">
        <v>822.85</v>
      </c>
      <c r="BH108" s="2"/>
    </row>
    <row r="109" spans="1:60" ht="14.25" customHeight="1" x14ac:dyDescent="0.3">
      <c r="A109" s="2">
        <v>45817</v>
      </c>
      <c r="B109" s="1">
        <v>25103.200000000001</v>
      </c>
      <c r="C109" s="1">
        <v>1448.8</v>
      </c>
      <c r="D109" s="1">
        <v>989.45</v>
      </c>
      <c r="E109" s="1">
        <v>1865.1</v>
      </c>
      <c r="F109" s="1">
        <v>3421.9</v>
      </c>
      <c r="G109" s="1">
        <v>1434.8</v>
      </c>
      <c r="H109" s="1">
        <v>820.05</v>
      </c>
      <c r="I109" s="1">
        <v>1572.9</v>
      </c>
      <c r="J109" s="1">
        <v>2393.1999999999998</v>
      </c>
      <c r="K109" s="1">
        <v>960.75</v>
      </c>
      <c r="L109" s="1">
        <v>423.05</v>
      </c>
      <c r="M109" s="1">
        <v>3678.9</v>
      </c>
      <c r="N109" s="1">
        <v>12637</v>
      </c>
      <c r="O109" s="1">
        <v>3087.4</v>
      </c>
      <c r="P109" s="1">
        <v>2138.1999999999998</v>
      </c>
      <c r="Q109" s="1">
        <v>1648.3</v>
      </c>
      <c r="R109" s="1">
        <v>1694.4</v>
      </c>
      <c r="S109" s="1">
        <v>11260</v>
      </c>
      <c r="T109" s="1">
        <v>1219.9000000000001</v>
      </c>
      <c r="U109" s="1">
        <v>2017.4</v>
      </c>
      <c r="V109" s="1">
        <v>3533.9</v>
      </c>
      <c r="W109" s="1">
        <v>337.1</v>
      </c>
      <c r="X109" s="1">
        <v>256.83999999999997</v>
      </c>
      <c r="Y109" s="1">
        <v>1467.1</v>
      </c>
      <c r="Z109" s="1">
        <v>242.8</v>
      </c>
      <c r="AA109" s="1">
        <v>392.45</v>
      </c>
      <c r="AB109" s="1">
        <v>1008</v>
      </c>
      <c r="AC109" s="1">
        <v>251.29</v>
      </c>
      <c r="AD109" s="1">
        <v>300.5</v>
      </c>
      <c r="AE109" s="1">
        <v>717.8</v>
      </c>
      <c r="AF109" s="1">
        <v>8641</v>
      </c>
      <c r="AG109" s="1">
        <v>2247.9</v>
      </c>
      <c r="AH109" s="1">
        <v>401</v>
      </c>
      <c r="AI109" s="1">
        <v>1207.6500000000001</v>
      </c>
      <c r="AJ109" s="1">
        <v>157.32</v>
      </c>
      <c r="AK109" s="1">
        <v>304.25</v>
      </c>
      <c r="AL109" s="1">
        <v>2608.5</v>
      </c>
      <c r="AM109" s="1">
        <v>5391</v>
      </c>
      <c r="AN109" s="1">
        <v>5913.5</v>
      </c>
      <c r="AO109" s="1">
        <v>1790.8</v>
      </c>
      <c r="AP109" s="1">
        <v>760.4</v>
      </c>
      <c r="AQ109" s="1">
        <v>650.79999999999995</v>
      </c>
      <c r="AR109" s="1">
        <v>1579.1</v>
      </c>
      <c r="AS109" s="1">
        <v>1506.6</v>
      </c>
      <c r="AT109" s="1">
        <v>6932</v>
      </c>
      <c r="AU109" s="1">
        <v>698</v>
      </c>
      <c r="AV109" s="1">
        <v>1121.2</v>
      </c>
      <c r="AW109" s="1">
        <v>1319.1</v>
      </c>
      <c r="AX109" s="1">
        <v>4349.3999999999996</v>
      </c>
      <c r="AY109" s="1">
        <v>836.65</v>
      </c>
      <c r="BH109" s="2"/>
    </row>
    <row r="110" spans="1:60" ht="14.25" customHeight="1" x14ac:dyDescent="0.3">
      <c r="A110" s="2">
        <v>45818</v>
      </c>
      <c r="B110" s="1">
        <v>25104.25</v>
      </c>
      <c r="C110" s="1">
        <v>1438.5</v>
      </c>
      <c r="D110" s="1">
        <v>982.65</v>
      </c>
      <c r="E110" s="1">
        <v>1857.1</v>
      </c>
      <c r="F110" s="1">
        <v>3462.9</v>
      </c>
      <c r="G110" s="1">
        <v>1422.9</v>
      </c>
      <c r="H110" s="1">
        <v>817.05</v>
      </c>
      <c r="I110" s="1">
        <v>1596</v>
      </c>
      <c r="J110" s="1">
        <v>2395.1999999999998</v>
      </c>
      <c r="K110" s="1">
        <v>949.75</v>
      </c>
      <c r="L110" s="1">
        <v>427</v>
      </c>
      <c r="M110" s="1">
        <v>3679.8</v>
      </c>
      <c r="N110" s="1">
        <v>12520</v>
      </c>
      <c r="O110" s="1">
        <v>3067.5</v>
      </c>
      <c r="P110" s="1">
        <v>2151.1</v>
      </c>
      <c r="Q110" s="1">
        <v>1668.1</v>
      </c>
      <c r="R110" s="1">
        <v>1688.8</v>
      </c>
      <c r="S110" s="1">
        <v>11391</v>
      </c>
      <c r="T110" s="1">
        <v>1232.8</v>
      </c>
      <c r="U110" s="1">
        <v>1998.1</v>
      </c>
      <c r="V110" s="1">
        <v>3524.2</v>
      </c>
      <c r="W110" s="1">
        <v>339.2</v>
      </c>
      <c r="X110" s="1">
        <v>255.68</v>
      </c>
      <c r="Y110" s="1">
        <v>1473.8</v>
      </c>
      <c r="Z110" s="1">
        <v>244.68</v>
      </c>
      <c r="AA110" s="1">
        <v>397.4</v>
      </c>
      <c r="AB110" s="1">
        <v>1003.1</v>
      </c>
      <c r="AC110" s="1">
        <v>254.87</v>
      </c>
      <c r="AD110" s="1">
        <v>301.05</v>
      </c>
      <c r="AE110" s="1">
        <v>732.25</v>
      </c>
      <c r="AF110" s="1">
        <v>8626</v>
      </c>
      <c r="AG110" s="1">
        <v>2218.9</v>
      </c>
      <c r="AH110" s="1">
        <v>399.55</v>
      </c>
      <c r="AI110" s="1">
        <v>1215.7</v>
      </c>
      <c r="AJ110" s="1">
        <v>155.68</v>
      </c>
      <c r="AK110" s="1">
        <v>302.8</v>
      </c>
      <c r="AL110" s="1">
        <v>2708</v>
      </c>
      <c r="AM110" s="1">
        <v>5377.5</v>
      </c>
      <c r="AN110" s="1">
        <v>5814</v>
      </c>
      <c r="AO110" s="1">
        <v>1785.5</v>
      </c>
      <c r="AP110" s="1">
        <v>762.45</v>
      </c>
      <c r="AQ110" s="1">
        <v>658.35</v>
      </c>
      <c r="AR110" s="1">
        <v>1610.9</v>
      </c>
      <c r="AS110" s="1">
        <v>1510.8</v>
      </c>
      <c r="AT110" s="1">
        <v>6918.5</v>
      </c>
      <c r="AU110" s="1">
        <v>700.4</v>
      </c>
      <c r="AV110" s="1">
        <v>1115.0999999999999</v>
      </c>
      <c r="AW110" s="1">
        <v>1348.8</v>
      </c>
      <c r="AX110" s="1">
        <v>4379</v>
      </c>
      <c r="AY110" s="1">
        <v>845.05</v>
      </c>
      <c r="BH110" s="2"/>
    </row>
    <row r="111" spans="1:60" ht="14.25" customHeight="1" x14ac:dyDescent="0.3">
      <c r="A111" s="2">
        <v>45819</v>
      </c>
      <c r="B111" s="1">
        <v>25141.4</v>
      </c>
      <c r="C111" s="1">
        <v>1448.9</v>
      </c>
      <c r="D111" s="1">
        <v>975.2</v>
      </c>
      <c r="E111" s="1">
        <v>1860.2</v>
      </c>
      <c r="F111" s="1">
        <v>3471.9</v>
      </c>
      <c r="G111" s="1">
        <v>1431</v>
      </c>
      <c r="H111" s="1">
        <v>815.05</v>
      </c>
      <c r="I111" s="1">
        <v>1631.1</v>
      </c>
      <c r="J111" s="1">
        <v>2376.4</v>
      </c>
      <c r="K111" s="1">
        <v>942.5</v>
      </c>
      <c r="L111" s="1">
        <v>426.15</v>
      </c>
      <c r="M111" s="1">
        <v>3684.8</v>
      </c>
      <c r="N111" s="1">
        <v>12452</v>
      </c>
      <c r="O111" s="1">
        <v>3080.7</v>
      </c>
      <c r="P111" s="1">
        <v>2145.3000000000002</v>
      </c>
      <c r="Q111" s="1">
        <v>1721.9</v>
      </c>
      <c r="R111" s="1">
        <v>1690.6</v>
      </c>
      <c r="S111" s="1">
        <v>11464</v>
      </c>
      <c r="T111" s="1">
        <v>1231.4000000000001</v>
      </c>
      <c r="U111" s="1">
        <v>2012.9</v>
      </c>
      <c r="V111" s="1">
        <v>3541.6</v>
      </c>
      <c r="W111" s="1">
        <v>338.1</v>
      </c>
      <c r="X111" s="1">
        <v>257.07</v>
      </c>
      <c r="Y111" s="1">
        <v>1456.4</v>
      </c>
      <c r="Z111" s="1">
        <v>247.32</v>
      </c>
      <c r="AA111" s="1">
        <v>392.9</v>
      </c>
      <c r="AB111" s="1">
        <v>1007.1</v>
      </c>
      <c r="AC111" s="1">
        <v>258.92</v>
      </c>
      <c r="AD111" s="1">
        <v>295.45</v>
      </c>
      <c r="AE111" s="1">
        <v>736.4</v>
      </c>
      <c r="AF111" s="1">
        <v>8719</v>
      </c>
      <c r="AG111" s="1">
        <v>2208.8000000000002</v>
      </c>
      <c r="AH111" s="1">
        <v>402.1</v>
      </c>
      <c r="AI111" s="1">
        <v>1209.5999999999999</v>
      </c>
      <c r="AJ111" s="1">
        <v>156.41</v>
      </c>
      <c r="AK111" s="1">
        <v>302.64999999999998</v>
      </c>
      <c r="AL111" s="1">
        <v>2722.2</v>
      </c>
      <c r="AM111" s="1">
        <v>5352</v>
      </c>
      <c r="AN111" s="1">
        <v>5776.5</v>
      </c>
      <c r="AO111" s="1">
        <v>1799.3</v>
      </c>
      <c r="AP111" s="1">
        <v>764.2</v>
      </c>
      <c r="AQ111" s="1">
        <v>655.20000000000005</v>
      </c>
      <c r="AR111" s="1">
        <v>1637.5</v>
      </c>
      <c r="AS111" s="1">
        <v>1521.7</v>
      </c>
      <c r="AT111" s="1">
        <v>6927.5</v>
      </c>
      <c r="AU111" s="1">
        <v>686.05</v>
      </c>
      <c r="AV111" s="1">
        <v>1104.3</v>
      </c>
      <c r="AW111" s="1">
        <v>1351.1</v>
      </c>
      <c r="AX111" s="1">
        <v>4410.3</v>
      </c>
      <c r="AY111" s="1">
        <v>836.3</v>
      </c>
      <c r="BH111" s="2"/>
    </row>
    <row r="112" spans="1:60" ht="14.25" customHeight="1" x14ac:dyDescent="0.3">
      <c r="A112" s="2">
        <v>45820</v>
      </c>
      <c r="B112" s="1">
        <v>24888.2</v>
      </c>
      <c r="C112" s="1">
        <v>1441.6</v>
      </c>
      <c r="D112" s="1">
        <v>971.7</v>
      </c>
      <c r="E112" s="1">
        <v>1844.2</v>
      </c>
      <c r="F112" s="1">
        <v>3434.2</v>
      </c>
      <c r="G112" s="1">
        <v>1425.2</v>
      </c>
      <c r="H112" s="1">
        <v>805.95</v>
      </c>
      <c r="I112" s="1">
        <v>1608.6</v>
      </c>
      <c r="J112" s="1">
        <v>2332.6999999999998</v>
      </c>
      <c r="K112" s="1">
        <v>936.85</v>
      </c>
      <c r="L112" s="1">
        <v>421</v>
      </c>
      <c r="M112" s="1">
        <v>3603.9</v>
      </c>
      <c r="N112" s="1">
        <v>12390</v>
      </c>
      <c r="O112" s="1">
        <v>3019.2</v>
      </c>
      <c r="P112" s="1">
        <v>2126.8000000000002</v>
      </c>
      <c r="Q112" s="1">
        <v>1701.2</v>
      </c>
      <c r="R112" s="1">
        <v>1687.4</v>
      </c>
      <c r="S112" s="1">
        <v>11323</v>
      </c>
      <c r="T112" s="1">
        <v>1212.9000000000001</v>
      </c>
      <c r="U112" s="1">
        <v>2028.8</v>
      </c>
      <c r="V112" s="1">
        <v>3452.7</v>
      </c>
      <c r="W112" s="1">
        <v>333.7</v>
      </c>
      <c r="X112" s="1">
        <v>251.56</v>
      </c>
      <c r="Y112" s="1">
        <v>1445.8</v>
      </c>
      <c r="Z112" s="1">
        <v>247.88</v>
      </c>
      <c r="AA112" s="1">
        <v>387.4</v>
      </c>
      <c r="AB112" s="1">
        <v>995.65</v>
      </c>
      <c r="AC112" s="1">
        <v>259.61</v>
      </c>
      <c r="AD112" s="1">
        <v>289</v>
      </c>
      <c r="AE112" s="1">
        <v>715.35</v>
      </c>
      <c r="AF112" s="1">
        <v>8567</v>
      </c>
      <c r="AG112" s="1">
        <v>2219.4</v>
      </c>
      <c r="AH112" s="1">
        <v>392.7</v>
      </c>
      <c r="AI112" s="1">
        <v>1192.8</v>
      </c>
      <c r="AJ112" s="1">
        <v>152.88999999999999</v>
      </c>
      <c r="AK112" s="1">
        <v>296</v>
      </c>
      <c r="AL112" s="1">
        <v>2689.1</v>
      </c>
      <c r="AM112" s="1">
        <v>5315.5</v>
      </c>
      <c r="AN112" s="1">
        <v>5627.5</v>
      </c>
      <c r="AO112" s="1">
        <v>1766</v>
      </c>
      <c r="AP112" s="1">
        <v>754.5</v>
      </c>
      <c r="AQ112" s="1">
        <v>651.04999999999995</v>
      </c>
      <c r="AR112" s="1">
        <v>1644.4</v>
      </c>
      <c r="AS112" s="1">
        <v>1502.8</v>
      </c>
      <c r="AT112" s="1">
        <v>6996.5</v>
      </c>
      <c r="AU112" s="1">
        <v>668.05</v>
      </c>
      <c r="AV112" s="1">
        <v>1085.0999999999999</v>
      </c>
      <c r="AW112" s="1">
        <v>1362.7</v>
      </c>
      <c r="AX112" s="1">
        <v>4362.8</v>
      </c>
      <c r="AY112" s="1">
        <v>829.9</v>
      </c>
      <c r="BH112" s="2"/>
    </row>
    <row r="113" spans="1:60" ht="14.25" customHeight="1" x14ac:dyDescent="0.3">
      <c r="A113" s="2">
        <v>45821</v>
      </c>
      <c r="B113" s="1">
        <v>24718.6</v>
      </c>
      <c r="C113" s="1">
        <v>1427.9</v>
      </c>
      <c r="D113" s="1">
        <v>958.8</v>
      </c>
      <c r="E113" s="1">
        <v>1840.4</v>
      </c>
      <c r="F113" s="1">
        <v>3445.7</v>
      </c>
      <c r="G113" s="1">
        <v>1416.1</v>
      </c>
      <c r="H113" s="1">
        <v>792.35</v>
      </c>
      <c r="I113" s="1">
        <v>1602</v>
      </c>
      <c r="J113" s="1">
        <v>2319</v>
      </c>
      <c r="K113" s="1">
        <v>933.1</v>
      </c>
      <c r="L113" s="1">
        <v>413.9</v>
      </c>
      <c r="M113" s="1">
        <v>3587.4</v>
      </c>
      <c r="N113" s="1">
        <v>12408</v>
      </c>
      <c r="O113" s="1">
        <v>3006</v>
      </c>
      <c r="P113" s="1">
        <v>2107.4</v>
      </c>
      <c r="Q113" s="1">
        <v>1695.3</v>
      </c>
      <c r="R113" s="1">
        <v>1687.8</v>
      </c>
      <c r="S113" s="1">
        <v>11224</v>
      </c>
      <c r="T113" s="1">
        <v>1205.8</v>
      </c>
      <c r="U113" s="1">
        <v>2011</v>
      </c>
      <c r="V113" s="1">
        <v>3421.9</v>
      </c>
      <c r="W113" s="1">
        <v>331.95</v>
      </c>
      <c r="X113" s="1">
        <v>249.08</v>
      </c>
      <c r="Y113" s="1">
        <v>1405</v>
      </c>
      <c r="Z113" s="1">
        <v>251.51</v>
      </c>
      <c r="AA113" s="1">
        <v>394.2</v>
      </c>
      <c r="AB113" s="1">
        <v>987.25</v>
      </c>
      <c r="AC113" s="1">
        <v>260.20999999999998</v>
      </c>
      <c r="AD113" s="1">
        <v>285.5</v>
      </c>
      <c r="AE113" s="1">
        <v>712.05</v>
      </c>
      <c r="AF113" s="1">
        <v>8463.5</v>
      </c>
      <c r="AG113" s="1">
        <v>2214.1999999999998</v>
      </c>
      <c r="AH113" s="1">
        <v>391.2</v>
      </c>
      <c r="AI113" s="1">
        <v>1188.4000000000001</v>
      </c>
      <c r="AJ113" s="1">
        <v>152.13</v>
      </c>
      <c r="AK113" s="1">
        <v>294.05</v>
      </c>
      <c r="AL113" s="1">
        <v>2663.8</v>
      </c>
      <c r="AM113" s="1">
        <v>5319</v>
      </c>
      <c r="AN113" s="1">
        <v>5590</v>
      </c>
      <c r="AO113" s="1">
        <v>1755.2</v>
      </c>
      <c r="AP113" s="1">
        <v>752.85</v>
      </c>
      <c r="AQ113" s="1">
        <v>641.79999999999995</v>
      </c>
      <c r="AR113" s="1">
        <v>1659</v>
      </c>
      <c r="AS113" s="1">
        <v>1505.2</v>
      </c>
      <c r="AT113" s="1">
        <v>6994.5</v>
      </c>
      <c r="AU113" s="1">
        <v>667.15</v>
      </c>
      <c r="AV113" s="1">
        <v>1078.4000000000001</v>
      </c>
      <c r="AW113" s="1">
        <v>1362.5</v>
      </c>
      <c r="AX113" s="1">
        <v>4333.8</v>
      </c>
      <c r="AY113" s="1">
        <v>816.85</v>
      </c>
      <c r="BH113" s="2"/>
    </row>
    <row r="114" spans="1:60" ht="14.25" customHeight="1" x14ac:dyDescent="0.3">
      <c r="A114" s="2">
        <v>45824</v>
      </c>
      <c r="B114" s="1">
        <v>24946.5</v>
      </c>
      <c r="C114" s="1">
        <v>1437.8</v>
      </c>
      <c r="D114" s="1">
        <v>967.7</v>
      </c>
      <c r="E114" s="1">
        <v>1861.3</v>
      </c>
      <c r="F114" s="1">
        <v>3496.3</v>
      </c>
      <c r="G114" s="1">
        <v>1426.9</v>
      </c>
      <c r="H114" s="1">
        <v>792.5</v>
      </c>
      <c r="I114" s="1">
        <v>1623.8</v>
      </c>
      <c r="J114" s="1">
        <v>2327.4</v>
      </c>
      <c r="K114" s="1">
        <v>938</v>
      </c>
      <c r="L114" s="1">
        <v>418.2</v>
      </c>
      <c r="M114" s="1">
        <v>3628.7</v>
      </c>
      <c r="N114" s="1">
        <v>12530</v>
      </c>
      <c r="O114" s="1">
        <v>3023.6</v>
      </c>
      <c r="P114" s="1">
        <v>2139</v>
      </c>
      <c r="Q114" s="1">
        <v>1723</v>
      </c>
      <c r="R114" s="1">
        <v>1685.3</v>
      </c>
      <c r="S114" s="1">
        <v>11495</v>
      </c>
      <c r="T114" s="1">
        <v>1215.4000000000001</v>
      </c>
      <c r="U114" s="1">
        <v>2028.2</v>
      </c>
      <c r="V114" s="1">
        <v>3438.1</v>
      </c>
      <c r="W114" s="1">
        <v>333.7</v>
      </c>
      <c r="X114" s="1">
        <v>252.15</v>
      </c>
      <c r="Y114" s="1">
        <v>1400.6</v>
      </c>
      <c r="Z114" s="1">
        <v>256.79000000000002</v>
      </c>
      <c r="AA114" s="1">
        <v>403.85</v>
      </c>
      <c r="AB114" s="1">
        <v>1003.8</v>
      </c>
      <c r="AC114" s="1">
        <v>262.89</v>
      </c>
      <c r="AD114" s="1">
        <v>288.64999999999998</v>
      </c>
      <c r="AE114" s="1">
        <v>686.65</v>
      </c>
      <c r="AF114" s="1">
        <v>8529.5</v>
      </c>
      <c r="AG114" s="1">
        <v>2244.8000000000002</v>
      </c>
      <c r="AH114" s="1">
        <v>394.35</v>
      </c>
      <c r="AI114" s="1">
        <v>1194.9000000000001</v>
      </c>
      <c r="AJ114" s="1">
        <v>154.16999999999999</v>
      </c>
      <c r="AK114" s="1">
        <v>294.14999999999998</v>
      </c>
      <c r="AL114" s="1">
        <v>2704.9</v>
      </c>
      <c r="AM114" s="1">
        <v>5365</v>
      </c>
      <c r="AN114" s="1">
        <v>5679.5</v>
      </c>
      <c r="AO114" s="1">
        <v>1797.8</v>
      </c>
      <c r="AP114" s="1">
        <v>770.55</v>
      </c>
      <c r="AQ114" s="1">
        <v>649.6</v>
      </c>
      <c r="AR114" s="1">
        <v>1693.9</v>
      </c>
      <c r="AS114" s="1">
        <v>1527</v>
      </c>
      <c r="AT114" s="1">
        <v>7114</v>
      </c>
      <c r="AU114" s="1">
        <v>676.15</v>
      </c>
      <c r="AV114" s="1">
        <v>1083.4000000000001</v>
      </c>
      <c r="AW114" s="1">
        <v>1346.8</v>
      </c>
      <c r="AX114" s="1">
        <v>4364.5</v>
      </c>
      <c r="AY114" s="1">
        <v>821.25</v>
      </c>
      <c r="BH114" s="2"/>
    </row>
    <row r="115" spans="1:60" ht="14.25" customHeight="1" x14ac:dyDescent="0.3">
      <c r="A115" s="2">
        <v>45825</v>
      </c>
      <c r="B115" s="1">
        <v>24853.4</v>
      </c>
      <c r="C115" s="1">
        <v>1431.2</v>
      </c>
      <c r="D115" s="1">
        <v>964.8</v>
      </c>
      <c r="E115" s="1">
        <v>1854.8</v>
      </c>
      <c r="F115" s="1">
        <v>3515.3</v>
      </c>
      <c r="G115" s="1">
        <v>1423.2</v>
      </c>
      <c r="H115" s="1">
        <v>792.3</v>
      </c>
      <c r="I115" s="1">
        <v>1639.9</v>
      </c>
      <c r="J115" s="1">
        <v>2328.6</v>
      </c>
      <c r="K115" s="1">
        <v>923</v>
      </c>
      <c r="L115" s="1">
        <v>417.4</v>
      </c>
      <c r="M115" s="1">
        <v>3622.3</v>
      </c>
      <c r="N115" s="1">
        <v>12595</v>
      </c>
      <c r="O115" s="1">
        <v>3007.2</v>
      </c>
      <c r="P115" s="1">
        <v>2136.8000000000002</v>
      </c>
      <c r="Q115" s="1">
        <v>1729.6</v>
      </c>
      <c r="R115" s="1">
        <v>1650.2</v>
      </c>
      <c r="S115" s="1">
        <v>11383</v>
      </c>
      <c r="T115" s="1">
        <v>1215.0999999999999</v>
      </c>
      <c r="U115" s="1">
        <v>2003.3</v>
      </c>
      <c r="V115" s="1">
        <v>3405.7</v>
      </c>
      <c r="W115" s="1">
        <v>335.2</v>
      </c>
      <c r="X115" s="1">
        <v>247.25</v>
      </c>
      <c r="Y115" s="1">
        <v>1392.3</v>
      </c>
      <c r="Z115" s="1">
        <v>252.31</v>
      </c>
      <c r="AA115" s="1">
        <v>401.75</v>
      </c>
      <c r="AB115" s="1">
        <v>999.65</v>
      </c>
      <c r="AC115" s="1">
        <v>262.91000000000003</v>
      </c>
      <c r="AD115" s="1">
        <v>288.55</v>
      </c>
      <c r="AE115" s="1">
        <v>674.75</v>
      </c>
      <c r="AF115" s="1">
        <v>8494.5</v>
      </c>
      <c r="AG115" s="1">
        <v>2264.8000000000002</v>
      </c>
      <c r="AH115" s="1">
        <v>391.3</v>
      </c>
      <c r="AI115" s="1">
        <v>1181</v>
      </c>
      <c r="AJ115" s="1">
        <v>152.6</v>
      </c>
      <c r="AK115" s="1">
        <v>289.8</v>
      </c>
      <c r="AL115" s="1">
        <v>2671.4</v>
      </c>
      <c r="AM115" s="1">
        <v>5341</v>
      </c>
      <c r="AN115" s="1">
        <v>5626.5</v>
      </c>
      <c r="AO115" s="1">
        <v>1800.2</v>
      </c>
      <c r="AP115" s="1">
        <v>773.95</v>
      </c>
      <c r="AQ115" s="1">
        <v>641.70000000000005</v>
      </c>
      <c r="AR115" s="1">
        <v>1718.6</v>
      </c>
      <c r="AS115" s="1">
        <v>1503.5</v>
      </c>
      <c r="AT115" s="1">
        <v>7006.5</v>
      </c>
      <c r="AU115" s="1">
        <v>665</v>
      </c>
      <c r="AV115" s="1">
        <v>1071.5999999999999</v>
      </c>
      <c r="AW115" s="1">
        <v>1318.8</v>
      </c>
      <c r="AX115" s="1">
        <v>4371</v>
      </c>
      <c r="AY115" s="1">
        <v>809.15</v>
      </c>
      <c r="BH115" s="2"/>
    </row>
    <row r="116" spans="1:60" ht="14.25" customHeight="1" x14ac:dyDescent="0.3">
      <c r="A116" s="2">
        <v>45826</v>
      </c>
      <c r="B116" s="1">
        <v>24812.05</v>
      </c>
      <c r="C116" s="1">
        <v>1430.1</v>
      </c>
      <c r="D116" s="1">
        <v>966.95</v>
      </c>
      <c r="E116" s="1">
        <v>1865.9</v>
      </c>
      <c r="F116" s="1">
        <v>3451.4</v>
      </c>
      <c r="G116" s="1">
        <v>1412.6</v>
      </c>
      <c r="H116" s="1">
        <v>791.9</v>
      </c>
      <c r="I116" s="1">
        <v>1632.9</v>
      </c>
      <c r="J116" s="1">
        <v>2297.3000000000002</v>
      </c>
      <c r="K116" s="1">
        <v>919</v>
      </c>
      <c r="L116" s="1">
        <v>415.9</v>
      </c>
      <c r="M116" s="1">
        <v>3601.5</v>
      </c>
      <c r="N116" s="1">
        <v>12748</v>
      </c>
      <c r="O116" s="1">
        <v>3041.1</v>
      </c>
      <c r="P116" s="1">
        <v>2132.4</v>
      </c>
      <c r="Q116" s="1">
        <v>1715.9</v>
      </c>
      <c r="R116" s="1">
        <v>1648</v>
      </c>
      <c r="S116" s="1">
        <v>11406</v>
      </c>
      <c r="T116" s="1">
        <v>1221</v>
      </c>
      <c r="U116" s="1">
        <v>1981.4</v>
      </c>
      <c r="V116" s="1">
        <v>3467.8</v>
      </c>
      <c r="W116" s="1">
        <v>332.4</v>
      </c>
      <c r="X116" s="1">
        <v>248.41</v>
      </c>
      <c r="Y116" s="1">
        <v>1372.6</v>
      </c>
      <c r="Z116" s="1">
        <v>250.36</v>
      </c>
      <c r="AA116" s="1">
        <v>400.5</v>
      </c>
      <c r="AB116" s="1">
        <v>986.35</v>
      </c>
      <c r="AC116" s="1">
        <v>261.58999999999997</v>
      </c>
      <c r="AD116" s="1">
        <v>287.3</v>
      </c>
      <c r="AE116" s="1">
        <v>670.25</v>
      </c>
      <c r="AF116" s="1">
        <v>8468</v>
      </c>
      <c r="AG116" s="1">
        <v>2281.4</v>
      </c>
      <c r="AH116" s="1">
        <v>390.35</v>
      </c>
      <c r="AI116" s="1">
        <v>1170.4000000000001</v>
      </c>
      <c r="AJ116" s="1">
        <v>152.11000000000001</v>
      </c>
      <c r="AK116" s="1">
        <v>288.14999999999998</v>
      </c>
      <c r="AL116" s="1">
        <v>2675.4</v>
      </c>
      <c r="AM116" s="1">
        <v>5393</v>
      </c>
      <c r="AN116" s="1">
        <v>5735</v>
      </c>
      <c r="AO116" s="1">
        <v>1797.2</v>
      </c>
      <c r="AP116" s="1">
        <v>766.2</v>
      </c>
      <c r="AQ116" s="1">
        <v>645.35</v>
      </c>
      <c r="AR116" s="1">
        <v>1710.7</v>
      </c>
      <c r="AS116" s="1">
        <v>1498.1</v>
      </c>
      <c r="AT116" s="1">
        <v>6933.5</v>
      </c>
      <c r="AU116" s="1">
        <v>662.1</v>
      </c>
      <c r="AV116" s="1">
        <v>1065.2</v>
      </c>
      <c r="AW116" s="1">
        <v>1313.3</v>
      </c>
      <c r="AX116" s="1">
        <v>4357.8999999999996</v>
      </c>
      <c r="AY116" s="1">
        <v>850.5</v>
      </c>
      <c r="BH116" s="2"/>
    </row>
    <row r="117" spans="1:60" ht="14.25" customHeight="1" x14ac:dyDescent="0.3">
      <c r="A117" s="2">
        <v>45827</v>
      </c>
      <c r="B117" s="1">
        <v>24793.25</v>
      </c>
      <c r="C117" s="1">
        <v>1433.3</v>
      </c>
      <c r="D117" s="1">
        <v>967.65</v>
      </c>
      <c r="E117" s="1">
        <v>1877</v>
      </c>
      <c r="F117" s="1">
        <v>3424</v>
      </c>
      <c r="G117" s="1">
        <v>1411.3</v>
      </c>
      <c r="H117" s="1">
        <v>785.1</v>
      </c>
      <c r="I117" s="1">
        <v>1618.4</v>
      </c>
      <c r="J117" s="1">
        <v>2294.1999999999998</v>
      </c>
      <c r="K117" s="1">
        <v>900.5</v>
      </c>
      <c r="L117" s="1">
        <v>416</v>
      </c>
      <c r="M117" s="1">
        <v>3621.1</v>
      </c>
      <c r="N117" s="1">
        <v>12806</v>
      </c>
      <c r="O117" s="1">
        <v>3094.8</v>
      </c>
      <c r="P117" s="1">
        <v>2146.4</v>
      </c>
      <c r="Q117" s="1">
        <v>1713.9</v>
      </c>
      <c r="R117" s="1">
        <v>1647.6</v>
      </c>
      <c r="S117" s="1">
        <v>11420</v>
      </c>
      <c r="T117" s="1">
        <v>1217.5</v>
      </c>
      <c r="U117" s="1">
        <v>1967.6</v>
      </c>
      <c r="V117" s="1">
        <v>3505.4</v>
      </c>
      <c r="W117" s="1">
        <v>330.05</v>
      </c>
      <c r="X117" s="1">
        <v>249.42</v>
      </c>
      <c r="Y117" s="1">
        <v>1338</v>
      </c>
      <c r="Z117" s="1">
        <v>251.56</v>
      </c>
      <c r="AA117" s="1">
        <v>398.55</v>
      </c>
      <c r="AB117" s="1">
        <v>996.05</v>
      </c>
      <c r="AC117" s="1">
        <v>265.58</v>
      </c>
      <c r="AD117" s="1">
        <v>286.45</v>
      </c>
      <c r="AE117" s="1">
        <v>672.3</v>
      </c>
      <c r="AF117" s="1">
        <v>8496</v>
      </c>
      <c r="AG117" s="1">
        <v>2268</v>
      </c>
      <c r="AH117" s="1">
        <v>384.25</v>
      </c>
      <c r="AI117" s="1">
        <v>1159.45</v>
      </c>
      <c r="AJ117" s="1">
        <v>151</v>
      </c>
      <c r="AK117" s="1">
        <v>284.10000000000002</v>
      </c>
      <c r="AL117" s="1">
        <v>2693.2</v>
      </c>
      <c r="AM117" s="1">
        <v>5493.5</v>
      </c>
      <c r="AN117" s="1">
        <v>5723.5</v>
      </c>
      <c r="AO117" s="1">
        <v>1789.4</v>
      </c>
      <c r="AP117" s="1">
        <v>761.85</v>
      </c>
      <c r="AQ117" s="1">
        <v>641.35</v>
      </c>
      <c r="AR117" s="1">
        <v>1684</v>
      </c>
      <c r="AS117" s="1">
        <v>1484</v>
      </c>
      <c r="AT117" s="1">
        <v>7009.5</v>
      </c>
      <c r="AU117" s="1">
        <v>652.20000000000005</v>
      </c>
      <c r="AV117" s="1">
        <v>1088.3</v>
      </c>
      <c r="AW117" s="1">
        <v>1326.1</v>
      </c>
      <c r="AX117" s="1">
        <v>4384.3</v>
      </c>
      <c r="AY117" s="1">
        <v>837.5</v>
      </c>
      <c r="BH117" s="2"/>
    </row>
    <row r="118" spans="1:60" ht="14.25" customHeight="1" x14ac:dyDescent="0.3">
      <c r="A118" s="2">
        <v>45828</v>
      </c>
      <c r="B118" s="1">
        <v>25112.400000000001</v>
      </c>
      <c r="C118" s="1">
        <v>1466.2</v>
      </c>
      <c r="D118" s="1">
        <v>982.35</v>
      </c>
      <c r="E118" s="1">
        <v>1936.7</v>
      </c>
      <c r="F118" s="1">
        <v>3435.7</v>
      </c>
      <c r="G118" s="1">
        <v>1427.1</v>
      </c>
      <c r="H118" s="1">
        <v>796.15</v>
      </c>
      <c r="I118" s="1">
        <v>1622.9</v>
      </c>
      <c r="J118" s="1">
        <v>2306.1999999999998</v>
      </c>
      <c r="K118" s="1">
        <v>905</v>
      </c>
      <c r="L118" s="1">
        <v>418.55</v>
      </c>
      <c r="M118" s="1">
        <v>3662</v>
      </c>
      <c r="N118" s="1">
        <v>12791</v>
      </c>
      <c r="O118" s="1">
        <v>3184.4</v>
      </c>
      <c r="P118" s="1">
        <v>2169.8000000000002</v>
      </c>
      <c r="Q118" s="1">
        <v>1739.9</v>
      </c>
      <c r="R118" s="1">
        <v>1665.1</v>
      </c>
      <c r="S118" s="1">
        <v>11458</v>
      </c>
      <c r="T118" s="1">
        <v>1220.7</v>
      </c>
      <c r="U118" s="1">
        <v>1986.2</v>
      </c>
      <c r="V118" s="1">
        <v>3519</v>
      </c>
      <c r="W118" s="1">
        <v>335.2</v>
      </c>
      <c r="X118" s="1">
        <v>253.33</v>
      </c>
      <c r="Y118" s="1">
        <v>1349.3</v>
      </c>
      <c r="Z118" s="1">
        <v>251.89</v>
      </c>
      <c r="AA118" s="1">
        <v>408.25</v>
      </c>
      <c r="AB118" s="1">
        <v>1005.55</v>
      </c>
      <c r="AC118" s="1">
        <v>266.54000000000002</v>
      </c>
      <c r="AD118" s="1">
        <v>293.10000000000002</v>
      </c>
      <c r="AE118" s="1">
        <v>676.2</v>
      </c>
      <c r="AF118" s="1">
        <v>8371</v>
      </c>
      <c r="AG118" s="1">
        <v>2285.6999999999998</v>
      </c>
      <c r="AH118" s="1">
        <v>389.05</v>
      </c>
      <c r="AI118" s="1">
        <v>1180.2</v>
      </c>
      <c r="AJ118" s="1">
        <v>151.97</v>
      </c>
      <c r="AK118" s="1">
        <v>294.25</v>
      </c>
      <c r="AL118" s="1">
        <v>2712.6</v>
      </c>
      <c r="AM118" s="1">
        <v>5525</v>
      </c>
      <c r="AN118" s="1">
        <v>5897.5</v>
      </c>
      <c r="AO118" s="1">
        <v>1810.9</v>
      </c>
      <c r="AP118" s="1">
        <v>778.95</v>
      </c>
      <c r="AQ118" s="1">
        <v>649.15</v>
      </c>
      <c r="AR118" s="1">
        <v>1696.1</v>
      </c>
      <c r="AS118" s="1">
        <v>1499.7</v>
      </c>
      <c r="AT118" s="1">
        <v>7063.5</v>
      </c>
      <c r="AU118" s="1">
        <v>666.35</v>
      </c>
      <c r="AV118" s="1">
        <v>1100.2</v>
      </c>
      <c r="AW118" s="1">
        <v>1325.3</v>
      </c>
      <c r="AX118" s="1">
        <v>4338.5</v>
      </c>
      <c r="AY118" s="1">
        <v>840.25</v>
      </c>
      <c r="BH118" s="2"/>
    </row>
    <row r="119" spans="1:60" ht="14.25" customHeight="1" x14ac:dyDescent="0.3">
      <c r="A119" s="2">
        <v>45831</v>
      </c>
      <c r="B119" s="1">
        <v>24971.9</v>
      </c>
      <c r="C119" s="1">
        <v>1456.8</v>
      </c>
      <c r="D119" s="1">
        <v>974.2</v>
      </c>
      <c r="E119" s="1">
        <v>1936.3</v>
      </c>
      <c r="F119" s="1">
        <v>3393.6</v>
      </c>
      <c r="G119" s="1">
        <v>1420.1</v>
      </c>
      <c r="H119" s="1">
        <v>790.2</v>
      </c>
      <c r="I119" s="1">
        <v>1584</v>
      </c>
      <c r="J119" s="1">
        <v>2275.1</v>
      </c>
      <c r="K119" s="1">
        <v>915.5</v>
      </c>
      <c r="L119" s="1">
        <v>413.9</v>
      </c>
      <c r="M119" s="1">
        <v>3583.7</v>
      </c>
      <c r="N119" s="1">
        <v>12699</v>
      </c>
      <c r="O119" s="1">
        <v>3135</v>
      </c>
      <c r="P119" s="1">
        <v>2184.1</v>
      </c>
      <c r="Q119" s="1">
        <v>1703.2</v>
      </c>
      <c r="R119" s="1">
        <v>1662.5</v>
      </c>
      <c r="S119" s="1">
        <v>11449</v>
      </c>
      <c r="T119" s="1">
        <v>1214.0999999999999</v>
      </c>
      <c r="U119" s="1">
        <v>1997.6</v>
      </c>
      <c r="V119" s="1">
        <v>3505.7</v>
      </c>
      <c r="W119" s="1">
        <v>332.6</v>
      </c>
      <c r="X119" s="1">
        <v>254.64</v>
      </c>
      <c r="Y119" s="1">
        <v>1354.8</v>
      </c>
      <c r="Z119" s="1">
        <v>251.38</v>
      </c>
      <c r="AA119" s="1">
        <v>420.9</v>
      </c>
      <c r="AB119" s="1">
        <v>997</v>
      </c>
      <c r="AC119" s="1">
        <v>263.24</v>
      </c>
      <c r="AD119" s="1">
        <v>290.25</v>
      </c>
      <c r="AE119" s="1">
        <v>671.25</v>
      </c>
      <c r="AF119" s="1">
        <v>8286.5</v>
      </c>
      <c r="AG119" s="1">
        <v>2264.1</v>
      </c>
      <c r="AH119" s="1">
        <v>392.5</v>
      </c>
      <c r="AI119" s="1">
        <v>1179.55</v>
      </c>
      <c r="AJ119" s="1">
        <v>152.43</v>
      </c>
      <c r="AK119" s="1">
        <v>293.14999999999998</v>
      </c>
      <c r="AL119" s="1">
        <v>2723.7</v>
      </c>
      <c r="AM119" s="1">
        <v>5552.5</v>
      </c>
      <c r="AN119" s="1">
        <v>6120</v>
      </c>
      <c r="AO119" s="1">
        <v>1818.6</v>
      </c>
      <c r="AP119" s="1">
        <v>774.15</v>
      </c>
      <c r="AQ119" s="1">
        <v>661.4</v>
      </c>
      <c r="AR119" s="1">
        <v>1681.8</v>
      </c>
      <c r="AS119" s="1">
        <v>1499.1</v>
      </c>
      <c r="AT119" s="1">
        <v>7007.5</v>
      </c>
      <c r="AU119" s="1">
        <v>661.65</v>
      </c>
      <c r="AV119" s="1">
        <v>1109.4000000000001</v>
      </c>
      <c r="AW119" s="1">
        <v>1317.9</v>
      </c>
      <c r="AX119" s="1">
        <v>4253.1000000000004</v>
      </c>
      <c r="AY119" s="1">
        <v>839.9</v>
      </c>
      <c r="BH119" s="2"/>
    </row>
    <row r="120" spans="1:60" ht="14.25" customHeight="1" x14ac:dyDescent="0.3">
      <c r="A120" s="2">
        <v>45832</v>
      </c>
      <c r="B120" s="1">
        <v>25044.35</v>
      </c>
      <c r="C120" s="1">
        <v>1450.8</v>
      </c>
      <c r="D120" s="1">
        <v>980.45</v>
      </c>
      <c r="E120" s="1">
        <v>1933.6</v>
      </c>
      <c r="F120" s="1">
        <v>3390.4</v>
      </c>
      <c r="G120" s="1">
        <v>1424.1</v>
      </c>
      <c r="H120" s="1">
        <v>795.4</v>
      </c>
      <c r="I120" s="1">
        <v>1581.6</v>
      </c>
      <c r="J120" s="1">
        <v>2263.1</v>
      </c>
      <c r="K120" s="1">
        <v>916.5</v>
      </c>
      <c r="L120" s="1">
        <v>414.35</v>
      </c>
      <c r="M120" s="1">
        <v>3604.8</v>
      </c>
      <c r="N120" s="1">
        <v>12611</v>
      </c>
      <c r="O120" s="1">
        <v>3150.1</v>
      </c>
      <c r="P120" s="1">
        <v>2223.6</v>
      </c>
      <c r="Q120" s="1">
        <v>1691.8</v>
      </c>
      <c r="R120" s="1">
        <v>1661.7</v>
      </c>
      <c r="S120" s="1">
        <v>11579</v>
      </c>
      <c r="T120" s="1">
        <v>1221.2</v>
      </c>
      <c r="U120" s="1">
        <v>2009.2</v>
      </c>
      <c r="V120" s="1">
        <v>3526</v>
      </c>
      <c r="W120" s="1">
        <v>329.95</v>
      </c>
      <c r="X120" s="1">
        <v>255.07</v>
      </c>
      <c r="Y120" s="1">
        <v>1389.5</v>
      </c>
      <c r="Z120" s="1">
        <v>243.92</v>
      </c>
      <c r="AA120" s="1">
        <v>418.5</v>
      </c>
      <c r="AB120" s="1">
        <v>1007</v>
      </c>
      <c r="AC120" s="1">
        <v>264.97000000000003</v>
      </c>
      <c r="AD120" s="1">
        <v>285.95</v>
      </c>
      <c r="AE120" s="1">
        <v>673.65</v>
      </c>
      <c r="AF120" s="1">
        <v>8377</v>
      </c>
      <c r="AG120" s="1">
        <v>2275.3000000000002</v>
      </c>
      <c r="AH120" s="1">
        <v>392.65</v>
      </c>
      <c r="AI120" s="1">
        <v>1182.9000000000001</v>
      </c>
      <c r="AJ120" s="1">
        <v>154.79</v>
      </c>
      <c r="AK120" s="1">
        <v>300.8</v>
      </c>
      <c r="AL120" s="1">
        <v>2780.9</v>
      </c>
      <c r="AM120" s="1">
        <v>5629</v>
      </c>
      <c r="AN120" s="1">
        <v>6057.5</v>
      </c>
      <c r="AO120" s="1">
        <v>1843</v>
      </c>
      <c r="AP120" s="1">
        <v>779.7</v>
      </c>
      <c r="AQ120" s="1">
        <v>669.4</v>
      </c>
      <c r="AR120" s="1">
        <v>1677.1</v>
      </c>
      <c r="AS120" s="1">
        <v>1502.4</v>
      </c>
      <c r="AT120" s="1">
        <v>7006</v>
      </c>
      <c r="AU120" s="1">
        <v>676.05</v>
      </c>
      <c r="AV120" s="1">
        <v>1107.7</v>
      </c>
      <c r="AW120" s="1">
        <v>1337.3</v>
      </c>
      <c r="AX120" s="1">
        <v>4292.5</v>
      </c>
      <c r="AY120" s="1">
        <v>831.95</v>
      </c>
      <c r="BH120" s="2"/>
    </row>
    <row r="121" spans="1:60" ht="14.25" customHeight="1" x14ac:dyDescent="0.3">
      <c r="A121" s="2">
        <v>45833</v>
      </c>
      <c r="B121" s="1">
        <v>25244.75</v>
      </c>
      <c r="C121" s="1">
        <v>1467.3</v>
      </c>
      <c r="D121" s="1">
        <v>990.1</v>
      </c>
      <c r="E121" s="1">
        <v>1965.6</v>
      </c>
      <c r="F121" s="1">
        <v>3444.8</v>
      </c>
      <c r="G121" s="1">
        <v>1425.8</v>
      </c>
      <c r="H121" s="1">
        <v>800.05</v>
      </c>
      <c r="I121" s="1">
        <v>1614.9</v>
      </c>
      <c r="J121" s="1">
        <v>2278.6999999999998</v>
      </c>
      <c r="K121" s="1">
        <v>928</v>
      </c>
      <c r="L121" s="1">
        <v>416.35</v>
      </c>
      <c r="M121" s="1">
        <v>3619.8</v>
      </c>
      <c r="N121" s="1">
        <v>12767</v>
      </c>
      <c r="O121" s="1">
        <v>3215.5</v>
      </c>
      <c r="P121" s="1">
        <v>2198.3000000000002</v>
      </c>
      <c r="Q121" s="1">
        <v>1717.1</v>
      </c>
      <c r="R121" s="1">
        <v>1669.6</v>
      </c>
      <c r="S121" s="1">
        <v>11733</v>
      </c>
      <c r="T121" s="1">
        <v>1213.3</v>
      </c>
      <c r="U121" s="1">
        <v>2011.8</v>
      </c>
      <c r="V121" s="1">
        <v>3652.2</v>
      </c>
      <c r="W121" s="1">
        <v>330.85</v>
      </c>
      <c r="X121" s="1">
        <v>258.86</v>
      </c>
      <c r="Y121" s="1">
        <v>1393.1</v>
      </c>
      <c r="Z121" s="1">
        <v>241.91</v>
      </c>
      <c r="AA121" s="1">
        <v>406.05</v>
      </c>
      <c r="AB121" s="1">
        <v>1024.45</v>
      </c>
      <c r="AC121" s="1">
        <v>269.41000000000003</v>
      </c>
      <c r="AD121" s="1">
        <v>290.45</v>
      </c>
      <c r="AE121" s="1">
        <v>674.5</v>
      </c>
      <c r="AF121" s="1">
        <v>8389.5</v>
      </c>
      <c r="AG121" s="1">
        <v>2279.9</v>
      </c>
      <c r="AH121" s="1">
        <v>391.75</v>
      </c>
      <c r="AI121" s="1">
        <v>1202.2</v>
      </c>
      <c r="AJ121" s="1">
        <v>156.38999999999999</v>
      </c>
      <c r="AK121" s="1">
        <v>303.3</v>
      </c>
      <c r="AL121" s="1">
        <v>2831.8</v>
      </c>
      <c r="AM121" s="1">
        <v>5576</v>
      </c>
      <c r="AN121" s="1">
        <v>6124.5</v>
      </c>
      <c r="AO121" s="1">
        <v>1842.7</v>
      </c>
      <c r="AP121" s="1">
        <v>785.1</v>
      </c>
      <c r="AQ121" s="1">
        <v>672.65</v>
      </c>
      <c r="AR121" s="1">
        <v>1705</v>
      </c>
      <c r="AS121" s="1">
        <v>1510</v>
      </c>
      <c r="AT121" s="1">
        <v>7042</v>
      </c>
      <c r="AU121" s="1">
        <v>675.1</v>
      </c>
      <c r="AV121" s="1">
        <v>1126.5</v>
      </c>
      <c r="AW121" s="1">
        <v>1341.6</v>
      </c>
      <c r="AX121" s="1">
        <v>4300.8</v>
      </c>
      <c r="AY121" s="1">
        <v>829.8</v>
      </c>
      <c r="BH121" s="2"/>
    </row>
    <row r="122" spans="1:60" ht="14.25" customHeight="1" x14ac:dyDescent="0.3">
      <c r="A122" s="2">
        <v>45834</v>
      </c>
      <c r="B122" s="1">
        <v>25549</v>
      </c>
      <c r="C122" s="1">
        <v>1495.3</v>
      </c>
      <c r="D122" s="1">
        <v>1010.9</v>
      </c>
      <c r="E122" s="1">
        <v>2014.3</v>
      </c>
      <c r="F122" s="1">
        <v>3441.8</v>
      </c>
      <c r="G122" s="1">
        <v>1439.1</v>
      </c>
      <c r="H122" s="1">
        <v>797.05</v>
      </c>
      <c r="I122" s="1">
        <v>1616</v>
      </c>
      <c r="J122" s="1">
        <v>2280.8000000000002</v>
      </c>
      <c r="K122" s="1">
        <v>951.5</v>
      </c>
      <c r="L122" s="1">
        <v>420.3</v>
      </c>
      <c r="M122" s="1">
        <v>3659.6</v>
      </c>
      <c r="N122" s="1">
        <v>12715</v>
      </c>
      <c r="O122" s="1">
        <v>3215.8</v>
      </c>
      <c r="P122" s="1">
        <v>2203.9</v>
      </c>
      <c r="Q122" s="1">
        <v>1724.1</v>
      </c>
      <c r="R122" s="1">
        <v>1669.8</v>
      </c>
      <c r="S122" s="1">
        <v>11951</v>
      </c>
      <c r="T122" s="1">
        <v>1233.5</v>
      </c>
      <c r="U122" s="1">
        <v>2053.6</v>
      </c>
      <c r="V122" s="1">
        <v>3694.7</v>
      </c>
      <c r="W122" s="1">
        <v>337.15</v>
      </c>
      <c r="X122" s="1">
        <v>265.18</v>
      </c>
      <c r="Y122" s="1">
        <v>1429.3</v>
      </c>
      <c r="Z122" s="1">
        <v>244.73</v>
      </c>
      <c r="AA122" s="1">
        <v>410.1</v>
      </c>
      <c r="AB122" s="1">
        <v>1032.55</v>
      </c>
      <c r="AC122" s="1">
        <v>268.52</v>
      </c>
      <c r="AD122" s="1">
        <v>293.5</v>
      </c>
      <c r="AE122" s="1">
        <v>682.75</v>
      </c>
      <c r="AF122" s="1">
        <v>8433</v>
      </c>
      <c r="AG122" s="1">
        <v>2289.8000000000002</v>
      </c>
      <c r="AH122" s="1">
        <v>394.15</v>
      </c>
      <c r="AI122" s="1">
        <v>1215.7</v>
      </c>
      <c r="AJ122" s="1">
        <v>160.54</v>
      </c>
      <c r="AK122" s="1">
        <v>312.5</v>
      </c>
      <c r="AL122" s="1">
        <v>2883.3</v>
      </c>
      <c r="AM122" s="1">
        <v>5611.5</v>
      </c>
      <c r="AN122" s="1">
        <v>6107</v>
      </c>
      <c r="AO122" s="1">
        <v>1860.8</v>
      </c>
      <c r="AP122" s="1">
        <v>799.45</v>
      </c>
      <c r="AQ122" s="1">
        <v>690.6</v>
      </c>
      <c r="AR122" s="1">
        <v>1690.2</v>
      </c>
      <c r="AS122" s="1">
        <v>1513.8</v>
      </c>
      <c r="AT122" s="1">
        <v>7101.5</v>
      </c>
      <c r="AU122" s="1">
        <v>703.2</v>
      </c>
      <c r="AV122" s="1">
        <v>1145.4000000000001</v>
      </c>
      <c r="AW122" s="1">
        <v>1321.5</v>
      </c>
      <c r="AX122" s="1">
        <v>4278</v>
      </c>
      <c r="AY122" s="1">
        <v>836.1</v>
      </c>
      <c r="BH122" s="2"/>
    </row>
    <row r="123" spans="1:60" ht="14.25" customHeight="1" x14ac:dyDescent="0.3">
      <c r="A123" s="2">
        <v>45835</v>
      </c>
      <c r="B123" s="1">
        <v>25637.8</v>
      </c>
      <c r="C123" s="1">
        <v>1515.4</v>
      </c>
      <c r="D123" s="1">
        <v>1007.45</v>
      </c>
      <c r="E123" s="1">
        <v>2027.1</v>
      </c>
      <c r="F123" s="1">
        <v>3441.1</v>
      </c>
      <c r="G123" s="1">
        <v>1462.2</v>
      </c>
      <c r="H123" s="1">
        <v>805.4</v>
      </c>
      <c r="I123" s="1">
        <v>1608</v>
      </c>
      <c r="J123" s="1">
        <v>2306.9</v>
      </c>
      <c r="K123" s="1">
        <v>947</v>
      </c>
      <c r="L123" s="1">
        <v>418.65</v>
      </c>
      <c r="M123" s="1">
        <v>3679.2</v>
      </c>
      <c r="N123" s="1">
        <v>12642</v>
      </c>
      <c r="O123" s="1">
        <v>3203.3</v>
      </c>
      <c r="P123" s="1">
        <v>2207.9</v>
      </c>
      <c r="Q123" s="1">
        <v>1723.3</v>
      </c>
      <c r="R123" s="1">
        <v>1687.6</v>
      </c>
      <c r="S123" s="1">
        <v>12213</v>
      </c>
      <c r="T123" s="1">
        <v>1225.0999999999999</v>
      </c>
      <c r="U123" s="1">
        <v>2044</v>
      </c>
      <c r="V123" s="1">
        <v>3666.2</v>
      </c>
      <c r="W123" s="1">
        <v>338.3</v>
      </c>
      <c r="X123" s="1">
        <v>261.86</v>
      </c>
      <c r="Y123" s="1">
        <v>1440.2</v>
      </c>
      <c r="Z123" s="1">
        <v>242.83</v>
      </c>
      <c r="AA123" s="1">
        <v>414.5</v>
      </c>
      <c r="AB123" s="1">
        <v>1028.9000000000001</v>
      </c>
      <c r="AC123" s="1">
        <v>265.05</v>
      </c>
      <c r="AD123" s="1">
        <v>299.25</v>
      </c>
      <c r="AE123" s="1">
        <v>686.9</v>
      </c>
      <c r="AF123" s="1">
        <v>8436</v>
      </c>
      <c r="AG123" s="1">
        <v>2358.6999999999998</v>
      </c>
      <c r="AH123" s="1">
        <v>394.15</v>
      </c>
      <c r="AI123" s="1">
        <v>1229.3499999999999</v>
      </c>
      <c r="AJ123" s="1">
        <v>161.44999999999999</v>
      </c>
      <c r="AK123" s="1">
        <v>323.45</v>
      </c>
      <c r="AL123" s="1">
        <v>2861.1</v>
      </c>
      <c r="AM123" s="1">
        <v>5660</v>
      </c>
      <c r="AN123" s="1">
        <v>6019.5</v>
      </c>
      <c r="AO123" s="1">
        <v>1850.6</v>
      </c>
      <c r="AP123" s="1">
        <v>806.95</v>
      </c>
      <c r="AQ123" s="1">
        <v>697.35</v>
      </c>
      <c r="AR123" s="1">
        <v>1674.4</v>
      </c>
      <c r="AS123" s="1">
        <v>1502.4</v>
      </c>
      <c r="AT123" s="1">
        <v>7308.5</v>
      </c>
      <c r="AU123" s="1">
        <v>699.95</v>
      </c>
      <c r="AV123" s="1">
        <v>1124.3</v>
      </c>
      <c r="AW123" s="1">
        <v>1301</v>
      </c>
      <c r="AX123" s="1">
        <v>4320.3</v>
      </c>
      <c r="AY123" s="1">
        <v>857.7</v>
      </c>
      <c r="BH123" s="2"/>
    </row>
    <row r="124" spans="1:60" ht="14.25" customHeight="1" x14ac:dyDescent="0.3">
      <c r="A124" s="2">
        <v>45838</v>
      </c>
      <c r="B124" s="1">
        <v>25517.05</v>
      </c>
      <c r="C124" s="1">
        <v>1500.6</v>
      </c>
      <c r="D124" s="1">
        <v>1000.75</v>
      </c>
      <c r="E124" s="1">
        <v>2009.6</v>
      </c>
      <c r="F124" s="1">
        <v>3462</v>
      </c>
      <c r="G124" s="1">
        <v>1445.8</v>
      </c>
      <c r="H124" s="1">
        <v>820.35</v>
      </c>
      <c r="I124" s="1">
        <v>1601.8</v>
      </c>
      <c r="J124" s="1">
        <v>2294.6</v>
      </c>
      <c r="K124" s="1">
        <v>936.5</v>
      </c>
      <c r="L124" s="1">
        <v>416.45</v>
      </c>
      <c r="M124" s="1">
        <v>3669.8</v>
      </c>
      <c r="N124" s="1">
        <v>12400</v>
      </c>
      <c r="O124" s="1">
        <v>3183.2</v>
      </c>
      <c r="P124" s="1">
        <v>2163.5</v>
      </c>
      <c r="Q124" s="1">
        <v>1728.6</v>
      </c>
      <c r="R124" s="1">
        <v>1675.7</v>
      </c>
      <c r="S124" s="1">
        <v>12093</v>
      </c>
      <c r="T124" s="1">
        <v>1199.2</v>
      </c>
      <c r="U124" s="1">
        <v>2056</v>
      </c>
      <c r="V124" s="1">
        <v>3690.2</v>
      </c>
      <c r="W124" s="1">
        <v>334.9</v>
      </c>
      <c r="X124" s="1">
        <v>264.14999999999998</v>
      </c>
      <c r="Y124" s="1">
        <v>1450.2</v>
      </c>
      <c r="Z124" s="1">
        <v>244.21</v>
      </c>
      <c r="AA124" s="1">
        <v>421.5</v>
      </c>
      <c r="AB124" s="1">
        <v>1020.5</v>
      </c>
      <c r="AC124" s="1">
        <v>265.98</v>
      </c>
      <c r="AD124" s="1">
        <v>299.89999999999998</v>
      </c>
      <c r="AE124" s="1">
        <v>688</v>
      </c>
      <c r="AF124" s="1">
        <v>8376</v>
      </c>
      <c r="AG124" s="1">
        <v>2341.1</v>
      </c>
      <c r="AH124" s="1">
        <v>391.95</v>
      </c>
      <c r="AI124" s="1">
        <v>1232.6500000000001</v>
      </c>
      <c r="AJ124" s="1">
        <v>159.76</v>
      </c>
      <c r="AK124" s="1">
        <v>326.75</v>
      </c>
      <c r="AL124" s="1">
        <v>2844.5</v>
      </c>
      <c r="AM124" s="1">
        <v>5656.5</v>
      </c>
      <c r="AN124" s="1">
        <v>6217.5</v>
      </c>
      <c r="AO124" s="1">
        <v>1838.3</v>
      </c>
      <c r="AP124" s="1">
        <v>814.3</v>
      </c>
      <c r="AQ124" s="1">
        <v>692.85</v>
      </c>
      <c r="AR124" s="1">
        <v>1687</v>
      </c>
      <c r="AS124" s="1">
        <v>1505.9</v>
      </c>
      <c r="AT124" s="1">
        <v>7242</v>
      </c>
      <c r="AU124" s="1">
        <v>706.85</v>
      </c>
      <c r="AV124" s="1">
        <v>1098.9000000000001</v>
      </c>
      <c r="AW124" s="1">
        <v>1283.3</v>
      </c>
      <c r="AX124" s="1">
        <v>4237.1000000000004</v>
      </c>
      <c r="AY124" s="1">
        <v>872.1</v>
      </c>
      <c r="BH124" s="2"/>
    </row>
    <row r="125" spans="1:60" ht="14.25" customHeight="1" x14ac:dyDescent="0.3">
      <c r="A125" s="2">
        <v>45839</v>
      </c>
      <c r="B125" s="1">
        <v>25541.8</v>
      </c>
      <c r="C125" s="1">
        <v>1528.4</v>
      </c>
      <c r="D125" s="1">
        <v>1006.05</v>
      </c>
      <c r="E125" s="1">
        <v>2019.4</v>
      </c>
      <c r="F125" s="1">
        <v>3429.7</v>
      </c>
      <c r="G125" s="1">
        <v>1432</v>
      </c>
      <c r="H125" s="1">
        <v>820.3</v>
      </c>
      <c r="I125" s="1">
        <v>1606.8</v>
      </c>
      <c r="J125" s="1">
        <v>2295.5</v>
      </c>
      <c r="K125" s="1">
        <v>936.65</v>
      </c>
      <c r="L125" s="1">
        <v>415.1</v>
      </c>
      <c r="M125" s="1">
        <v>3666.7</v>
      </c>
      <c r="N125" s="1">
        <v>12442</v>
      </c>
      <c r="O125" s="1">
        <v>3176.1</v>
      </c>
      <c r="P125" s="1">
        <v>2183.6</v>
      </c>
      <c r="Q125" s="1">
        <v>1718.3</v>
      </c>
      <c r="R125" s="1">
        <v>1667.2</v>
      </c>
      <c r="S125" s="1">
        <v>12210</v>
      </c>
      <c r="T125" s="1">
        <v>1173.3</v>
      </c>
      <c r="U125" s="1">
        <v>2053.8000000000002</v>
      </c>
      <c r="V125" s="1">
        <v>3700.5</v>
      </c>
      <c r="W125" s="1">
        <v>332.6</v>
      </c>
      <c r="X125" s="1">
        <v>261</v>
      </c>
      <c r="Y125" s="1">
        <v>1447</v>
      </c>
      <c r="Z125" s="1">
        <v>243.37</v>
      </c>
      <c r="AA125" s="1">
        <v>432.25</v>
      </c>
      <c r="AB125" s="1">
        <v>1029.5999999999999</v>
      </c>
      <c r="AC125" s="1">
        <v>264.55</v>
      </c>
      <c r="AD125" s="1">
        <v>297.55</v>
      </c>
      <c r="AE125" s="1">
        <v>683.8</v>
      </c>
      <c r="AF125" s="1">
        <v>8399</v>
      </c>
      <c r="AG125" s="1">
        <v>2369.5</v>
      </c>
      <c r="AH125" s="1">
        <v>389.75</v>
      </c>
      <c r="AI125" s="1">
        <v>1205.05</v>
      </c>
      <c r="AJ125" s="1">
        <v>160.06</v>
      </c>
      <c r="AK125" s="1">
        <v>329.6</v>
      </c>
      <c r="AL125" s="1">
        <v>2848.1</v>
      </c>
      <c r="AM125" s="1">
        <v>5715.5</v>
      </c>
      <c r="AN125" s="1">
        <v>6144</v>
      </c>
      <c r="AO125" s="1">
        <v>1862.5</v>
      </c>
      <c r="AP125" s="1">
        <v>809.9</v>
      </c>
      <c r="AQ125" s="1">
        <v>694.3</v>
      </c>
      <c r="AR125" s="1">
        <v>1671.2</v>
      </c>
      <c r="AS125" s="1">
        <v>1515.7</v>
      </c>
      <c r="AT125" s="1">
        <v>7496</v>
      </c>
      <c r="AU125" s="1">
        <v>696.45</v>
      </c>
      <c r="AV125" s="1">
        <v>1095.5999999999999</v>
      </c>
      <c r="AW125" s="1">
        <v>1276.8</v>
      </c>
      <c r="AX125" s="1">
        <v>4226</v>
      </c>
      <c r="AY125" s="1">
        <v>879.1</v>
      </c>
      <c r="BH125" s="2"/>
    </row>
    <row r="126" spans="1:60" ht="14.25" customHeight="1" x14ac:dyDescent="0.3">
      <c r="A126" s="2">
        <v>45840</v>
      </c>
      <c r="B126" s="1">
        <v>25453.4</v>
      </c>
      <c r="C126" s="1">
        <v>1518.8</v>
      </c>
      <c r="D126" s="1">
        <v>993</v>
      </c>
      <c r="E126" s="1">
        <v>2033.3</v>
      </c>
      <c r="F126" s="1">
        <v>3423.3</v>
      </c>
      <c r="G126" s="1">
        <v>1427.8</v>
      </c>
      <c r="H126" s="1">
        <v>812.9</v>
      </c>
      <c r="I126" s="1">
        <v>1610.5</v>
      </c>
      <c r="J126" s="1">
        <v>2307.1</v>
      </c>
      <c r="K126" s="1">
        <v>923</v>
      </c>
      <c r="L126" s="1">
        <v>412.95</v>
      </c>
      <c r="M126" s="1">
        <v>3596.8</v>
      </c>
      <c r="N126" s="1">
        <v>12622</v>
      </c>
      <c r="O126" s="1">
        <v>3165.2</v>
      </c>
      <c r="P126" s="1">
        <v>2169.1</v>
      </c>
      <c r="Q126" s="1">
        <v>1718.6</v>
      </c>
      <c r="R126" s="1">
        <v>1677.5</v>
      </c>
      <c r="S126" s="1">
        <v>12436</v>
      </c>
      <c r="T126" s="1">
        <v>1175.3</v>
      </c>
      <c r="U126" s="1">
        <v>2007.9</v>
      </c>
      <c r="V126" s="1">
        <v>3708</v>
      </c>
      <c r="W126" s="1">
        <v>333.75</v>
      </c>
      <c r="X126" s="1">
        <v>259.75</v>
      </c>
      <c r="Y126" s="1">
        <v>1443.9</v>
      </c>
      <c r="Z126" s="1">
        <v>241.07</v>
      </c>
      <c r="AA126" s="1">
        <v>426.95</v>
      </c>
      <c r="AB126" s="1">
        <v>1059.9000000000001</v>
      </c>
      <c r="AC126" s="1">
        <v>267</v>
      </c>
      <c r="AD126" s="1">
        <v>294.85000000000002</v>
      </c>
      <c r="AE126" s="1">
        <v>688.55</v>
      </c>
      <c r="AF126" s="1">
        <v>8356.5</v>
      </c>
      <c r="AG126" s="1">
        <v>2419.4</v>
      </c>
      <c r="AH126" s="1">
        <v>386.9</v>
      </c>
      <c r="AI126" s="1">
        <v>1194</v>
      </c>
      <c r="AJ126" s="1">
        <v>165.88</v>
      </c>
      <c r="AK126" s="1">
        <v>326.7</v>
      </c>
      <c r="AL126" s="1">
        <v>2849.8</v>
      </c>
      <c r="AM126" s="1">
        <v>5722.5</v>
      </c>
      <c r="AN126" s="1">
        <v>6222.5</v>
      </c>
      <c r="AO126" s="1">
        <v>1856.8</v>
      </c>
      <c r="AP126" s="1">
        <v>789.7</v>
      </c>
      <c r="AQ126" s="1">
        <v>698.35</v>
      </c>
      <c r="AR126" s="1">
        <v>1677.1</v>
      </c>
      <c r="AS126" s="1">
        <v>1497.6</v>
      </c>
      <c r="AT126" s="1">
        <v>7441</v>
      </c>
      <c r="AU126" s="1">
        <v>676.9</v>
      </c>
      <c r="AV126" s="1">
        <v>1095.8</v>
      </c>
      <c r="AW126" s="1">
        <v>1270.8</v>
      </c>
      <c r="AX126" s="1">
        <v>4243.7</v>
      </c>
      <c r="AY126" s="1">
        <v>857.65</v>
      </c>
      <c r="BH126" s="2"/>
    </row>
    <row r="127" spans="1:60" ht="14.25" customHeight="1" x14ac:dyDescent="0.3">
      <c r="A127" s="2">
        <v>45841</v>
      </c>
      <c r="B127" s="1">
        <v>25405.3</v>
      </c>
      <c r="C127" s="1">
        <v>1517.8</v>
      </c>
      <c r="D127" s="1">
        <v>993.55</v>
      </c>
      <c r="E127" s="1">
        <v>2019.3</v>
      </c>
      <c r="F127" s="1">
        <v>3400.8</v>
      </c>
      <c r="G127" s="1">
        <v>1425.9</v>
      </c>
      <c r="H127" s="1">
        <v>807.1</v>
      </c>
      <c r="I127" s="1">
        <v>1618.7</v>
      </c>
      <c r="J127" s="1">
        <v>2313.4</v>
      </c>
      <c r="K127" s="1">
        <v>910.15</v>
      </c>
      <c r="L127" s="1">
        <v>413.35</v>
      </c>
      <c r="M127" s="1">
        <v>3582.9</v>
      </c>
      <c r="N127" s="1">
        <v>12752</v>
      </c>
      <c r="O127" s="1">
        <v>3174.4</v>
      </c>
      <c r="P127" s="1">
        <v>2126.6</v>
      </c>
      <c r="Q127" s="1">
        <v>1711.9</v>
      </c>
      <c r="R127" s="1">
        <v>1679.7</v>
      </c>
      <c r="S127" s="1">
        <v>12398</v>
      </c>
      <c r="T127" s="1">
        <v>1171.0999999999999</v>
      </c>
      <c r="U127" s="1">
        <v>1980.7</v>
      </c>
      <c r="V127" s="1">
        <v>3678.7</v>
      </c>
      <c r="W127" s="1">
        <v>334.6</v>
      </c>
      <c r="X127" s="1">
        <v>260.85000000000002</v>
      </c>
      <c r="Y127" s="1">
        <v>1431.1</v>
      </c>
      <c r="Z127" s="1">
        <v>244.05</v>
      </c>
      <c r="AA127" s="1">
        <v>426.25</v>
      </c>
      <c r="AB127" s="1">
        <v>1046.0999999999999</v>
      </c>
      <c r="AC127" s="1">
        <v>267.05</v>
      </c>
      <c r="AD127" s="1">
        <v>293.7</v>
      </c>
      <c r="AE127" s="1">
        <v>690.4</v>
      </c>
      <c r="AF127" s="1">
        <v>8382.5</v>
      </c>
      <c r="AG127" s="1">
        <v>2430.9</v>
      </c>
      <c r="AH127" s="1">
        <v>386.45</v>
      </c>
      <c r="AI127" s="1">
        <v>1194.2</v>
      </c>
      <c r="AJ127" s="1">
        <v>165.91</v>
      </c>
      <c r="AK127" s="1">
        <v>325.05</v>
      </c>
      <c r="AL127" s="1">
        <v>2817.6</v>
      </c>
      <c r="AM127" s="1">
        <v>5716</v>
      </c>
      <c r="AN127" s="1">
        <v>6191</v>
      </c>
      <c r="AO127" s="1">
        <v>1810.2</v>
      </c>
      <c r="AP127" s="1">
        <v>785.85</v>
      </c>
      <c r="AQ127" s="1">
        <v>692.85</v>
      </c>
      <c r="AR127" s="1">
        <v>1671.9</v>
      </c>
      <c r="AS127" s="1">
        <v>1508.7</v>
      </c>
      <c r="AT127" s="1">
        <v>7565</v>
      </c>
      <c r="AU127" s="1">
        <v>675.4</v>
      </c>
      <c r="AV127" s="1">
        <v>1089.4000000000001</v>
      </c>
      <c r="AW127" s="1">
        <v>1291.3</v>
      </c>
      <c r="AX127" s="1">
        <v>4310.6000000000004</v>
      </c>
      <c r="AY127" s="1">
        <v>862.4</v>
      </c>
      <c r="BH127" s="2"/>
    </row>
    <row r="128" spans="1:60" ht="14.25" customHeight="1" x14ac:dyDescent="0.3">
      <c r="A128" s="2">
        <v>45842</v>
      </c>
      <c r="B128" s="1">
        <v>25461</v>
      </c>
      <c r="C128" s="1">
        <v>1527.3</v>
      </c>
      <c r="D128" s="1">
        <v>994.65</v>
      </c>
      <c r="E128" s="1">
        <v>2017.2</v>
      </c>
      <c r="F128" s="1">
        <v>3419.8</v>
      </c>
      <c r="G128" s="1">
        <v>1442.8</v>
      </c>
      <c r="H128" s="1">
        <v>811.85</v>
      </c>
      <c r="I128" s="1">
        <v>1640.7</v>
      </c>
      <c r="J128" s="1">
        <v>2339.3000000000002</v>
      </c>
      <c r="K128" s="1">
        <v>925.3</v>
      </c>
      <c r="L128" s="1">
        <v>412.55</v>
      </c>
      <c r="M128" s="1">
        <v>3594.6</v>
      </c>
      <c r="N128" s="1">
        <v>12646</v>
      </c>
      <c r="O128" s="1">
        <v>3162.5</v>
      </c>
      <c r="P128" s="1">
        <v>2129.8000000000002</v>
      </c>
      <c r="Q128" s="1">
        <v>1725.9</v>
      </c>
      <c r="R128" s="1">
        <v>1676.3</v>
      </c>
      <c r="S128" s="1">
        <v>12506</v>
      </c>
      <c r="T128" s="1">
        <v>1177.5999999999999</v>
      </c>
      <c r="U128" s="1">
        <v>1994.4</v>
      </c>
      <c r="V128" s="1">
        <v>3686.9</v>
      </c>
      <c r="W128" s="1">
        <v>335.5</v>
      </c>
      <c r="X128" s="1">
        <v>261.39999999999998</v>
      </c>
      <c r="Y128" s="1">
        <v>1424.4</v>
      </c>
      <c r="Z128" s="1">
        <v>245.24</v>
      </c>
      <c r="AA128" s="1">
        <v>427.55</v>
      </c>
      <c r="AB128" s="1">
        <v>1041.4000000000001</v>
      </c>
      <c r="AC128" s="1">
        <v>270.05</v>
      </c>
      <c r="AD128" s="1">
        <v>294</v>
      </c>
      <c r="AE128" s="1">
        <v>689.05</v>
      </c>
      <c r="AF128" s="1">
        <v>8433</v>
      </c>
      <c r="AG128" s="1">
        <v>2424.1999999999998</v>
      </c>
      <c r="AH128" s="1">
        <v>386.1</v>
      </c>
      <c r="AI128" s="1">
        <v>1196.4000000000001</v>
      </c>
      <c r="AJ128" s="1">
        <v>163.01</v>
      </c>
      <c r="AK128" s="1">
        <v>324.95</v>
      </c>
      <c r="AL128" s="1">
        <v>2805.9</v>
      </c>
      <c r="AM128" s="1">
        <v>5629</v>
      </c>
      <c r="AN128" s="1">
        <v>5456</v>
      </c>
      <c r="AO128" s="1">
        <v>1799.7</v>
      </c>
      <c r="AP128" s="1">
        <v>785.1</v>
      </c>
      <c r="AQ128" s="1">
        <v>699.45</v>
      </c>
      <c r="AR128" s="1">
        <v>1655.2</v>
      </c>
      <c r="AS128" s="1">
        <v>1513.3</v>
      </c>
      <c r="AT128" s="1">
        <v>7553.5</v>
      </c>
      <c r="AU128" s="1">
        <v>676.15</v>
      </c>
      <c r="AV128" s="1">
        <v>1089.7</v>
      </c>
      <c r="AW128" s="1">
        <v>1307.4000000000001</v>
      </c>
      <c r="AX128" s="1">
        <v>4345</v>
      </c>
      <c r="AY128" s="1">
        <v>856.25</v>
      </c>
      <c r="BH128" s="2"/>
    </row>
    <row r="129" spans="1:60" ht="14.25" customHeight="1" x14ac:dyDescent="0.3">
      <c r="A129" s="2">
        <v>45845</v>
      </c>
      <c r="B129" s="1">
        <v>25461.3</v>
      </c>
      <c r="C129" s="1">
        <v>1541.5</v>
      </c>
      <c r="D129" s="1">
        <v>993.7</v>
      </c>
      <c r="E129" s="1">
        <v>2033.9</v>
      </c>
      <c r="F129" s="1">
        <v>3411.7</v>
      </c>
      <c r="G129" s="1">
        <v>1435.7</v>
      </c>
      <c r="H129" s="1">
        <v>806.85</v>
      </c>
      <c r="I129" s="1">
        <v>1627</v>
      </c>
      <c r="J129" s="1">
        <v>2410.4</v>
      </c>
      <c r="K129" s="1">
        <v>924.65</v>
      </c>
      <c r="L129" s="1">
        <v>416.15</v>
      </c>
      <c r="M129" s="1">
        <v>3581.4</v>
      </c>
      <c r="N129" s="1">
        <v>12520</v>
      </c>
      <c r="O129" s="1">
        <v>3160.2</v>
      </c>
      <c r="P129" s="1">
        <v>2149.8000000000002</v>
      </c>
      <c r="Q129" s="1">
        <v>1710.4</v>
      </c>
      <c r="R129" s="1">
        <v>1679.9</v>
      </c>
      <c r="S129" s="1">
        <v>12345</v>
      </c>
      <c r="T129" s="1">
        <v>1175.0999999999999</v>
      </c>
      <c r="U129" s="1">
        <v>2006.4</v>
      </c>
      <c r="V129" s="1">
        <v>3666.1</v>
      </c>
      <c r="W129" s="1">
        <v>337.45</v>
      </c>
      <c r="X129" s="1">
        <v>258.55</v>
      </c>
      <c r="Y129" s="1">
        <v>1435.6</v>
      </c>
      <c r="Z129" s="1">
        <v>241.52</v>
      </c>
      <c r="AA129" s="1">
        <v>417.1</v>
      </c>
      <c r="AB129" s="1">
        <v>1042.5999999999999</v>
      </c>
      <c r="AC129" s="1">
        <v>267.75</v>
      </c>
      <c r="AD129" s="1">
        <v>295.89999999999998</v>
      </c>
      <c r="AE129" s="1">
        <v>688.85</v>
      </c>
      <c r="AF129" s="1">
        <v>8463.5</v>
      </c>
      <c r="AG129" s="1">
        <v>2442.8000000000002</v>
      </c>
      <c r="AH129" s="1">
        <v>384.25</v>
      </c>
      <c r="AI129" s="1">
        <v>1211.05</v>
      </c>
      <c r="AJ129" s="1">
        <v>162.4</v>
      </c>
      <c r="AK129" s="1">
        <v>328.05</v>
      </c>
      <c r="AL129" s="1">
        <v>2779.1</v>
      </c>
      <c r="AM129" s="1">
        <v>5682.5</v>
      </c>
      <c r="AN129" s="1">
        <v>5499</v>
      </c>
      <c r="AO129" s="1">
        <v>1808.3</v>
      </c>
      <c r="AP129" s="1">
        <v>789.45</v>
      </c>
      <c r="AQ129" s="1">
        <v>692.1</v>
      </c>
      <c r="AR129" s="1">
        <v>1623.9</v>
      </c>
      <c r="AS129" s="1">
        <v>1510.5</v>
      </c>
      <c r="AT129" s="1">
        <v>7616</v>
      </c>
      <c r="AU129" s="1">
        <v>671.3</v>
      </c>
      <c r="AV129" s="1">
        <v>1101.9000000000001</v>
      </c>
      <c r="AW129" s="1">
        <v>1310.5</v>
      </c>
      <c r="AX129" s="1">
        <v>4307</v>
      </c>
      <c r="AY129" s="1">
        <v>854.45</v>
      </c>
      <c r="BH129" s="2"/>
    </row>
    <row r="130" spans="1:60" ht="14.25" customHeight="1" x14ac:dyDescent="0.3">
      <c r="A130" s="2">
        <v>45846</v>
      </c>
      <c r="B130" s="1">
        <v>25522.5</v>
      </c>
      <c r="C130" s="1">
        <v>1537.6</v>
      </c>
      <c r="D130" s="1">
        <v>1000.7</v>
      </c>
      <c r="E130" s="1">
        <v>2030</v>
      </c>
      <c r="F130" s="1">
        <v>3406.2</v>
      </c>
      <c r="G130" s="1">
        <v>1442</v>
      </c>
      <c r="H130" s="1">
        <v>812.65</v>
      </c>
      <c r="I130" s="1">
        <v>1638.7</v>
      </c>
      <c r="J130" s="1">
        <v>2392.6999999999998</v>
      </c>
      <c r="K130" s="1">
        <v>927.65</v>
      </c>
      <c r="L130" s="1">
        <v>417.2</v>
      </c>
      <c r="M130" s="1">
        <v>3606.4</v>
      </c>
      <c r="N130" s="1">
        <v>12414</v>
      </c>
      <c r="O130" s="1">
        <v>3157.9</v>
      </c>
      <c r="P130" s="1">
        <v>2224.5</v>
      </c>
      <c r="Q130" s="1">
        <v>1708.1</v>
      </c>
      <c r="R130" s="1">
        <v>1672.5</v>
      </c>
      <c r="S130" s="1">
        <v>12445</v>
      </c>
      <c r="T130" s="1">
        <v>1165.4000000000001</v>
      </c>
      <c r="U130" s="1">
        <v>2018.3</v>
      </c>
      <c r="V130" s="1">
        <v>3441.3</v>
      </c>
      <c r="W130" s="1">
        <v>343.2</v>
      </c>
      <c r="X130" s="1">
        <v>263.5</v>
      </c>
      <c r="Y130" s="1">
        <v>1448.5</v>
      </c>
      <c r="Z130" s="1">
        <v>243.24</v>
      </c>
      <c r="AA130" s="1">
        <v>422</v>
      </c>
      <c r="AB130" s="1">
        <v>1045</v>
      </c>
      <c r="AC130" s="1">
        <v>269.64999999999998</v>
      </c>
      <c r="AD130" s="1">
        <v>297.75</v>
      </c>
      <c r="AE130" s="1">
        <v>693.2</v>
      </c>
      <c r="AF130" s="1">
        <v>8339.5</v>
      </c>
      <c r="AG130" s="1">
        <v>2484.6</v>
      </c>
      <c r="AH130" s="1">
        <v>382.85</v>
      </c>
      <c r="AI130" s="1">
        <v>1208.95</v>
      </c>
      <c r="AJ130" s="1">
        <v>161.97</v>
      </c>
      <c r="AK130" s="1">
        <v>328.85</v>
      </c>
      <c r="AL130" s="1">
        <v>2820.8</v>
      </c>
      <c r="AM130" s="1">
        <v>5679.5</v>
      </c>
      <c r="AN130" s="1">
        <v>5440</v>
      </c>
      <c r="AO130" s="1">
        <v>1816.9</v>
      </c>
      <c r="AP130" s="1">
        <v>794.15</v>
      </c>
      <c r="AQ130" s="1">
        <v>685.6</v>
      </c>
      <c r="AR130" s="1">
        <v>1635.4</v>
      </c>
      <c r="AS130" s="1">
        <v>1488.3</v>
      </c>
      <c r="AT130" s="1">
        <v>7565</v>
      </c>
      <c r="AU130" s="1">
        <v>668.95</v>
      </c>
      <c r="AV130" s="1">
        <v>1099.9000000000001</v>
      </c>
      <c r="AW130" s="1">
        <v>1283.8</v>
      </c>
      <c r="AX130" s="1">
        <v>4300.3999999999996</v>
      </c>
      <c r="AY130" s="1">
        <v>850.3</v>
      </c>
      <c r="BH130" s="2"/>
    </row>
    <row r="131" spans="1:60" ht="14.25" customHeight="1" x14ac:dyDescent="0.3">
      <c r="A131" s="2">
        <v>45847</v>
      </c>
      <c r="B131" s="1">
        <v>25476.1</v>
      </c>
      <c r="C131" s="1">
        <v>1519</v>
      </c>
      <c r="D131" s="1">
        <v>1005.6</v>
      </c>
      <c r="E131" s="1">
        <v>2019.7</v>
      </c>
      <c r="F131" s="1">
        <v>3383.8</v>
      </c>
      <c r="G131" s="1">
        <v>1431.9</v>
      </c>
      <c r="H131" s="1">
        <v>810.95</v>
      </c>
      <c r="I131" s="1">
        <v>1633.7</v>
      </c>
      <c r="J131" s="1">
        <v>2423.4</v>
      </c>
      <c r="K131" s="1">
        <v>940.6</v>
      </c>
      <c r="L131" s="1">
        <v>419.45</v>
      </c>
      <c r="M131" s="1">
        <v>3579.7</v>
      </c>
      <c r="N131" s="1">
        <v>12470</v>
      </c>
      <c r="O131" s="1">
        <v>3176.3</v>
      </c>
      <c r="P131" s="1">
        <v>2229.3000000000002</v>
      </c>
      <c r="Q131" s="1">
        <v>1674</v>
      </c>
      <c r="R131" s="1">
        <v>1669.4</v>
      </c>
      <c r="S131" s="1">
        <v>12562</v>
      </c>
      <c r="T131" s="1">
        <v>1164.7</v>
      </c>
      <c r="U131" s="1">
        <v>2026.4</v>
      </c>
      <c r="V131" s="1">
        <v>3432.1</v>
      </c>
      <c r="W131" s="1">
        <v>344</v>
      </c>
      <c r="X131" s="1">
        <v>264.55</v>
      </c>
      <c r="Y131" s="1">
        <v>1443</v>
      </c>
      <c r="Z131" s="1">
        <v>243.35</v>
      </c>
      <c r="AA131" s="1">
        <v>417.65</v>
      </c>
      <c r="AB131" s="1">
        <v>1040.4000000000001</v>
      </c>
      <c r="AC131" s="1">
        <v>267.8</v>
      </c>
      <c r="AD131" s="1">
        <v>299.64999999999998</v>
      </c>
      <c r="AE131" s="1">
        <v>692.8</v>
      </c>
      <c r="AF131" s="1">
        <v>8361</v>
      </c>
      <c r="AG131" s="1">
        <v>2498.9</v>
      </c>
      <c r="AH131" s="1">
        <v>387.45</v>
      </c>
      <c r="AI131" s="1">
        <v>1213.9000000000001</v>
      </c>
      <c r="AJ131" s="1">
        <v>159</v>
      </c>
      <c r="AK131" s="1">
        <v>329.85</v>
      </c>
      <c r="AL131" s="1">
        <v>2797.9</v>
      </c>
      <c r="AM131" s="1">
        <v>5695</v>
      </c>
      <c r="AN131" s="1">
        <v>5408</v>
      </c>
      <c r="AO131" s="1">
        <v>1814.9</v>
      </c>
      <c r="AP131" s="1">
        <v>786.3</v>
      </c>
      <c r="AQ131" s="1">
        <v>673.95</v>
      </c>
      <c r="AR131" s="1">
        <v>1614.8</v>
      </c>
      <c r="AS131" s="1">
        <v>1491.7</v>
      </c>
      <c r="AT131" s="1">
        <v>7469</v>
      </c>
      <c r="AU131" s="1">
        <v>681.05</v>
      </c>
      <c r="AV131" s="1">
        <v>1097.9000000000001</v>
      </c>
      <c r="AW131" s="1">
        <v>1269.4000000000001</v>
      </c>
      <c r="AX131" s="1">
        <v>4333.1000000000004</v>
      </c>
      <c r="AY131" s="1">
        <v>840.75</v>
      </c>
      <c r="BH131" s="2"/>
    </row>
    <row r="132" spans="1:60" ht="14.25" customHeight="1" x14ac:dyDescent="0.3">
      <c r="A132" s="2">
        <v>45848</v>
      </c>
      <c r="B132" s="1">
        <v>25355.25</v>
      </c>
      <c r="C132" s="1">
        <v>1517.2</v>
      </c>
      <c r="D132" s="1">
        <v>1003.1</v>
      </c>
      <c r="E132" s="1">
        <v>1964.5</v>
      </c>
      <c r="F132" s="1">
        <v>3382</v>
      </c>
      <c r="G132" s="1">
        <v>1424.1</v>
      </c>
      <c r="H132" s="1">
        <v>808</v>
      </c>
      <c r="I132" s="1">
        <v>1615.8</v>
      </c>
      <c r="J132" s="1">
        <v>2408.4</v>
      </c>
      <c r="K132" s="1">
        <v>947.65</v>
      </c>
      <c r="L132" s="1">
        <v>416.85</v>
      </c>
      <c r="M132" s="1">
        <v>3574.7</v>
      </c>
      <c r="N132" s="1">
        <v>12650</v>
      </c>
      <c r="O132" s="1">
        <v>3162.4</v>
      </c>
      <c r="P132" s="1">
        <v>2203.8000000000002</v>
      </c>
      <c r="Q132" s="1">
        <v>1663.7</v>
      </c>
      <c r="R132" s="1">
        <v>1662.5</v>
      </c>
      <c r="S132" s="1">
        <v>12516</v>
      </c>
      <c r="T132" s="1">
        <v>1164.3</v>
      </c>
      <c r="U132" s="1">
        <v>2039.4</v>
      </c>
      <c r="V132" s="1">
        <v>3419.8</v>
      </c>
      <c r="W132" s="1">
        <v>341.45</v>
      </c>
      <c r="X132" s="1">
        <v>262.85000000000002</v>
      </c>
      <c r="Y132" s="1">
        <v>1443.1</v>
      </c>
      <c r="Z132" s="1">
        <v>243.09</v>
      </c>
      <c r="AA132" s="1">
        <v>413.5</v>
      </c>
      <c r="AB132" s="1">
        <v>1043.3</v>
      </c>
      <c r="AC132" s="1">
        <v>265.05</v>
      </c>
      <c r="AD132" s="1">
        <v>299.25</v>
      </c>
      <c r="AE132" s="1">
        <v>695.6</v>
      </c>
      <c r="AF132" s="1">
        <v>8285</v>
      </c>
      <c r="AG132" s="1">
        <v>2451.1999999999998</v>
      </c>
      <c r="AH132" s="1">
        <v>384.05</v>
      </c>
      <c r="AI132" s="1">
        <v>1200.7</v>
      </c>
      <c r="AJ132" s="1">
        <v>160.66</v>
      </c>
      <c r="AK132" s="1">
        <v>331.65</v>
      </c>
      <c r="AL132" s="1">
        <v>2775.1</v>
      </c>
      <c r="AM132" s="1">
        <v>5652</v>
      </c>
      <c r="AN132" s="1">
        <v>5431</v>
      </c>
      <c r="AO132" s="1">
        <v>1810.2</v>
      </c>
      <c r="AP132" s="1">
        <v>771.25</v>
      </c>
      <c r="AQ132" s="1">
        <v>675.05</v>
      </c>
      <c r="AR132" s="1">
        <v>1600.1</v>
      </c>
      <c r="AS132" s="1">
        <v>1477.8</v>
      </c>
      <c r="AT132" s="1">
        <v>7359</v>
      </c>
      <c r="AU132" s="1">
        <v>671.75</v>
      </c>
      <c r="AV132" s="1">
        <v>1088.9000000000001</v>
      </c>
      <c r="AW132" s="1">
        <v>1262.5999999999999</v>
      </c>
      <c r="AX132" s="1">
        <v>4321.3</v>
      </c>
      <c r="AY132" s="1">
        <v>852.85</v>
      </c>
      <c r="BH132" s="2"/>
    </row>
    <row r="133" spans="1:60" ht="14.25" customHeight="1" x14ac:dyDescent="0.3">
      <c r="A133" s="2">
        <v>45849</v>
      </c>
      <c r="B133" s="1">
        <v>25149.85</v>
      </c>
      <c r="C133" s="1">
        <v>1495.2</v>
      </c>
      <c r="D133" s="1">
        <v>991.85</v>
      </c>
      <c r="E133" s="1">
        <v>1921.9</v>
      </c>
      <c r="F133" s="1">
        <v>3266</v>
      </c>
      <c r="G133" s="1">
        <v>1421.9</v>
      </c>
      <c r="H133" s="1">
        <v>808.65</v>
      </c>
      <c r="I133" s="1">
        <v>1594.9</v>
      </c>
      <c r="J133" s="1">
        <v>2519.6</v>
      </c>
      <c r="K133" s="1">
        <v>933.5</v>
      </c>
      <c r="L133" s="1">
        <v>416.8</v>
      </c>
      <c r="M133" s="1">
        <v>3540.6</v>
      </c>
      <c r="N133" s="1">
        <v>12574</v>
      </c>
      <c r="O133" s="1">
        <v>3073.2</v>
      </c>
      <c r="P133" s="1">
        <v>2220.6</v>
      </c>
      <c r="Q133" s="1">
        <v>1638.3</v>
      </c>
      <c r="R133" s="1">
        <v>1672</v>
      </c>
      <c r="S133" s="1">
        <v>12495</v>
      </c>
      <c r="T133" s="1">
        <v>1173.8</v>
      </c>
      <c r="U133" s="1">
        <v>2017.2</v>
      </c>
      <c r="V133" s="1">
        <v>3361.6</v>
      </c>
      <c r="W133" s="1">
        <v>342.7</v>
      </c>
      <c r="X133" s="1">
        <v>263.35000000000002</v>
      </c>
      <c r="Y133" s="1">
        <v>1431.7</v>
      </c>
      <c r="Z133" s="1">
        <v>241.76</v>
      </c>
      <c r="AA133" s="1">
        <v>409.3</v>
      </c>
      <c r="AB133" s="1">
        <v>1037.2</v>
      </c>
      <c r="AC133" s="1">
        <v>258.3</v>
      </c>
      <c r="AD133" s="1">
        <v>298.55</v>
      </c>
      <c r="AE133" s="1">
        <v>681.8</v>
      </c>
      <c r="AF133" s="1">
        <v>8067</v>
      </c>
      <c r="AG133" s="1">
        <v>2439.1999999999998</v>
      </c>
      <c r="AH133" s="1">
        <v>380.95</v>
      </c>
      <c r="AI133" s="1">
        <v>1201.75</v>
      </c>
      <c r="AJ133" s="1">
        <v>159.84</v>
      </c>
      <c r="AK133" s="1">
        <v>325.8</v>
      </c>
      <c r="AL133" s="1">
        <v>2762</v>
      </c>
      <c r="AM133" s="1">
        <v>5612.5</v>
      </c>
      <c r="AN133" s="1">
        <v>5364</v>
      </c>
      <c r="AO133" s="1">
        <v>1835.2</v>
      </c>
      <c r="AP133" s="1">
        <v>759</v>
      </c>
      <c r="AQ133" s="1">
        <v>670.95</v>
      </c>
      <c r="AR133" s="1">
        <v>1602.5</v>
      </c>
      <c r="AS133" s="1">
        <v>1485</v>
      </c>
      <c r="AT133" s="1">
        <v>7189.5</v>
      </c>
      <c r="AU133" s="1">
        <v>668.25</v>
      </c>
      <c r="AV133" s="1">
        <v>1076.8</v>
      </c>
      <c r="AW133" s="1">
        <v>1254.7</v>
      </c>
      <c r="AX133" s="1">
        <v>4218.7</v>
      </c>
      <c r="AY133" s="1">
        <v>858.85</v>
      </c>
      <c r="BH133" s="2"/>
    </row>
    <row r="134" spans="1:60" ht="14.25" customHeight="1" x14ac:dyDescent="0.3">
      <c r="A134" s="2">
        <v>45852</v>
      </c>
      <c r="B134" s="1">
        <v>25082.3</v>
      </c>
      <c r="C134" s="1">
        <v>1483.7</v>
      </c>
      <c r="D134" s="1">
        <v>991.5</v>
      </c>
      <c r="E134" s="1">
        <v>1920.9</v>
      </c>
      <c r="F134" s="1">
        <v>3222.7</v>
      </c>
      <c r="G134" s="1">
        <v>1423</v>
      </c>
      <c r="H134" s="1">
        <v>808.85</v>
      </c>
      <c r="I134" s="1">
        <v>1570.3</v>
      </c>
      <c r="J134" s="1">
        <v>2516.6</v>
      </c>
      <c r="K134" s="1">
        <v>918.85</v>
      </c>
      <c r="L134" s="1">
        <v>419.4</v>
      </c>
      <c r="M134" s="1">
        <v>3495.9</v>
      </c>
      <c r="N134" s="1">
        <v>12514</v>
      </c>
      <c r="O134" s="1">
        <v>3092.1</v>
      </c>
      <c r="P134" s="1">
        <v>2203.8000000000002</v>
      </c>
      <c r="Q134" s="1">
        <v>1619.8</v>
      </c>
      <c r="R134" s="1">
        <v>1682.6</v>
      </c>
      <c r="S134" s="1">
        <v>12516</v>
      </c>
      <c r="T134" s="1">
        <v>1172.7</v>
      </c>
      <c r="U134" s="1">
        <v>2003.6</v>
      </c>
      <c r="V134" s="1">
        <v>3404.7</v>
      </c>
      <c r="W134" s="1">
        <v>342.1</v>
      </c>
      <c r="X134" s="1">
        <v>270.60000000000002</v>
      </c>
      <c r="Y134" s="1">
        <v>1433</v>
      </c>
      <c r="Z134" s="1">
        <v>244.22</v>
      </c>
      <c r="AA134" s="1">
        <v>407.3</v>
      </c>
      <c r="AB134" s="1">
        <v>1038.9000000000001</v>
      </c>
      <c r="AC134" s="1">
        <v>254.25</v>
      </c>
      <c r="AD134" s="1">
        <v>298.2</v>
      </c>
      <c r="AE134" s="1">
        <v>674.5</v>
      </c>
      <c r="AF134" s="1">
        <v>8087.5</v>
      </c>
      <c r="AG134" s="1">
        <v>2401.6</v>
      </c>
      <c r="AH134" s="1">
        <v>383.85</v>
      </c>
      <c r="AI134" s="1">
        <v>1196.45</v>
      </c>
      <c r="AJ134" s="1">
        <v>160.44</v>
      </c>
      <c r="AK134" s="1">
        <v>319.10000000000002</v>
      </c>
      <c r="AL134" s="1">
        <v>2784.4</v>
      </c>
      <c r="AM134" s="1">
        <v>5540.5</v>
      </c>
      <c r="AN134" s="1">
        <v>5314.5</v>
      </c>
      <c r="AO134" s="1">
        <v>1851.3</v>
      </c>
      <c r="AP134" s="1">
        <v>764.75</v>
      </c>
      <c r="AQ134" s="1">
        <v>666.5</v>
      </c>
      <c r="AR134" s="1">
        <v>1576.7</v>
      </c>
      <c r="AS134" s="1">
        <v>1484</v>
      </c>
      <c r="AT134" s="1">
        <v>7220</v>
      </c>
      <c r="AU134" s="1">
        <v>669.75</v>
      </c>
      <c r="AV134" s="1">
        <v>1071.8</v>
      </c>
      <c r="AW134" s="1">
        <v>1250.5999999999999</v>
      </c>
      <c r="AX134" s="1">
        <v>4251.7</v>
      </c>
      <c r="AY134" s="1">
        <v>867.6</v>
      </c>
      <c r="BH134" s="2"/>
    </row>
    <row r="135" spans="1:60" ht="14.25" customHeight="1" x14ac:dyDescent="0.3">
      <c r="A135" s="2">
        <v>45853</v>
      </c>
      <c r="B135" s="1">
        <v>25195.8</v>
      </c>
      <c r="C135" s="1">
        <v>1485.4</v>
      </c>
      <c r="D135" s="1">
        <v>997.75</v>
      </c>
      <c r="E135" s="1">
        <v>1934.2</v>
      </c>
      <c r="F135" s="1">
        <v>3252.3</v>
      </c>
      <c r="G135" s="1">
        <v>1430.8</v>
      </c>
      <c r="H135" s="1">
        <v>816.45</v>
      </c>
      <c r="I135" s="1">
        <v>1585.6</v>
      </c>
      <c r="J135" s="1">
        <v>2526.9</v>
      </c>
      <c r="K135" s="1">
        <v>928.4</v>
      </c>
      <c r="L135" s="1">
        <v>422.1</v>
      </c>
      <c r="M135" s="1">
        <v>3494</v>
      </c>
      <c r="N135" s="1">
        <v>12536</v>
      </c>
      <c r="O135" s="1">
        <v>3128.6</v>
      </c>
      <c r="P135" s="1">
        <v>2188.1</v>
      </c>
      <c r="Q135" s="1">
        <v>1566.4</v>
      </c>
      <c r="R135" s="1">
        <v>1727.5</v>
      </c>
      <c r="S135" s="1">
        <v>12502</v>
      </c>
      <c r="T135" s="1">
        <v>1165.9000000000001</v>
      </c>
      <c r="U135" s="1">
        <v>2036.5</v>
      </c>
      <c r="V135" s="1">
        <v>3415</v>
      </c>
      <c r="W135" s="1">
        <v>342</v>
      </c>
      <c r="X135" s="1">
        <v>266.45</v>
      </c>
      <c r="Y135" s="1">
        <v>1445.1</v>
      </c>
      <c r="Z135" s="1">
        <v>243.67</v>
      </c>
      <c r="AA135" s="1">
        <v>408.95</v>
      </c>
      <c r="AB135" s="1">
        <v>1035</v>
      </c>
      <c r="AC135" s="1">
        <v>257.39999999999998</v>
      </c>
      <c r="AD135" s="1">
        <v>298.05</v>
      </c>
      <c r="AE135" s="1">
        <v>684.4</v>
      </c>
      <c r="AF135" s="1">
        <v>8311</v>
      </c>
      <c r="AG135" s="1">
        <v>2393.5</v>
      </c>
      <c r="AH135" s="1">
        <v>386.45</v>
      </c>
      <c r="AI135" s="1">
        <v>1208.1500000000001</v>
      </c>
      <c r="AJ135" s="1">
        <v>159</v>
      </c>
      <c r="AK135" s="1">
        <v>321.2</v>
      </c>
      <c r="AL135" s="1">
        <v>2778.6</v>
      </c>
      <c r="AM135" s="1">
        <v>5591</v>
      </c>
      <c r="AN135" s="1">
        <v>5390</v>
      </c>
      <c r="AO135" s="1">
        <v>1824.8</v>
      </c>
      <c r="AP135" s="1">
        <v>756.85</v>
      </c>
      <c r="AQ135" s="1">
        <v>670.85</v>
      </c>
      <c r="AR135" s="1">
        <v>1579</v>
      </c>
      <c r="AS135" s="1">
        <v>1490.9</v>
      </c>
      <c r="AT135" s="1">
        <v>7360.5</v>
      </c>
      <c r="AU135" s="1">
        <v>684.45</v>
      </c>
      <c r="AV135" s="1">
        <v>1081.8</v>
      </c>
      <c r="AW135" s="1">
        <v>1260.9000000000001</v>
      </c>
      <c r="AX135" s="1">
        <v>4454</v>
      </c>
      <c r="AY135" s="1">
        <v>881</v>
      </c>
      <c r="BH135" s="2"/>
    </row>
    <row r="136" spans="1:60" ht="14.25" customHeight="1" x14ac:dyDescent="0.3">
      <c r="A136" s="2">
        <v>45854</v>
      </c>
      <c r="B136" s="1">
        <v>25212.05</v>
      </c>
      <c r="C136" s="1">
        <v>1485.6</v>
      </c>
      <c r="D136" s="1">
        <v>998.15</v>
      </c>
      <c r="E136" s="1">
        <v>1936.6</v>
      </c>
      <c r="F136" s="1">
        <v>3233.1</v>
      </c>
      <c r="G136" s="1">
        <v>1426.4</v>
      </c>
      <c r="H136" s="1">
        <v>831.7</v>
      </c>
      <c r="I136" s="1">
        <v>1607.9</v>
      </c>
      <c r="J136" s="1">
        <v>2517.6</v>
      </c>
      <c r="K136" s="1">
        <v>921.75</v>
      </c>
      <c r="L136" s="1">
        <v>424.6</v>
      </c>
      <c r="M136" s="1">
        <v>3503.8</v>
      </c>
      <c r="N136" s="1">
        <v>12564</v>
      </c>
      <c r="O136" s="1">
        <v>3196.5</v>
      </c>
      <c r="P136" s="1">
        <v>2179.4</v>
      </c>
      <c r="Q136" s="1">
        <v>1562.8</v>
      </c>
      <c r="R136" s="1">
        <v>1701</v>
      </c>
      <c r="S136" s="1">
        <v>12453</v>
      </c>
      <c r="T136" s="1">
        <v>1168.4000000000001</v>
      </c>
      <c r="U136" s="1">
        <v>2036</v>
      </c>
      <c r="V136" s="1">
        <v>3417.3</v>
      </c>
      <c r="W136" s="1">
        <v>342.45</v>
      </c>
      <c r="X136" s="1">
        <v>262.35000000000002</v>
      </c>
      <c r="Y136" s="1">
        <v>1456.7</v>
      </c>
      <c r="Z136" s="1">
        <v>242.85</v>
      </c>
      <c r="AA136" s="1">
        <v>406.15</v>
      </c>
      <c r="AB136" s="1">
        <v>1029.8</v>
      </c>
      <c r="AC136" s="1">
        <v>262.8</v>
      </c>
      <c r="AD136" s="1">
        <v>297.05</v>
      </c>
      <c r="AE136" s="1">
        <v>679</v>
      </c>
      <c r="AF136" s="1">
        <v>8302.5</v>
      </c>
      <c r="AG136" s="1">
        <v>2410.5</v>
      </c>
      <c r="AH136" s="1">
        <v>386.45</v>
      </c>
      <c r="AI136" s="1">
        <v>1230</v>
      </c>
      <c r="AJ136" s="1">
        <v>157.33000000000001</v>
      </c>
      <c r="AK136" s="1">
        <v>319.55</v>
      </c>
      <c r="AL136" s="1">
        <v>2762.4</v>
      </c>
      <c r="AM136" s="1">
        <v>5626.5</v>
      </c>
      <c r="AN136" s="1">
        <v>5382</v>
      </c>
      <c r="AO136" s="1">
        <v>1829.1</v>
      </c>
      <c r="AP136" s="1">
        <v>755.95</v>
      </c>
      <c r="AQ136" s="1">
        <v>666.75</v>
      </c>
      <c r="AR136" s="1">
        <v>1607.9</v>
      </c>
      <c r="AS136" s="1">
        <v>1475.8</v>
      </c>
      <c r="AT136" s="1">
        <v>7352.5</v>
      </c>
      <c r="AU136" s="1">
        <v>668.35</v>
      </c>
      <c r="AV136" s="1">
        <v>1081.5</v>
      </c>
      <c r="AW136" s="1">
        <v>1259.4000000000001</v>
      </c>
      <c r="AX136" s="1">
        <v>4424.5</v>
      </c>
      <c r="AY136" s="1">
        <v>879.75</v>
      </c>
      <c r="BH136" s="2"/>
    </row>
    <row r="137" spans="1:60" ht="14.25" customHeight="1" x14ac:dyDescent="0.3">
      <c r="A137" s="2">
        <v>45855</v>
      </c>
      <c r="B137" s="1">
        <v>25111.45</v>
      </c>
      <c r="C137" s="1">
        <v>1476.4</v>
      </c>
      <c r="D137" s="1">
        <v>993.45</v>
      </c>
      <c r="E137" s="1">
        <v>1929.9</v>
      </c>
      <c r="F137" s="1">
        <v>3209.2</v>
      </c>
      <c r="G137" s="1">
        <v>1418.7</v>
      </c>
      <c r="H137" s="1">
        <v>829</v>
      </c>
      <c r="I137" s="1">
        <v>1583.5</v>
      </c>
      <c r="J137" s="1">
        <v>2509.8000000000002</v>
      </c>
      <c r="K137" s="1">
        <v>923.3</v>
      </c>
      <c r="L137" s="1">
        <v>423.95</v>
      </c>
      <c r="M137" s="1">
        <v>3474</v>
      </c>
      <c r="N137" s="1">
        <v>12476</v>
      </c>
      <c r="O137" s="1">
        <v>3195</v>
      </c>
      <c r="P137" s="1">
        <v>2170.8000000000002</v>
      </c>
      <c r="Q137" s="1">
        <v>1543.9</v>
      </c>
      <c r="R137" s="1">
        <v>1703.4</v>
      </c>
      <c r="S137" s="1">
        <v>12495</v>
      </c>
      <c r="T137" s="1">
        <v>1159.8</v>
      </c>
      <c r="U137" s="1">
        <v>2026.5</v>
      </c>
      <c r="V137" s="1">
        <v>3433.3</v>
      </c>
      <c r="W137" s="1">
        <v>342.65</v>
      </c>
      <c r="X137" s="1">
        <v>259.64999999999998</v>
      </c>
      <c r="Y137" s="1">
        <v>1452.5</v>
      </c>
      <c r="Z137" s="1">
        <v>243.87</v>
      </c>
      <c r="AA137" s="1">
        <v>404.2</v>
      </c>
      <c r="AB137" s="1">
        <v>1034.2</v>
      </c>
      <c r="AC137" s="1">
        <v>260.60000000000002</v>
      </c>
      <c r="AD137" s="1">
        <v>296.60000000000002</v>
      </c>
      <c r="AE137" s="1">
        <v>681.7</v>
      </c>
      <c r="AF137" s="1">
        <v>8330</v>
      </c>
      <c r="AG137" s="1">
        <v>2398.9</v>
      </c>
      <c r="AH137" s="1">
        <v>385.9</v>
      </c>
      <c r="AI137" s="1">
        <v>1224.55</v>
      </c>
      <c r="AJ137" s="1">
        <v>159.9</v>
      </c>
      <c r="AK137" s="1">
        <v>318.14999999999998</v>
      </c>
      <c r="AL137" s="1">
        <v>2766.3</v>
      </c>
      <c r="AM137" s="1">
        <v>5650</v>
      </c>
      <c r="AN137" s="1">
        <v>5417.5</v>
      </c>
      <c r="AO137" s="1">
        <v>1802.8</v>
      </c>
      <c r="AP137" s="1">
        <v>751.8</v>
      </c>
      <c r="AQ137" s="1">
        <v>674.55</v>
      </c>
      <c r="AR137" s="1">
        <v>1563.7</v>
      </c>
      <c r="AS137" s="1">
        <v>1482.4</v>
      </c>
      <c r="AT137" s="1">
        <v>7350.5</v>
      </c>
      <c r="AU137" s="1">
        <v>665.45</v>
      </c>
      <c r="AV137" s="1">
        <v>1105.8</v>
      </c>
      <c r="AW137" s="1">
        <v>1263.0999999999999</v>
      </c>
      <c r="AX137" s="1">
        <v>4443.6000000000004</v>
      </c>
      <c r="AY137" s="1">
        <v>865.1</v>
      </c>
      <c r="BH137" s="2"/>
    </row>
    <row r="138" spans="1:60" ht="14.25" customHeight="1" x14ac:dyDescent="0.3">
      <c r="A138" s="2">
        <v>45856</v>
      </c>
      <c r="B138" s="1">
        <v>24968.400000000001</v>
      </c>
      <c r="C138" s="1">
        <v>1476</v>
      </c>
      <c r="D138" s="1">
        <v>978.7</v>
      </c>
      <c r="E138" s="1">
        <v>1901</v>
      </c>
      <c r="F138" s="1">
        <v>3189.9</v>
      </c>
      <c r="G138" s="1">
        <v>1425.8</v>
      </c>
      <c r="H138" s="1">
        <v>823.35</v>
      </c>
      <c r="I138" s="1">
        <v>1586.1</v>
      </c>
      <c r="J138" s="1">
        <v>2489.6</v>
      </c>
      <c r="K138" s="1">
        <v>942</v>
      </c>
      <c r="L138" s="1">
        <v>422.75</v>
      </c>
      <c r="M138" s="1">
        <v>3464.8</v>
      </c>
      <c r="N138" s="1">
        <v>12419</v>
      </c>
      <c r="O138" s="1">
        <v>3192.4</v>
      </c>
      <c r="P138" s="1">
        <v>2140.5</v>
      </c>
      <c r="Q138" s="1">
        <v>1548.8</v>
      </c>
      <c r="R138" s="1">
        <v>1693.6</v>
      </c>
      <c r="S138" s="1">
        <v>12498</v>
      </c>
      <c r="T138" s="1">
        <v>1099.3</v>
      </c>
      <c r="U138" s="1">
        <v>2029.6</v>
      </c>
      <c r="V138" s="1">
        <v>3402.9</v>
      </c>
      <c r="W138" s="1">
        <v>342.1</v>
      </c>
      <c r="X138" s="1">
        <v>257.2</v>
      </c>
      <c r="Y138" s="1">
        <v>1443.1</v>
      </c>
      <c r="Z138" s="1">
        <v>246.31</v>
      </c>
      <c r="AA138" s="1">
        <v>394.75</v>
      </c>
      <c r="AB138" s="1">
        <v>1034.4000000000001</v>
      </c>
      <c r="AC138" s="1">
        <v>266.95</v>
      </c>
      <c r="AD138" s="1">
        <v>294.14999999999998</v>
      </c>
      <c r="AE138" s="1">
        <v>680.25</v>
      </c>
      <c r="AF138" s="1">
        <v>8347.5</v>
      </c>
      <c r="AG138" s="1">
        <v>2382.4</v>
      </c>
      <c r="AH138" s="1">
        <v>388.5</v>
      </c>
      <c r="AI138" s="1">
        <v>1236.0999999999999</v>
      </c>
      <c r="AJ138" s="1">
        <v>162.37</v>
      </c>
      <c r="AK138" s="1">
        <v>316.85000000000002</v>
      </c>
      <c r="AL138" s="1">
        <v>2728.5</v>
      </c>
      <c r="AM138" s="1">
        <v>5627.5</v>
      </c>
      <c r="AN138" s="1">
        <v>5375</v>
      </c>
      <c r="AO138" s="1">
        <v>1788.4</v>
      </c>
      <c r="AP138" s="1">
        <v>739.5</v>
      </c>
      <c r="AQ138" s="1">
        <v>675.9</v>
      </c>
      <c r="AR138" s="1">
        <v>1548.9</v>
      </c>
      <c r="AS138" s="1">
        <v>1482.3</v>
      </c>
      <c r="AT138" s="1">
        <v>7303.5</v>
      </c>
      <c r="AU138" s="1">
        <v>645.5</v>
      </c>
      <c r="AV138" s="1">
        <v>1095.9000000000001</v>
      </c>
      <c r="AW138" s="1">
        <v>1257.5</v>
      </c>
      <c r="AX138" s="1">
        <v>4396.7</v>
      </c>
      <c r="AY138" s="1">
        <v>870.05</v>
      </c>
      <c r="BH138" s="2"/>
    </row>
    <row r="139" spans="1:60" ht="14.25" customHeight="1" x14ac:dyDescent="0.3">
      <c r="A139" s="2">
        <v>45859</v>
      </c>
      <c r="B139" s="1">
        <v>25090.7</v>
      </c>
      <c r="C139" s="1">
        <v>1428.6</v>
      </c>
      <c r="D139" s="1">
        <v>1000.25</v>
      </c>
      <c r="E139" s="1">
        <v>1909.2</v>
      </c>
      <c r="F139" s="1">
        <v>3158.2</v>
      </c>
      <c r="G139" s="1">
        <v>1465.8</v>
      </c>
      <c r="H139" s="1">
        <v>824.2</v>
      </c>
      <c r="I139" s="1">
        <v>1584.3</v>
      </c>
      <c r="J139" s="1">
        <v>2464.9</v>
      </c>
      <c r="K139" s="1">
        <v>948.45</v>
      </c>
      <c r="L139" s="1">
        <v>420.1</v>
      </c>
      <c r="M139" s="1">
        <v>3502.8</v>
      </c>
      <c r="N139" s="1">
        <v>12405</v>
      </c>
      <c r="O139" s="1">
        <v>3246.7</v>
      </c>
      <c r="P139" s="1">
        <v>2165.1999999999998</v>
      </c>
      <c r="Q139" s="1">
        <v>1530.4</v>
      </c>
      <c r="R139" s="1">
        <v>1692.3</v>
      </c>
      <c r="S139" s="1">
        <v>12577</v>
      </c>
      <c r="T139" s="1">
        <v>1099.5999999999999</v>
      </c>
      <c r="U139" s="1">
        <v>2053.9</v>
      </c>
      <c r="V139" s="1">
        <v>3433</v>
      </c>
      <c r="W139" s="1">
        <v>341.55</v>
      </c>
      <c r="X139" s="1">
        <v>271.7</v>
      </c>
      <c r="Y139" s="1">
        <v>1450.5</v>
      </c>
      <c r="Z139" s="1">
        <v>245.04</v>
      </c>
      <c r="AA139" s="1">
        <v>399.95</v>
      </c>
      <c r="AB139" s="1">
        <v>1034.8</v>
      </c>
      <c r="AC139" s="1">
        <v>260.35000000000002</v>
      </c>
      <c r="AD139" s="1">
        <v>297</v>
      </c>
      <c r="AE139" s="1">
        <v>687.45</v>
      </c>
      <c r="AF139" s="1">
        <v>8438.5</v>
      </c>
      <c r="AG139" s="1">
        <v>2375.4</v>
      </c>
      <c r="AH139" s="1">
        <v>386.8</v>
      </c>
      <c r="AI139" s="1">
        <v>1236.3</v>
      </c>
      <c r="AJ139" s="1">
        <v>163.02000000000001</v>
      </c>
      <c r="AK139" s="1">
        <v>317.25</v>
      </c>
      <c r="AL139" s="1">
        <v>2741.9</v>
      </c>
      <c r="AM139" s="1">
        <v>5558</v>
      </c>
      <c r="AN139" s="1">
        <v>5376</v>
      </c>
      <c r="AO139" s="1">
        <v>1804.7</v>
      </c>
      <c r="AP139" s="1">
        <v>752.3</v>
      </c>
      <c r="AQ139" s="1">
        <v>682.7</v>
      </c>
      <c r="AR139" s="1">
        <v>1543.8</v>
      </c>
      <c r="AS139" s="1">
        <v>1473.9</v>
      </c>
      <c r="AT139" s="1">
        <v>7254.5</v>
      </c>
      <c r="AU139" s="1">
        <v>655.65</v>
      </c>
      <c r="AV139" s="1">
        <v>1090.3</v>
      </c>
      <c r="AW139" s="1">
        <v>1259.3</v>
      </c>
      <c r="AX139" s="1">
        <v>4408.2</v>
      </c>
      <c r="AY139" s="1">
        <v>858.8</v>
      </c>
      <c r="BH139" s="2"/>
    </row>
    <row r="140" spans="1:60" ht="14.25" customHeight="1" x14ac:dyDescent="0.3">
      <c r="A140" s="2">
        <v>45860</v>
      </c>
      <c r="B140" s="1">
        <v>25060.9</v>
      </c>
      <c r="C140" s="1">
        <v>1412.8</v>
      </c>
      <c r="D140" s="1">
        <v>1003.55</v>
      </c>
      <c r="E140" s="1">
        <v>1906.8</v>
      </c>
      <c r="F140" s="1">
        <v>3159.6</v>
      </c>
      <c r="G140" s="1">
        <v>1473.6</v>
      </c>
      <c r="H140" s="1">
        <v>815</v>
      </c>
      <c r="I140" s="1">
        <v>1570.9</v>
      </c>
      <c r="J140" s="1">
        <v>2479.6999999999998</v>
      </c>
      <c r="K140" s="1">
        <v>952.55</v>
      </c>
      <c r="L140" s="1">
        <v>416</v>
      </c>
      <c r="M140" s="1">
        <v>3464.6</v>
      </c>
      <c r="N140" s="1">
        <v>12492</v>
      </c>
      <c r="O140" s="1">
        <v>3257.2</v>
      </c>
      <c r="P140" s="1">
        <v>2160.1999999999998</v>
      </c>
      <c r="Q140" s="1">
        <v>1520.1</v>
      </c>
      <c r="R140" s="1">
        <v>1678</v>
      </c>
      <c r="S140" s="1">
        <v>12452</v>
      </c>
      <c r="T140" s="1">
        <v>1098</v>
      </c>
      <c r="U140" s="1">
        <v>2039.6</v>
      </c>
      <c r="V140" s="1">
        <v>3472.4</v>
      </c>
      <c r="W140" s="1">
        <v>340.85</v>
      </c>
      <c r="X140" s="1">
        <v>299.8</v>
      </c>
      <c r="Y140" s="1">
        <v>1420.7</v>
      </c>
      <c r="Z140" s="1">
        <v>246.41</v>
      </c>
      <c r="AA140" s="1">
        <v>403.1</v>
      </c>
      <c r="AB140" s="1">
        <v>1030.7</v>
      </c>
      <c r="AC140" s="1">
        <v>259.7</v>
      </c>
      <c r="AD140" s="1">
        <v>297.8</v>
      </c>
      <c r="AE140" s="1">
        <v>673.4</v>
      </c>
      <c r="AF140" s="1">
        <v>8295</v>
      </c>
      <c r="AG140" s="1">
        <v>2365.1999999999998</v>
      </c>
      <c r="AH140" s="1">
        <v>389.1</v>
      </c>
      <c r="AI140" s="1">
        <v>1221.75</v>
      </c>
      <c r="AJ140" s="1">
        <v>163.04</v>
      </c>
      <c r="AK140" s="1">
        <v>310.8</v>
      </c>
      <c r="AL140" s="1">
        <v>2722.7</v>
      </c>
      <c r="AM140" s="1">
        <v>5439.5</v>
      </c>
      <c r="AN140" s="1">
        <v>5360.5</v>
      </c>
      <c r="AO140" s="1">
        <v>1809</v>
      </c>
      <c r="AP140" s="1">
        <v>763.3</v>
      </c>
      <c r="AQ140" s="1">
        <v>690.05</v>
      </c>
      <c r="AR140" s="1">
        <v>1547.2</v>
      </c>
      <c r="AS140" s="1">
        <v>1464.4</v>
      </c>
      <c r="AT140" s="1">
        <v>7246.5</v>
      </c>
      <c r="AU140" s="1">
        <v>640.15</v>
      </c>
      <c r="AV140" s="1">
        <v>1084.8</v>
      </c>
      <c r="AW140" s="1">
        <v>1240</v>
      </c>
      <c r="AX140" s="1">
        <v>4342.3999999999996</v>
      </c>
      <c r="AY140" s="1">
        <v>843.2</v>
      </c>
      <c r="BH140" s="2"/>
    </row>
    <row r="141" spans="1:60" ht="14.25" customHeight="1" x14ac:dyDescent="0.3">
      <c r="A141" s="2">
        <v>45861</v>
      </c>
      <c r="B141" s="1">
        <v>25219.9</v>
      </c>
      <c r="C141" s="1">
        <v>1424.6</v>
      </c>
      <c r="D141" s="1">
        <v>1012.15</v>
      </c>
      <c r="E141" s="1">
        <v>1943.8</v>
      </c>
      <c r="F141" s="1">
        <v>3179.1</v>
      </c>
      <c r="G141" s="1">
        <v>1488.6</v>
      </c>
      <c r="H141" s="1">
        <v>820.65</v>
      </c>
      <c r="I141" s="1">
        <v>1574.5</v>
      </c>
      <c r="J141" s="1">
        <v>2450.4</v>
      </c>
      <c r="K141" s="1">
        <v>968.3</v>
      </c>
      <c r="L141" s="1">
        <v>414.95</v>
      </c>
      <c r="M141" s="1">
        <v>3484.9</v>
      </c>
      <c r="N141" s="1">
        <v>12627</v>
      </c>
      <c r="O141" s="1">
        <v>3268.8</v>
      </c>
      <c r="P141" s="1">
        <v>2170.4</v>
      </c>
      <c r="Q141" s="1">
        <v>1529.8</v>
      </c>
      <c r="R141" s="1">
        <v>1682.5</v>
      </c>
      <c r="S141" s="1">
        <v>12372</v>
      </c>
      <c r="T141" s="1">
        <v>1104.8</v>
      </c>
      <c r="U141" s="1">
        <v>2060.5</v>
      </c>
      <c r="V141" s="1">
        <v>3471.4</v>
      </c>
      <c r="W141" s="1">
        <v>343.05</v>
      </c>
      <c r="X141" s="1">
        <v>302.05</v>
      </c>
      <c r="Y141" s="1">
        <v>1420.8</v>
      </c>
      <c r="Z141" s="1">
        <v>245.55</v>
      </c>
      <c r="AA141" s="1">
        <v>400.2</v>
      </c>
      <c r="AB141" s="1">
        <v>1033.8</v>
      </c>
      <c r="AC141" s="1">
        <v>261.39999999999998</v>
      </c>
      <c r="AD141" s="1">
        <v>299.25</v>
      </c>
      <c r="AE141" s="1">
        <v>690.1</v>
      </c>
      <c r="AF141" s="1">
        <v>8397</v>
      </c>
      <c r="AG141" s="1">
        <v>2375.4</v>
      </c>
      <c r="AH141" s="1">
        <v>390.75</v>
      </c>
      <c r="AI141" s="1">
        <v>1226.25</v>
      </c>
      <c r="AJ141" s="1">
        <v>162.77000000000001</v>
      </c>
      <c r="AK141" s="1">
        <v>314.45</v>
      </c>
      <c r="AL141" s="1">
        <v>2709.1</v>
      </c>
      <c r="AM141" s="1">
        <v>5441.5</v>
      </c>
      <c r="AN141" s="1">
        <v>5359</v>
      </c>
      <c r="AO141" s="1">
        <v>1809.5</v>
      </c>
      <c r="AP141" s="1">
        <v>762.5</v>
      </c>
      <c r="AQ141" s="1">
        <v>695.4</v>
      </c>
      <c r="AR141" s="1">
        <v>1546.6</v>
      </c>
      <c r="AS141" s="1">
        <v>1473.5</v>
      </c>
      <c r="AT141" s="1">
        <v>7373.5</v>
      </c>
      <c r="AU141" s="1">
        <v>654.04999999999995</v>
      </c>
      <c r="AV141" s="1">
        <v>1062.5999999999999</v>
      </c>
      <c r="AW141" s="1">
        <v>1247.4000000000001</v>
      </c>
      <c r="AX141" s="1">
        <v>4363.7</v>
      </c>
      <c r="AY141" s="1">
        <v>851.15</v>
      </c>
      <c r="BH141" s="2"/>
    </row>
    <row r="142" spans="1:60" ht="14.25" customHeight="1" x14ac:dyDescent="0.3">
      <c r="A142" s="2">
        <v>45862</v>
      </c>
      <c r="B142" s="1">
        <v>25062.1</v>
      </c>
      <c r="C142" s="1">
        <v>1402.9</v>
      </c>
      <c r="D142" s="1">
        <v>1007.1</v>
      </c>
      <c r="E142" s="1">
        <v>1936.1</v>
      </c>
      <c r="F142" s="1">
        <v>3148</v>
      </c>
      <c r="G142" s="1">
        <v>1483.4</v>
      </c>
      <c r="H142" s="1">
        <v>815.7</v>
      </c>
      <c r="I142" s="1">
        <v>1552.5</v>
      </c>
      <c r="J142" s="1">
        <v>2437.8000000000002</v>
      </c>
      <c r="K142" s="1">
        <v>958.95</v>
      </c>
      <c r="L142" s="1">
        <v>409.95</v>
      </c>
      <c r="M142" s="1">
        <v>3477.5</v>
      </c>
      <c r="N142" s="1">
        <v>12557</v>
      </c>
      <c r="O142" s="1">
        <v>3260.9</v>
      </c>
      <c r="P142" s="1">
        <v>2142.1</v>
      </c>
      <c r="Q142" s="1">
        <v>1507.2</v>
      </c>
      <c r="R142" s="1">
        <v>1692</v>
      </c>
      <c r="S142" s="1">
        <v>12304</v>
      </c>
      <c r="T142" s="1">
        <v>1095.0999999999999</v>
      </c>
      <c r="U142" s="1">
        <v>2032.3</v>
      </c>
      <c r="V142" s="1">
        <v>3484.4</v>
      </c>
      <c r="W142" s="1">
        <v>338.9</v>
      </c>
      <c r="X142" s="1">
        <v>313.14999999999998</v>
      </c>
      <c r="Y142" s="1">
        <v>1411.6</v>
      </c>
      <c r="Z142" s="1">
        <v>244.83</v>
      </c>
      <c r="AA142" s="1">
        <v>398.25</v>
      </c>
      <c r="AB142" s="1">
        <v>1033.8</v>
      </c>
      <c r="AC142" s="1">
        <v>261.85000000000002</v>
      </c>
      <c r="AD142" s="1">
        <v>299.35000000000002</v>
      </c>
      <c r="AE142" s="1">
        <v>700.5</v>
      </c>
      <c r="AF142" s="1">
        <v>8288.5</v>
      </c>
      <c r="AG142" s="1">
        <v>2352.1</v>
      </c>
      <c r="AH142" s="1">
        <v>385.55</v>
      </c>
      <c r="AI142" s="1">
        <v>1161.05</v>
      </c>
      <c r="AJ142" s="1">
        <v>163.47999999999999</v>
      </c>
      <c r="AK142" s="1">
        <v>316.45</v>
      </c>
      <c r="AL142" s="1">
        <v>2735.9</v>
      </c>
      <c r="AM142" s="1">
        <v>5469</v>
      </c>
      <c r="AN142" s="1">
        <v>5154</v>
      </c>
      <c r="AO142" s="1">
        <v>1793.6</v>
      </c>
      <c r="AP142" s="1">
        <v>757.3</v>
      </c>
      <c r="AQ142" s="1">
        <v>695.6</v>
      </c>
      <c r="AR142" s="1">
        <v>1498.6</v>
      </c>
      <c r="AS142" s="1">
        <v>1487.9</v>
      </c>
      <c r="AT142" s="1">
        <v>7363.5</v>
      </c>
      <c r="AU142" s="1">
        <v>633.54999999999995</v>
      </c>
      <c r="AV142" s="1">
        <v>1072.8</v>
      </c>
      <c r="AW142" s="1">
        <v>1265.5</v>
      </c>
      <c r="AX142" s="1">
        <v>4301.8999999999996</v>
      </c>
      <c r="AY142" s="1">
        <v>847.9</v>
      </c>
      <c r="BH142" s="2"/>
    </row>
    <row r="143" spans="1:60" ht="14.25" customHeight="1" x14ac:dyDescent="0.3">
      <c r="A143" s="2">
        <v>45863</v>
      </c>
      <c r="B143" s="1">
        <v>24837</v>
      </c>
      <c r="C143" s="1">
        <v>1391.7</v>
      </c>
      <c r="D143" s="1">
        <v>1002.3</v>
      </c>
      <c r="E143" s="1">
        <v>1937.9</v>
      </c>
      <c r="F143" s="1">
        <v>3135.8</v>
      </c>
      <c r="G143" s="1">
        <v>1477.1</v>
      </c>
      <c r="H143" s="1">
        <v>806.55</v>
      </c>
      <c r="I143" s="1">
        <v>1515.7</v>
      </c>
      <c r="J143" s="1">
        <v>2415.4</v>
      </c>
      <c r="K143" s="1">
        <v>913.75</v>
      </c>
      <c r="L143" s="1">
        <v>409.4</v>
      </c>
      <c r="M143" s="1">
        <v>3442.9</v>
      </c>
      <c r="N143" s="1">
        <v>12404</v>
      </c>
      <c r="O143" s="1">
        <v>3246.4</v>
      </c>
      <c r="P143" s="1">
        <v>2124.6</v>
      </c>
      <c r="Q143" s="1">
        <v>1490.1</v>
      </c>
      <c r="R143" s="1">
        <v>1699</v>
      </c>
      <c r="S143" s="1">
        <v>12250</v>
      </c>
      <c r="T143" s="1">
        <v>1086.0999999999999</v>
      </c>
      <c r="U143" s="1">
        <v>1985.8</v>
      </c>
      <c r="V143" s="1">
        <v>3462.8</v>
      </c>
      <c r="W143" s="1">
        <v>333.2</v>
      </c>
      <c r="X143" s="1">
        <v>310.55</v>
      </c>
      <c r="Y143" s="1">
        <v>1396.3</v>
      </c>
      <c r="Z143" s="1">
        <v>240.29</v>
      </c>
      <c r="AA143" s="1">
        <v>395.2</v>
      </c>
      <c r="AB143" s="1">
        <v>1026.9000000000001</v>
      </c>
      <c r="AC143" s="1">
        <v>259.2</v>
      </c>
      <c r="AD143" s="1">
        <v>292.10000000000002</v>
      </c>
      <c r="AE143" s="1">
        <v>687.4</v>
      </c>
      <c r="AF143" s="1">
        <v>8075.5</v>
      </c>
      <c r="AG143" s="1">
        <v>2336.1999999999998</v>
      </c>
      <c r="AH143" s="1">
        <v>380.8</v>
      </c>
      <c r="AI143" s="1">
        <v>1137.3</v>
      </c>
      <c r="AJ143" s="1">
        <v>161.43</v>
      </c>
      <c r="AK143" s="1">
        <v>311.25</v>
      </c>
      <c r="AL143" s="1">
        <v>2708.6</v>
      </c>
      <c r="AM143" s="1">
        <v>5433</v>
      </c>
      <c r="AN143" s="1">
        <v>5043</v>
      </c>
      <c r="AO143" s="1">
        <v>1832.1</v>
      </c>
      <c r="AP143" s="1">
        <v>762.35</v>
      </c>
      <c r="AQ143" s="1">
        <v>693.45</v>
      </c>
      <c r="AR143" s="1">
        <v>1461.9</v>
      </c>
      <c r="AS143" s="1">
        <v>1532.5</v>
      </c>
      <c r="AT143" s="1">
        <v>7468.5</v>
      </c>
      <c r="AU143" s="1">
        <v>615.85</v>
      </c>
      <c r="AV143" s="1">
        <v>1054.4000000000001</v>
      </c>
      <c r="AW143" s="1">
        <v>1277.9000000000001</v>
      </c>
      <c r="AX143" s="1">
        <v>4230.7</v>
      </c>
      <c r="AY143" s="1">
        <v>823.7</v>
      </c>
      <c r="BH143" s="2"/>
    </row>
    <row r="144" spans="1:60" ht="14.25" customHeight="1" x14ac:dyDescent="0.3">
      <c r="A144" s="2">
        <v>45866</v>
      </c>
      <c r="B144" s="1">
        <v>24680.9</v>
      </c>
      <c r="C144" s="1">
        <v>1387.6</v>
      </c>
      <c r="D144" s="1">
        <v>1004.25</v>
      </c>
      <c r="E144" s="1">
        <v>1890.3</v>
      </c>
      <c r="F144" s="1">
        <v>3079.3</v>
      </c>
      <c r="G144" s="1">
        <v>1488.4</v>
      </c>
      <c r="H144" s="1">
        <v>797.15</v>
      </c>
      <c r="I144" s="1">
        <v>1516</v>
      </c>
      <c r="J144" s="1">
        <v>2441.6</v>
      </c>
      <c r="K144" s="1">
        <v>880.5</v>
      </c>
      <c r="L144" s="1">
        <v>409.9</v>
      </c>
      <c r="M144" s="1">
        <v>3422.2</v>
      </c>
      <c r="N144" s="1">
        <v>12340</v>
      </c>
      <c r="O144" s="1">
        <v>3209.8</v>
      </c>
      <c r="P144" s="1">
        <v>1966.6</v>
      </c>
      <c r="Q144" s="1">
        <v>1466.1</v>
      </c>
      <c r="R144" s="1">
        <v>1702.2</v>
      </c>
      <c r="S144" s="1">
        <v>12240</v>
      </c>
      <c r="T144" s="1">
        <v>1073.5999999999999</v>
      </c>
      <c r="U144" s="1">
        <v>1977.8</v>
      </c>
      <c r="V144" s="1">
        <v>3393</v>
      </c>
      <c r="W144" s="1">
        <v>332.95</v>
      </c>
      <c r="X144" s="1">
        <v>307.3</v>
      </c>
      <c r="Y144" s="1">
        <v>1376</v>
      </c>
      <c r="Z144" s="1">
        <v>240.02</v>
      </c>
      <c r="AA144" s="1">
        <v>389.25</v>
      </c>
      <c r="AB144" s="1">
        <v>1028.8</v>
      </c>
      <c r="AC144" s="1">
        <v>250.05</v>
      </c>
      <c r="AD144" s="1">
        <v>291.89999999999998</v>
      </c>
      <c r="AE144" s="1">
        <v>682.9</v>
      </c>
      <c r="AF144" s="1">
        <v>8089.5</v>
      </c>
      <c r="AG144" s="1">
        <v>2359.6</v>
      </c>
      <c r="AH144" s="1">
        <v>378.35</v>
      </c>
      <c r="AI144" s="1">
        <v>1114.6500000000001</v>
      </c>
      <c r="AJ144" s="1">
        <v>159.68</v>
      </c>
      <c r="AK144" s="1">
        <v>307.35000000000002</v>
      </c>
      <c r="AL144" s="1">
        <v>2727.2</v>
      </c>
      <c r="AM144" s="1">
        <v>5386</v>
      </c>
      <c r="AN144" s="1">
        <v>4994</v>
      </c>
      <c r="AO144" s="1">
        <v>1850.5</v>
      </c>
      <c r="AP144" s="1">
        <v>761.2</v>
      </c>
      <c r="AQ144" s="1">
        <v>689.35</v>
      </c>
      <c r="AR144" s="1">
        <v>1450.6</v>
      </c>
      <c r="AS144" s="1">
        <v>1572</v>
      </c>
      <c r="AT144" s="1">
        <v>7356.5</v>
      </c>
      <c r="AU144" s="1">
        <v>633.45000000000005</v>
      </c>
      <c r="AV144" s="1">
        <v>1059.9000000000001</v>
      </c>
      <c r="AW144" s="1">
        <v>1287.4000000000001</v>
      </c>
      <c r="AX144" s="1">
        <v>4291.1000000000004</v>
      </c>
      <c r="AY144" s="1">
        <v>802.05</v>
      </c>
      <c r="BH144" s="2"/>
    </row>
    <row r="145" spans="1:60" ht="14.25" customHeight="1" x14ac:dyDescent="0.3">
      <c r="A145" s="2">
        <v>45867</v>
      </c>
      <c r="B145" s="1">
        <v>24821.1</v>
      </c>
      <c r="C145" s="1">
        <v>1417.1</v>
      </c>
      <c r="D145" s="1">
        <v>1010.8</v>
      </c>
      <c r="E145" s="1">
        <v>1918.3</v>
      </c>
      <c r="F145" s="1">
        <v>3056</v>
      </c>
      <c r="G145" s="1">
        <v>1486.2</v>
      </c>
      <c r="H145" s="1">
        <v>799.2</v>
      </c>
      <c r="I145" s="1">
        <v>1513.7</v>
      </c>
      <c r="J145" s="1">
        <v>2453.6</v>
      </c>
      <c r="K145" s="1">
        <v>886.55</v>
      </c>
      <c r="L145" s="1">
        <v>408.45</v>
      </c>
      <c r="M145" s="1">
        <v>3495.6</v>
      </c>
      <c r="N145" s="1">
        <v>12469</v>
      </c>
      <c r="O145" s="1">
        <v>3199.4</v>
      </c>
      <c r="P145" s="1">
        <v>1972.7</v>
      </c>
      <c r="Q145" s="1">
        <v>1472.4</v>
      </c>
      <c r="R145" s="1">
        <v>1710.5</v>
      </c>
      <c r="S145" s="1">
        <v>12221</v>
      </c>
      <c r="T145" s="1">
        <v>1064.2</v>
      </c>
      <c r="U145" s="1">
        <v>1972.6</v>
      </c>
      <c r="V145" s="1">
        <v>3379.2</v>
      </c>
      <c r="W145" s="1">
        <v>334.6</v>
      </c>
      <c r="X145" s="1">
        <v>306.55</v>
      </c>
      <c r="Y145" s="1">
        <v>1395.9</v>
      </c>
      <c r="Z145" s="1">
        <v>241.44</v>
      </c>
      <c r="AA145" s="1">
        <v>388.25</v>
      </c>
      <c r="AB145" s="1">
        <v>1034.9000000000001</v>
      </c>
      <c r="AC145" s="1">
        <v>251.8</v>
      </c>
      <c r="AD145" s="1">
        <v>293.10000000000002</v>
      </c>
      <c r="AE145" s="1">
        <v>692.35</v>
      </c>
      <c r="AF145" s="1">
        <v>8127.5</v>
      </c>
      <c r="AG145" s="1">
        <v>2401.5</v>
      </c>
      <c r="AH145" s="1">
        <v>383.65</v>
      </c>
      <c r="AI145" s="1">
        <v>1111.8499999999999</v>
      </c>
      <c r="AJ145" s="1">
        <v>161.69</v>
      </c>
      <c r="AK145" s="1">
        <v>321.10000000000002</v>
      </c>
      <c r="AL145" s="1">
        <v>2743</v>
      </c>
      <c r="AM145" s="1">
        <v>5470.5</v>
      </c>
      <c r="AN145" s="1">
        <v>5001.5</v>
      </c>
      <c r="AO145" s="1">
        <v>1833.4</v>
      </c>
      <c r="AP145" s="1">
        <v>756.35</v>
      </c>
      <c r="AQ145" s="1">
        <v>692.7</v>
      </c>
      <c r="AR145" s="1">
        <v>1453.8</v>
      </c>
      <c r="AS145" s="1">
        <v>1574</v>
      </c>
      <c r="AT145" s="1">
        <v>7456</v>
      </c>
      <c r="AU145" s="1">
        <v>638.35</v>
      </c>
      <c r="AV145" s="1">
        <v>1061.5999999999999</v>
      </c>
      <c r="AW145" s="1">
        <v>1299.8</v>
      </c>
      <c r="AX145" s="1">
        <v>4325.2</v>
      </c>
      <c r="AY145" s="1">
        <v>808.2</v>
      </c>
      <c r="BH145" s="2"/>
    </row>
    <row r="146" spans="1:60" ht="14.25" customHeight="1" x14ac:dyDescent="0.3">
      <c r="A146" s="2">
        <v>45868</v>
      </c>
      <c r="B146" s="1">
        <v>24855.05</v>
      </c>
      <c r="C146" s="1">
        <v>1410.1</v>
      </c>
      <c r="D146" s="1">
        <v>1012.9</v>
      </c>
      <c r="E146" s="1">
        <v>1932.6</v>
      </c>
      <c r="F146" s="1">
        <v>3053.6</v>
      </c>
      <c r="G146" s="1">
        <v>1482.4</v>
      </c>
      <c r="H146" s="1">
        <v>801.65</v>
      </c>
      <c r="I146" s="1">
        <v>1519</v>
      </c>
      <c r="J146" s="1">
        <v>2437.4</v>
      </c>
      <c r="K146" s="1">
        <v>884.85</v>
      </c>
      <c r="L146" s="1">
        <v>407.6</v>
      </c>
      <c r="M146" s="1">
        <v>3665.1</v>
      </c>
      <c r="N146" s="1">
        <v>12618</v>
      </c>
      <c r="O146" s="1">
        <v>3208.9</v>
      </c>
      <c r="P146" s="1">
        <v>1959.7</v>
      </c>
      <c r="Q146" s="1">
        <v>1476.5</v>
      </c>
      <c r="R146" s="1">
        <v>1733.8</v>
      </c>
      <c r="S146" s="1">
        <v>12268</v>
      </c>
      <c r="T146" s="1">
        <v>1073.3</v>
      </c>
      <c r="U146" s="1">
        <v>1959.8</v>
      </c>
      <c r="V146" s="1">
        <v>3376.5</v>
      </c>
      <c r="W146" s="1">
        <v>338.8</v>
      </c>
      <c r="X146" s="1">
        <v>303.45</v>
      </c>
      <c r="Y146" s="1">
        <v>1394</v>
      </c>
      <c r="Z146" s="1">
        <v>241.81</v>
      </c>
      <c r="AA146" s="1">
        <v>386.5</v>
      </c>
      <c r="AB146" s="1">
        <v>1037.9000000000001</v>
      </c>
      <c r="AC146" s="1">
        <v>250.2</v>
      </c>
      <c r="AD146" s="1">
        <v>288.95</v>
      </c>
      <c r="AE146" s="1">
        <v>668.45</v>
      </c>
      <c r="AF146" s="1">
        <v>8043.5</v>
      </c>
      <c r="AG146" s="1">
        <v>2415.8000000000002</v>
      </c>
      <c r="AH146" s="1">
        <v>379.9</v>
      </c>
      <c r="AI146" s="1">
        <v>1115.75</v>
      </c>
      <c r="AJ146" s="1">
        <v>161.36000000000001</v>
      </c>
      <c r="AK146" s="1">
        <v>320.3</v>
      </c>
      <c r="AL146" s="1">
        <v>2758.6</v>
      </c>
      <c r="AM146" s="1">
        <v>5481</v>
      </c>
      <c r="AN146" s="1">
        <v>5043.5</v>
      </c>
      <c r="AO146" s="1">
        <v>1839.1</v>
      </c>
      <c r="AP146" s="1">
        <v>757.45</v>
      </c>
      <c r="AQ146" s="1">
        <v>688.8</v>
      </c>
      <c r="AR146" s="1">
        <v>1463.2</v>
      </c>
      <c r="AS146" s="1">
        <v>1559.4</v>
      </c>
      <c r="AT146" s="1">
        <v>7450</v>
      </c>
      <c r="AU146" s="1">
        <v>632.79999999999995</v>
      </c>
      <c r="AV146" s="1">
        <v>1073.0999999999999</v>
      </c>
      <c r="AW146" s="1">
        <v>1292.0999999999999</v>
      </c>
      <c r="AX146" s="1">
        <v>4251.3</v>
      </c>
      <c r="AY146" s="1">
        <v>801.9</v>
      </c>
      <c r="BH146" s="2"/>
    </row>
    <row r="147" spans="1:60" ht="14.25" customHeight="1" x14ac:dyDescent="0.3">
      <c r="A147" s="2">
        <v>45869</v>
      </c>
      <c r="B147" s="1">
        <v>24768.35</v>
      </c>
      <c r="C147" s="1">
        <v>1390.2</v>
      </c>
      <c r="D147" s="1">
        <v>1009.1</v>
      </c>
      <c r="E147" s="1">
        <v>1914.3</v>
      </c>
      <c r="F147" s="1">
        <v>3036.8</v>
      </c>
      <c r="G147" s="1">
        <v>1481.4</v>
      </c>
      <c r="H147" s="1">
        <v>796.55</v>
      </c>
      <c r="I147" s="1">
        <v>1509</v>
      </c>
      <c r="J147" s="1">
        <v>2521.1999999999998</v>
      </c>
      <c r="K147" s="1">
        <v>881.2</v>
      </c>
      <c r="L147" s="1">
        <v>411.95</v>
      </c>
      <c r="M147" s="1">
        <v>3636.5</v>
      </c>
      <c r="N147" s="1">
        <v>12608</v>
      </c>
      <c r="O147" s="1">
        <v>3203.1</v>
      </c>
      <c r="P147" s="1">
        <v>1978.6</v>
      </c>
      <c r="Q147" s="1">
        <v>1467.9</v>
      </c>
      <c r="R147" s="1">
        <v>1706.7</v>
      </c>
      <c r="S147" s="1">
        <v>12249</v>
      </c>
      <c r="T147" s="1">
        <v>1068.4000000000001</v>
      </c>
      <c r="U147" s="1">
        <v>1948</v>
      </c>
      <c r="V147" s="1">
        <v>3347.3</v>
      </c>
      <c r="W147" s="1">
        <v>334.25</v>
      </c>
      <c r="X147" s="1">
        <v>307.8</v>
      </c>
      <c r="Y147" s="1">
        <v>1373.1</v>
      </c>
      <c r="Z147" s="1">
        <v>241</v>
      </c>
      <c r="AA147" s="1">
        <v>383.1</v>
      </c>
      <c r="AB147" s="1">
        <v>1048.3</v>
      </c>
      <c r="AC147" s="1">
        <v>248.3</v>
      </c>
      <c r="AD147" s="1">
        <v>291</v>
      </c>
      <c r="AE147" s="1">
        <v>665.95</v>
      </c>
      <c r="AF147" s="1">
        <v>8008</v>
      </c>
      <c r="AG147" s="1">
        <v>2396.1</v>
      </c>
      <c r="AH147" s="1">
        <v>376.35</v>
      </c>
      <c r="AI147" s="1">
        <v>1123.8499999999999</v>
      </c>
      <c r="AJ147" s="1">
        <v>157.94</v>
      </c>
      <c r="AK147" s="1">
        <v>329.25</v>
      </c>
      <c r="AL147" s="1">
        <v>2746.4</v>
      </c>
      <c r="AM147" s="1">
        <v>5468.5</v>
      </c>
      <c r="AN147" s="1">
        <v>5018</v>
      </c>
      <c r="AO147" s="1">
        <v>1840.7</v>
      </c>
      <c r="AP147" s="1">
        <v>755.5</v>
      </c>
      <c r="AQ147" s="1">
        <v>683.05</v>
      </c>
      <c r="AR147" s="1">
        <v>1463.7</v>
      </c>
      <c r="AS147" s="1">
        <v>1554.6</v>
      </c>
      <c r="AT147" s="1">
        <v>7498</v>
      </c>
      <c r="AU147" s="1">
        <v>630.85</v>
      </c>
      <c r="AV147" s="1">
        <v>1073.2</v>
      </c>
      <c r="AW147" s="1">
        <v>1270.3</v>
      </c>
      <c r="AX147" s="1">
        <v>4260.7</v>
      </c>
      <c r="AY147" s="1">
        <v>798.9</v>
      </c>
      <c r="BH147" s="2"/>
    </row>
    <row r="148" spans="1:60" ht="14.25" customHeight="1" x14ac:dyDescent="0.3">
      <c r="A148" s="2">
        <v>45870</v>
      </c>
      <c r="B148" s="1">
        <v>24565.35</v>
      </c>
      <c r="C148" s="1">
        <v>1393.7</v>
      </c>
      <c r="D148" s="1">
        <v>1006.1</v>
      </c>
      <c r="E148" s="1">
        <v>1884.4</v>
      </c>
      <c r="F148" s="1">
        <v>3003</v>
      </c>
      <c r="G148" s="1">
        <v>1471.6</v>
      </c>
      <c r="H148" s="1">
        <v>794</v>
      </c>
      <c r="I148" s="1">
        <v>1469.6</v>
      </c>
      <c r="J148" s="1">
        <v>2553.6999999999998</v>
      </c>
      <c r="K148" s="1">
        <v>875.6</v>
      </c>
      <c r="L148" s="1">
        <v>416.45</v>
      </c>
      <c r="M148" s="1">
        <v>3587.3</v>
      </c>
      <c r="N148" s="1">
        <v>12302</v>
      </c>
      <c r="O148" s="1">
        <v>3159.3</v>
      </c>
      <c r="P148" s="1">
        <v>1992.4</v>
      </c>
      <c r="Q148" s="1">
        <v>1452.1</v>
      </c>
      <c r="R148" s="1">
        <v>1629.7</v>
      </c>
      <c r="S148" s="1">
        <v>12113</v>
      </c>
      <c r="T148" s="1">
        <v>1062.4000000000001</v>
      </c>
      <c r="U148" s="1">
        <v>1916.3</v>
      </c>
      <c r="V148" s="1">
        <v>3316</v>
      </c>
      <c r="W148" s="1">
        <v>330.9</v>
      </c>
      <c r="X148" s="1">
        <v>304.75</v>
      </c>
      <c r="Y148" s="1">
        <v>1347.1</v>
      </c>
      <c r="Z148" s="1">
        <v>236.79</v>
      </c>
      <c r="AA148" s="1">
        <v>377.2</v>
      </c>
      <c r="AB148" s="1">
        <v>1027.8</v>
      </c>
      <c r="AC148" s="1">
        <v>242.75</v>
      </c>
      <c r="AD148" s="1">
        <v>291.25</v>
      </c>
      <c r="AE148" s="1">
        <v>648.85</v>
      </c>
      <c r="AF148" s="1">
        <v>8044.5</v>
      </c>
      <c r="AG148" s="1">
        <v>2431</v>
      </c>
      <c r="AH148" s="1">
        <v>372.5</v>
      </c>
      <c r="AI148" s="1">
        <v>1138.25</v>
      </c>
      <c r="AJ148" s="1">
        <v>153.01</v>
      </c>
      <c r="AK148" s="1">
        <v>329.5</v>
      </c>
      <c r="AL148" s="1">
        <v>2722.2</v>
      </c>
      <c r="AM148" s="1">
        <v>5528</v>
      </c>
      <c r="AN148" s="1">
        <v>5180</v>
      </c>
      <c r="AO148" s="1">
        <v>1796.2</v>
      </c>
      <c r="AP148" s="1">
        <v>741.7</v>
      </c>
      <c r="AQ148" s="1">
        <v>672.45</v>
      </c>
      <c r="AR148" s="1">
        <v>1438.8</v>
      </c>
      <c r="AS148" s="1">
        <v>1502.8</v>
      </c>
      <c r="AT148" s="1">
        <v>7351.5</v>
      </c>
      <c r="AU148" s="1">
        <v>614.20000000000005</v>
      </c>
      <c r="AV148" s="1">
        <v>1070.4000000000001</v>
      </c>
      <c r="AW148" s="1">
        <v>1220.5999999999999</v>
      </c>
      <c r="AX148" s="1">
        <v>4311.6000000000004</v>
      </c>
      <c r="AY148" s="1">
        <v>783.7</v>
      </c>
      <c r="BH148" s="2"/>
    </row>
    <row r="149" spans="1:60" ht="14.25" customHeight="1" x14ac:dyDescent="0.3">
      <c r="A149" s="2">
        <v>45873</v>
      </c>
      <c r="B149" s="1">
        <v>24722.75</v>
      </c>
      <c r="C149" s="1">
        <v>1411.5</v>
      </c>
      <c r="D149" s="1">
        <v>996</v>
      </c>
      <c r="E149" s="1">
        <v>1914.6</v>
      </c>
      <c r="F149" s="1">
        <v>3074.4</v>
      </c>
      <c r="G149" s="1">
        <v>1463.2</v>
      </c>
      <c r="H149" s="1">
        <v>795.7</v>
      </c>
      <c r="I149" s="1">
        <v>1480.5</v>
      </c>
      <c r="J149" s="1">
        <v>2543.6999999999998</v>
      </c>
      <c r="K149" s="1">
        <v>885.3</v>
      </c>
      <c r="L149" s="1">
        <v>416.85</v>
      </c>
      <c r="M149" s="1">
        <v>3631.1</v>
      </c>
      <c r="N149" s="1">
        <v>12365</v>
      </c>
      <c r="O149" s="1">
        <v>3200.2</v>
      </c>
      <c r="P149" s="1">
        <v>1997</v>
      </c>
      <c r="Q149" s="1">
        <v>1474.4</v>
      </c>
      <c r="R149" s="1">
        <v>1641.6</v>
      </c>
      <c r="S149" s="1">
        <v>12257</v>
      </c>
      <c r="T149" s="1">
        <v>1068.5999999999999</v>
      </c>
      <c r="U149" s="1">
        <v>1933.6</v>
      </c>
      <c r="V149" s="1">
        <v>3356.3</v>
      </c>
      <c r="W149" s="1">
        <v>332</v>
      </c>
      <c r="X149" s="1">
        <v>305.25</v>
      </c>
      <c r="Y149" s="1">
        <v>1388.9</v>
      </c>
      <c r="Z149" s="1">
        <v>234.83</v>
      </c>
      <c r="AA149" s="1">
        <v>389.55</v>
      </c>
      <c r="AB149" s="1">
        <v>1055.9000000000001</v>
      </c>
      <c r="AC149" s="1">
        <v>246.05</v>
      </c>
      <c r="AD149" s="1">
        <v>287.95</v>
      </c>
      <c r="AE149" s="1">
        <v>653.6</v>
      </c>
      <c r="AF149" s="1">
        <v>8187.5</v>
      </c>
      <c r="AG149" s="1">
        <v>2449.8000000000002</v>
      </c>
      <c r="AH149" s="1">
        <v>374.7</v>
      </c>
      <c r="AI149" s="1">
        <v>1138.7</v>
      </c>
      <c r="AJ149" s="1">
        <v>159.56</v>
      </c>
      <c r="AK149" s="1">
        <v>333.9</v>
      </c>
      <c r="AL149" s="1">
        <v>2787.8</v>
      </c>
      <c r="AM149" s="1">
        <v>5621</v>
      </c>
      <c r="AN149" s="1">
        <v>5249</v>
      </c>
      <c r="AO149" s="1">
        <v>1831.5</v>
      </c>
      <c r="AP149" s="1">
        <v>739.8</v>
      </c>
      <c r="AQ149" s="1">
        <v>687.7</v>
      </c>
      <c r="AR149" s="1">
        <v>1475</v>
      </c>
      <c r="AS149" s="1">
        <v>1515.1</v>
      </c>
      <c r="AT149" s="1">
        <v>7308</v>
      </c>
      <c r="AU149" s="1">
        <v>624.9</v>
      </c>
      <c r="AV149" s="1">
        <v>1072.5999999999999</v>
      </c>
      <c r="AW149" s="1">
        <v>1225</v>
      </c>
      <c r="AX149" s="1">
        <v>4535.8999999999996</v>
      </c>
      <c r="AY149" s="1">
        <v>804.05</v>
      </c>
      <c r="BH149" s="2"/>
    </row>
    <row r="150" spans="1:60" ht="14.25" customHeight="1" x14ac:dyDescent="0.3">
      <c r="A150" s="2">
        <v>45874</v>
      </c>
      <c r="B150" s="1">
        <v>24649.55</v>
      </c>
      <c r="C150" s="1">
        <v>1391.7</v>
      </c>
      <c r="D150" s="1">
        <v>988.8</v>
      </c>
      <c r="E150" s="1">
        <v>1931.8</v>
      </c>
      <c r="F150" s="1">
        <v>3063.9</v>
      </c>
      <c r="G150" s="1">
        <v>1444.4</v>
      </c>
      <c r="H150" s="1">
        <v>800.6</v>
      </c>
      <c r="I150" s="1">
        <v>1460.3</v>
      </c>
      <c r="J150" s="1">
        <v>2534.6999999999998</v>
      </c>
      <c r="K150" s="1">
        <v>891.9</v>
      </c>
      <c r="L150" s="1">
        <v>414.15</v>
      </c>
      <c r="M150" s="1">
        <v>3652.6</v>
      </c>
      <c r="N150" s="1">
        <v>12537</v>
      </c>
      <c r="O150" s="1">
        <v>3212.2</v>
      </c>
      <c r="P150" s="1">
        <v>2003</v>
      </c>
      <c r="Q150" s="1">
        <v>1482.7</v>
      </c>
      <c r="R150" s="1">
        <v>1632.1</v>
      </c>
      <c r="S150" s="1">
        <v>12298</v>
      </c>
      <c r="T150" s="1">
        <v>1070.8</v>
      </c>
      <c r="U150" s="1">
        <v>1939.4</v>
      </c>
      <c r="V150" s="1">
        <v>3418.2</v>
      </c>
      <c r="W150" s="1">
        <v>333.6</v>
      </c>
      <c r="X150" s="1">
        <v>302.14999999999998</v>
      </c>
      <c r="Y150" s="1">
        <v>1358.1</v>
      </c>
      <c r="Z150" s="1">
        <v>234.48</v>
      </c>
      <c r="AA150" s="1">
        <v>386.65</v>
      </c>
      <c r="AB150" s="1">
        <v>1053.4000000000001</v>
      </c>
      <c r="AC150" s="1">
        <v>245.91</v>
      </c>
      <c r="AD150" s="1">
        <v>286</v>
      </c>
      <c r="AE150" s="1">
        <v>654.6</v>
      </c>
      <c r="AF150" s="1">
        <v>8230.5</v>
      </c>
      <c r="AG150" s="1">
        <v>2436.8000000000002</v>
      </c>
      <c r="AH150" s="1">
        <v>379.5</v>
      </c>
      <c r="AI150" s="1">
        <v>1133.6500000000001</v>
      </c>
      <c r="AJ150" s="1">
        <v>159.62</v>
      </c>
      <c r="AK150" s="1">
        <v>332.85</v>
      </c>
      <c r="AL150" s="1">
        <v>2797.2</v>
      </c>
      <c r="AM150" s="1">
        <v>5681</v>
      </c>
      <c r="AN150" s="1">
        <v>5317.5</v>
      </c>
      <c r="AO150" s="1">
        <v>1857</v>
      </c>
      <c r="AP150" s="1">
        <v>738.5</v>
      </c>
      <c r="AQ150" s="1">
        <v>687.1</v>
      </c>
      <c r="AR150" s="1">
        <v>1485.4</v>
      </c>
      <c r="AS150" s="1">
        <v>1499.8</v>
      </c>
      <c r="AT150" s="1">
        <v>7274</v>
      </c>
      <c r="AU150" s="1">
        <v>630.1</v>
      </c>
      <c r="AV150" s="1">
        <v>1064.5999999999999</v>
      </c>
      <c r="AW150" s="1">
        <v>1214.8</v>
      </c>
      <c r="AX150" s="1">
        <v>4546.8</v>
      </c>
      <c r="AY150" s="1">
        <v>819.15</v>
      </c>
      <c r="BH150" s="2"/>
    </row>
    <row r="151" spans="1:60" ht="14.25" customHeight="1" x14ac:dyDescent="0.3">
      <c r="A151" s="2">
        <v>45875</v>
      </c>
      <c r="B151" s="1">
        <v>24574.2</v>
      </c>
      <c r="C151" s="1">
        <v>1392.8</v>
      </c>
      <c r="D151" s="1">
        <v>992.65</v>
      </c>
      <c r="E151" s="1">
        <v>1929.7</v>
      </c>
      <c r="F151" s="1">
        <v>3032.3</v>
      </c>
      <c r="G151" s="1">
        <v>1443.6</v>
      </c>
      <c r="H151" s="1">
        <v>805.15</v>
      </c>
      <c r="I151" s="1">
        <v>1436.7</v>
      </c>
      <c r="J151" s="1">
        <v>2535.6</v>
      </c>
      <c r="K151" s="1">
        <v>876.65</v>
      </c>
      <c r="L151" s="1">
        <v>412</v>
      </c>
      <c r="M151" s="1">
        <v>3628.4</v>
      </c>
      <c r="N151" s="1">
        <v>12524</v>
      </c>
      <c r="O151" s="1">
        <v>3227.5</v>
      </c>
      <c r="P151" s="1">
        <v>2002.4</v>
      </c>
      <c r="Q151" s="1">
        <v>1463.2</v>
      </c>
      <c r="R151" s="1">
        <v>1595.2</v>
      </c>
      <c r="S151" s="1">
        <v>12226</v>
      </c>
      <c r="T151" s="1">
        <v>1071</v>
      </c>
      <c r="U151" s="1">
        <v>1924</v>
      </c>
      <c r="V151" s="1">
        <v>3417.7</v>
      </c>
      <c r="W151" s="1">
        <v>332.1</v>
      </c>
      <c r="X151" s="1">
        <v>298.85000000000002</v>
      </c>
      <c r="Y151" s="1">
        <v>1367.1</v>
      </c>
      <c r="Z151" s="1">
        <v>233.77</v>
      </c>
      <c r="AA151" s="1">
        <v>389.7</v>
      </c>
      <c r="AB151" s="1">
        <v>1052.5999999999999</v>
      </c>
      <c r="AC151" s="1">
        <v>239.96</v>
      </c>
      <c r="AD151" s="1">
        <v>284.8</v>
      </c>
      <c r="AE151" s="1">
        <v>652.85</v>
      </c>
      <c r="AF151" s="1">
        <v>8178.5</v>
      </c>
      <c r="AG151" s="1">
        <v>2491.1999999999998</v>
      </c>
      <c r="AH151" s="1">
        <v>376.85</v>
      </c>
      <c r="AI151" s="1">
        <v>1116.6500000000001</v>
      </c>
      <c r="AJ151" s="1">
        <v>158.66</v>
      </c>
      <c r="AK151" s="1">
        <v>326.55</v>
      </c>
      <c r="AL151" s="1">
        <v>2765.8</v>
      </c>
      <c r="AM151" s="1">
        <v>5668</v>
      </c>
      <c r="AN151" s="1">
        <v>5356.5</v>
      </c>
      <c r="AO151" s="1">
        <v>1854.3</v>
      </c>
      <c r="AP151" s="1">
        <v>752.55</v>
      </c>
      <c r="AQ151" s="1">
        <v>684.85</v>
      </c>
      <c r="AR151" s="1">
        <v>1459</v>
      </c>
      <c r="AS151" s="1">
        <v>1486.7</v>
      </c>
      <c r="AT151" s="1">
        <v>7189.5</v>
      </c>
      <c r="AU151" s="1">
        <v>630.6</v>
      </c>
      <c r="AV151" s="1">
        <v>1052.8</v>
      </c>
      <c r="AW151" s="1">
        <v>1196.7</v>
      </c>
      <c r="AX151" s="1">
        <v>4474.8999999999996</v>
      </c>
      <c r="AY151" s="1">
        <v>803.35</v>
      </c>
      <c r="BH151" s="2"/>
    </row>
    <row r="152" spans="1:60" ht="14.25" customHeight="1" x14ac:dyDescent="0.3">
      <c r="A152" s="2">
        <v>45876</v>
      </c>
      <c r="B152" s="1">
        <v>24596.15</v>
      </c>
      <c r="C152" s="1">
        <v>1389.4</v>
      </c>
      <c r="D152" s="1">
        <v>997.7</v>
      </c>
      <c r="E152" s="1">
        <v>1922.6</v>
      </c>
      <c r="F152" s="1">
        <v>3047</v>
      </c>
      <c r="G152" s="1">
        <v>1440.3</v>
      </c>
      <c r="H152" s="1">
        <v>805.15</v>
      </c>
      <c r="I152" s="1">
        <v>1436.9</v>
      </c>
      <c r="J152" s="1">
        <v>2517.5</v>
      </c>
      <c r="K152" s="1">
        <v>879.1</v>
      </c>
      <c r="L152" s="1">
        <v>413.6</v>
      </c>
      <c r="M152" s="1">
        <v>3641.6</v>
      </c>
      <c r="N152" s="1">
        <v>12632</v>
      </c>
      <c r="O152" s="1">
        <v>3211.1</v>
      </c>
      <c r="P152" s="1">
        <v>1992.1</v>
      </c>
      <c r="Q152" s="1">
        <v>1475.5</v>
      </c>
      <c r="R152" s="1">
        <v>1598.4</v>
      </c>
      <c r="S152" s="1">
        <v>12273</v>
      </c>
      <c r="T152" s="1">
        <v>1076.2</v>
      </c>
      <c r="U152" s="1">
        <v>1914</v>
      </c>
      <c r="V152" s="1">
        <v>3415.7</v>
      </c>
      <c r="W152" s="1">
        <v>329.75</v>
      </c>
      <c r="X152" s="1">
        <v>301.75</v>
      </c>
      <c r="Y152" s="1">
        <v>1345.4</v>
      </c>
      <c r="Z152" s="1">
        <v>233.93</v>
      </c>
      <c r="AA152" s="1">
        <v>387.75</v>
      </c>
      <c r="AB152" s="1">
        <v>1064.8</v>
      </c>
      <c r="AC152" s="1">
        <v>242.32</v>
      </c>
      <c r="AD152" s="1">
        <v>285.55</v>
      </c>
      <c r="AE152" s="1">
        <v>646.5</v>
      </c>
      <c r="AF152" s="1">
        <v>8229</v>
      </c>
      <c r="AG152" s="1">
        <v>2506.5</v>
      </c>
      <c r="AH152" s="1">
        <v>379.55</v>
      </c>
      <c r="AI152" s="1">
        <v>1117.3</v>
      </c>
      <c r="AJ152" s="1">
        <v>159.66999999999999</v>
      </c>
      <c r="AK152" s="1">
        <v>325.5</v>
      </c>
      <c r="AL152" s="1">
        <v>2743.7</v>
      </c>
      <c r="AM152" s="1">
        <v>5681.5</v>
      </c>
      <c r="AN152" s="1">
        <v>5303.5</v>
      </c>
      <c r="AO152" s="1">
        <v>1861.1</v>
      </c>
      <c r="AP152" s="1">
        <v>755.7</v>
      </c>
      <c r="AQ152" s="1">
        <v>686.8</v>
      </c>
      <c r="AR152" s="1">
        <v>1482</v>
      </c>
      <c r="AS152" s="1">
        <v>1491</v>
      </c>
      <c r="AT152" s="1">
        <v>7170</v>
      </c>
      <c r="AU152" s="1">
        <v>627.35</v>
      </c>
      <c r="AV152" s="1">
        <v>1052.8</v>
      </c>
      <c r="AW152" s="1">
        <v>1200.8</v>
      </c>
      <c r="AX152" s="1">
        <v>4660.7</v>
      </c>
      <c r="AY152" s="1">
        <v>807.35</v>
      </c>
      <c r="BH152" s="2"/>
    </row>
    <row r="153" spans="1:60" ht="14.25" customHeight="1" x14ac:dyDescent="0.3">
      <c r="A153" s="2">
        <v>45877</v>
      </c>
      <c r="B153" s="1">
        <v>24363.3</v>
      </c>
      <c r="C153" s="1">
        <v>1367.8</v>
      </c>
      <c r="D153" s="1">
        <v>986.95</v>
      </c>
      <c r="E153" s="1">
        <v>1858.6</v>
      </c>
      <c r="F153" s="1">
        <v>3036.4</v>
      </c>
      <c r="G153" s="1">
        <v>1435.9</v>
      </c>
      <c r="H153" s="1">
        <v>804.3</v>
      </c>
      <c r="I153" s="1">
        <v>1423.1</v>
      </c>
      <c r="J153" s="1">
        <v>2498.6</v>
      </c>
      <c r="K153" s="1">
        <v>877.15</v>
      </c>
      <c r="L153" s="1">
        <v>414.5</v>
      </c>
      <c r="M153" s="1">
        <v>3607.6</v>
      </c>
      <c r="N153" s="1">
        <v>12590</v>
      </c>
      <c r="O153" s="1">
        <v>3144.2</v>
      </c>
      <c r="P153" s="1">
        <v>1952.7</v>
      </c>
      <c r="Q153" s="1">
        <v>1475.7</v>
      </c>
      <c r="R153" s="1">
        <v>1586.9</v>
      </c>
      <c r="S153" s="1">
        <v>12157</v>
      </c>
      <c r="T153" s="1">
        <v>1058.0999999999999</v>
      </c>
      <c r="U153" s="1">
        <v>1919.2</v>
      </c>
      <c r="V153" s="1">
        <v>3460.2</v>
      </c>
      <c r="W153" s="1">
        <v>334.75</v>
      </c>
      <c r="X153" s="1">
        <v>300.89999999999998</v>
      </c>
      <c r="Y153" s="1">
        <v>1325</v>
      </c>
      <c r="Z153" s="1">
        <v>233.44</v>
      </c>
      <c r="AA153" s="1">
        <v>384.6</v>
      </c>
      <c r="AB153" s="1">
        <v>1049.2</v>
      </c>
      <c r="AC153" s="1">
        <v>239.05</v>
      </c>
      <c r="AD153" s="1">
        <v>284.85000000000002</v>
      </c>
      <c r="AE153" s="1">
        <v>633.70000000000005</v>
      </c>
      <c r="AF153" s="1">
        <v>8224</v>
      </c>
      <c r="AG153" s="1">
        <v>2475.6</v>
      </c>
      <c r="AH153" s="1">
        <v>379.7</v>
      </c>
      <c r="AI153" s="1">
        <v>1096.5</v>
      </c>
      <c r="AJ153" s="1">
        <v>157.94999999999999</v>
      </c>
      <c r="AK153" s="1">
        <v>321.14999999999998</v>
      </c>
      <c r="AL153" s="1">
        <v>2691.6</v>
      </c>
      <c r="AM153" s="1">
        <v>5663</v>
      </c>
      <c r="AN153" s="1">
        <v>5317</v>
      </c>
      <c r="AO153" s="1">
        <v>1833.6</v>
      </c>
      <c r="AP153" s="1">
        <v>761.55</v>
      </c>
      <c r="AQ153" s="1">
        <v>672.75</v>
      </c>
      <c r="AR153" s="1">
        <v>1480.4</v>
      </c>
      <c r="AS153" s="1">
        <v>1485.8</v>
      </c>
      <c r="AT153" s="1">
        <v>7084.5</v>
      </c>
      <c r="AU153" s="1">
        <v>609.65</v>
      </c>
      <c r="AV153" s="1">
        <v>1051</v>
      </c>
      <c r="AW153" s="1">
        <v>1211.4000000000001</v>
      </c>
      <c r="AX153" s="1">
        <v>4599.8</v>
      </c>
      <c r="AY153" s="1">
        <v>782.45</v>
      </c>
      <c r="BH153" s="2"/>
    </row>
    <row r="154" spans="1:60" ht="14.25" customHeight="1" x14ac:dyDescent="0.3">
      <c r="A154" s="2">
        <v>45880</v>
      </c>
      <c r="B154" s="1">
        <v>24585.05</v>
      </c>
      <c r="C154" s="1">
        <v>1386.2</v>
      </c>
      <c r="D154" s="1">
        <v>997.8</v>
      </c>
      <c r="E154" s="1">
        <v>1857.4</v>
      </c>
      <c r="F154" s="1">
        <v>3040.8</v>
      </c>
      <c r="G154" s="1">
        <v>1436.6</v>
      </c>
      <c r="H154" s="1">
        <v>823.45</v>
      </c>
      <c r="I154" s="1">
        <v>1428.2</v>
      </c>
      <c r="J154" s="1">
        <v>2518.4</v>
      </c>
      <c r="K154" s="1">
        <v>877.8</v>
      </c>
      <c r="L154" s="1">
        <v>416.85</v>
      </c>
      <c r="M154" s="1">
        <v>3668.4</v>
      </c>
      <c r="N154" s="1">
        <v>12597</v>
      </c>
      <c r="O154" s="1">
        <v>3186.2</v>
      </c>
      <c r="P154" s="1">
        <v>1975.9</v>
      </c>
      <c r="Q154" s="1">
        <v>1488</v>
      </c>
      <c r="R154" s="1">
        <v>1608.4</v>
      </c>
      <c r="S154" s="1">
        <v>12405</v>
      </c>
      <c r="T154" s="1">
        <v>1073.3</v>
      </c>
      <c r="U154" s="1">
        <v>1922.8</v>
      </c>
      <c r="V154" s="1">
        <v>3467.9</v>
      </c>
      <c r="W154" s="1">
        <v>336.15</v>
      </c>
      <c r="X154" s="1">
        <v>309.39999999999998</v>
      </c>
      <c r="Y154" s="1">
        <v>1339.4</v>
      </c>
      <c r="Z154" s="1">
        <v>233.79</v>
      </c>
      <c r="AA154" s="1">
        <v>383.9</v>
      </c>
      <c r="AB154" s="1">
        <v>1052.7</v>
      </c>
      <c r="AC154" s="1">
        <v>241.62</v>
      </c>
      <c r="AD154" s="1">
        <v>284.85000000000002</v>
      </c>
      <c r="AE154" s="1">
        <v>653.75</v>
      </c>
      <c r="AF154" s="1">
        <v>8275</v>
      </c>
      <c r="AG154" s="1">
        <v>2489.1</v>
      </c>
      <c r="AH154" s="1">
        <v>382.5</v>
      </c>
      <c r="AI154" s="1">
        <v>1105</v>
      </c>
      <c r="AJ154" s="1">
        <v>158.52000000000001</v>
      </c>
      <c r="AK154" s="1">
        <v>327.75</v>
      </c>
      <c r="AL154" s="1">
        <v>2758.9</v>
      </c>
      <c r="AM154" s="1">
        <v>5671.5</v>
      </c>
      <c r="AN154" s="1">
        <v>5443.5</v>
      </c>
      <c r="AO154" s="1">
        <v>1851</v>
      </c>
      <c r="AP154" s="1">
        <v>764.75</v>
      </c>
      <c r="AQ154" s="1">
        <v>672.85</v>
      </c>
      <c r="AR154" s="1">
        <v>1481.1</v>
      </c>
      <c r="AS154" s="1">
        <v>1504.8</v>
      </c>
      <c r="AT154" s="1">
        <v>7259</v>
      </c>
      <c r="AU154" s="1">
        <v>617.6</v>
      </c>
      <c r="AV154" s="1">
        <v>1059.0999999999999</v>
      </c>
      <c r="AW154" s="1">
        <v>1219.5</v>
      </c>
      <c r="AX154" s="1">
        <v>4562.2</v>
      </c>
      <c r="AY154" s="1">
        <v>783.25</v>
      </c>
      <c r="BH154" s="2"/>
    </row>
    <row r="155" spans="1:60" ht="14.25" customHeight="1" x14ac:dyDescent="0.3">
      <c r="A155" s="2">
        <v>45881</v>
      </c>
      <c r="B155" s="1">
        <v>24487.4</v>
      </c>
      <c r="C155" s="1">
        <v>1380.4</v>
      </c>
      <c r="D155" s="1">
        <v>984.95</v>
      </c>
      <c r="E155" s="1">
        <v>1850.3</v>
      </c>
      <c r="F155" s="1">
        <v>3035.4</v>
      </c>
      <c r="G155" s="1">
        <v>1422</v>
      </c>
      <c r="H155" s="1">
        <v>820.6</v>
      </c>
      <c r="I155" s="1">
        <v>1424.1</v>
      </c>
      <c r="J155" s="1">
        <v>2483.8000000000002</v>
      </c>
      <c r="K155" s="1">
        <v>853</v>
      </c>
      <c r="L155" s="1">
        <v>416.35</v>
      </c>
      <c r="M155" s="1">
        <v>3686.1</v>
      </c>
      <c r="N155" s="1">
        <v>12840</v>
      </c>
      <c r="O155" s="1">
        <v>3236.5</v>
      </c>
      <c r="P155" s="1">
        <v>1959</v>
      </c>
      <c r="Q155" s="1">
        <v>1499.1</v>
      </c>
      <c r="R155" s="1">
        <v>1622.2</v>
      </c>
      <c r="S155" s="1">
        <v>12449</v>
      </c>
      <c r="T155" s="1">
        <v>1070</v>
      </c>
      <c r="U155" s="1">
        <v>1908</v>
      </c>
      <c r="V155" s="1">
        <v>3486.8</v>
      </c>
      <c r="W155" s="1">
        <v>340.1</v>
      </c>
      <c r="X155" s="1">
        <v>305.89999999999998</v>
      </c>
      <c r="Y155" s="1">
        <v>1330.5</v>
      </c>
      <c r="Z155" s="1">
        <v>235.52</v>
      </c>
      <c r="AA155" s="1">
        <v>380.35</v>
      </c>
      <c r="AB155" s="1">
        <v>1048.2</v>
      </c>
      <c r="AC155" s="1">
        <v>241.72</v>
      </c>
      <c r="AD155" s="1">
        <v>284.64999999999998</v>
      </c>
      <c r="AE155" s="1">
        <v>654.1</v>
      </c>
      <c r="AF155" s="1">
        <v>8196.5</v>
      </c>
      <c r="AG155" s="1">
        <v>2478.3000000000002</v>
      </c>
      <c r="AH155" s="1">
        <v>385.35</v>
      </c>
      <c r="AI155" s="1">
        <v>1091.0999999999999</v>
      </c>
      <c r="AJ155" s="1">
        <v>160.16</v>
      </c>
      <c r="AK155" s="1">
        <v>327</v>
      </c>
      <c r="AL155" s="1">
        <v>2740.4</v>
      </c>
      <c r="AM155" s="1">
        <v>5658</v>
      </c>
      <c r="AN155" s="1">
        <v>5365.5</v>
      </c>
      <c r="AO155" s="1">
        <v>1838</v>
      </c>
      <c r="AP155" s="1">
        <v>766.2</v>
      </c>
      <c r="AQ155" s="1">
        <v>667.05</v>
      </c>
      <c r="AR155" s="1">
        <v>1509.3</v>
      </c>
      <c r="AS155" s="1">
        <v>1521.6</v>
      </c>
      <c r="AT155" s="1">
        <v>7236.5</v>
      </c>
      <c r="AU155" s="1">
        <v>611.9</v>
      </c>
      <c r="AV155" s="1">
        <v>1046.8</v>
      </c>
      <c r="AW155" s="1">
        <v>1220.3</v>
      </c>
      <c r="AX155" s="1">
        <v>4645.2</v>
      </c>
      <c r="AY155" s="1">
        <v>783.05</v>
      </c>
      <c r="BH155" s="2"/>
    </row>
    <row r="156" spans="1:60" ht="14.25" customHeight="1" x14ac:dyDescent="0.3">
      <c r="A156" s="2">
        <v>45882</v>
      </c>
      <c r="B156" s="1">
        <v>24619.35</v>
      </c>
      <c r="C156" s="1">
        <v>1382.6</v>
      </c>
      <c r="D156" s="1">
        <v>990.15</v>
      </c>
      <c r="E156" s="1">
        <v>1867.4</v>
      </c>
      <c r="F156" s="1">
        <v>3036.2</v>
      </c>
      <c r="G156" s="1">
        <v>1420.8</v>
      </c>
      <c r="H156" s="1">
        <v>821.85</v>
      </c>
      <c r="I156" s="1">
        <v>1426.6</v>
      </c>
      <c r="J156" s="1">
        <v>2495.1</v>
      </c>
      <c r="K156" s="1">
        <v>860</v>
      </c>
      <c r="L156" s="1">
        <v>414.1</v>
      </c>
      <c r="M156" s="1">
        <v>3693.7</v>
      </c>
      <c r="N156" s="1">
        <v>12834</v>
      </c>
      <c r="O156" s="1">
        <v>3282.2</v>
      </c>
      <c r="P156" s="1">
        <v>1987.7</v>
      </c>
      <c r="Q156" s="1">
        <v>1501.1</v>
      </c>
      <c r="R156" s="1">
        <v>1639.8</v>
      </c>
      <c r="S156" s="1">
        <v>12401</v>
      </c>
      <c r="T156" s="1">
        <v>1066</v>
      </c>
      <c r="U156" s="1">
        <v>1914.4</v>
      </c>
      <c r="V156" s="1">
        <v>3466.8</v>
      </c>
      <c r="W156" s="1">
        <v>339.95</v>
      </c>
      <c r="X156" s="1">
        <v>312.35000000000002</v>
      </c>
      <c r="Y156" s="1">
        <v>1319.6</v>
      </c>
      <c r="Z156" s="1">
        <v>238.67</v>
      </c>
      <c r="AA156" s="1">
        <v>388.85</v>
      </c>
      <c r="AB156" s="1">
        <v>1053.7</v>
      </c>
      <c r="AC156" s="1">
        <v>241.65</v>
      </c>
      <c r="AD156" s="1">
        <v>288.2</v>
      </c>
      <c r="AE156" s="1">
        <v>663.75</v>
      </c>
      <c r="AF156" s="1">
        <v>8248.5</v>
      </c>
      <c r="AG156" s="1">
        <v>2500.1999999999998</v>
      </c>
      <c r="AH156" s="1">
        <v>386.1</v>
      </c>
      <c r="AI156" s="1">
        <v>1096.9000000000001</v>
      </c>
      <c r="AJ156" s="1">
        <v>160.18</v>
      </c>
      <c r="AK156" s="1">
        <v>330.6</v>
      </c>
      <c r="AL156" s="1">
        <v>2745.9</v>
      </c>
      <c r="AM156" s="1">
        <v>5714.5</v>
      </c>
      <c r="AN156" s="1">
        <v>5398.5</v>
      </c>
      <c r="AO156" s="1">
        <v>1840.3</v>
      </c>
      <c r="AP156" s="1">
        <v>776.6</v>
      </c>
      <c r="AQ156" s="1">
        <v>700.5</v>
      </c>
      <c r="AR156" s="1">
        <v>1506.3</v>
      </c>
      <c r="AS156" s="1">
        <v>1561</v>
      </c>
      <c r="AT156" s="1">
        <v>7808.5</v>
      </c>
      <c r="AU156" s="1">
        <v>619.25</v>
      </c>
      <c r="AV156" s="1">
        <v>1056.0999999999999</v>
      </c>
      <c r="AW156" s="1">
        <v>1253.4000000000001</v>
      </c>
      <c r="AX156" s="1">
        <v>4768.7</v>
      </c>
      <c r="AY156" s="1">
        <v>773.45</v>
      </c>
      <c r="BH156" s="2"/>
    </row>
    <row r="157" spans="1:60" ht="14.25" customHeight="1" x14ac:dyDescent="0.3">
      <c r="A157" s="2">
        <v>45883</v>
      </c>
      <c r="B157" s="1">
        <v>24631.3</v>
      </c>
      <c r="C157" s="1">
        <v>1373.8</v>
      </c>
      <c r="D157" s="1">
        <v>995.55</v>
      </c>
      <c r="E157" s="1">
        <v>1873.8</v>
      </c>
      <c r="F157" s="1">
        <v>3022.3</v>
      </c>
      <c r="G157" s="1">
        <v>1427.3</v>
      </c>
      <c r="H157" s="1">
        <v>826.55</v>
      </c>
      <c r="I157" s="1">
        <v>1447.7</v>
      </c>
      <c r="J157" s="1">
        <v>2480.6</v>
      </c>
      <c r="K157" s="1">
        <v>861.45</v>
      </c>
      <c r="L157" s="1">
        <v>411.45</v>
      </c>
      <c r="M157" s="1">
        <v>3677</v>
      </c>
      <c r="N157" s="1">
        <v>12936</v>
      </c>
      <c r="O157" s="1">
        <v>3265.4</v>
      </c>
      <c r="P157" s="1">
        <v>1978.2</v>
      </c>
      <c r="Q157" s="1">
        <v>1489.8</v>
      </c>
      <c r="R157" s="1">
        <v>1641.4</v>
      </c>
      <c r="S157" s="1">
        <v>12317</v>
      </c>
      <c r="T157" s="1">
        <v>1068.2</v>
      </c>
      <c r="U157" s="1">
        <v>1925.1</v>
      </c>
      <c r="V157" s="1">
        <v>3489.4</v>
      </c>
      <c r="W157" s="1">
        <v>339.35</v>
      </c>
      <c r="X157" s="1">
        <v>318.39999999999998</v>
      </c>
      <c r="Y157" s="1">
        <v>1300.3</v>
      </c>
      <c r="Z157" s="1">
        <v>236.94</v>
      </c>
      <c r="AA157" s="1">
        <v>384.9</v>
      </c>
      <c r="AB157" s="1">
        <v>1045.5</v>
      </c>
      <c r="AC157" s="1">
        <v>246.81</v>
      </c>
      <c r="AD157" s="1">
        <v>288.7</v>
      </c>
      <c r="AE157" s="1">
        <v>664.6</v>
      </c>
      <c r="AF157" s="1">
        <v>8213.5</v>
      </c>
      <c r="AG157" s="1">
        <v>2528.6999999999998</v>
      </c>
      <c r="AH157" s="1">
        <v>384.45</v>
      </c>
      <c r="AI157" s="1">
        <v>1089.4000000000001</v>
      </c>
      <c r="AJ157" s="1">
        <v>155.30000000000001</v>
      </c>
      <c r="AK157" s="1">
        <v>327.39999999999998</v>
      </c>
      <c r="AL157" s="1">
        <v>2764.9</v>
      </c>
      <c r="AM157" s="1">
        <v>5764</v>
      </c>
      <c r="AN157" s="1">
        <v>5370.5</v>
      </c>
      <c r="AO157" s="1">
        <v>1840.6</v>
      </c>
      <c r="AP157" s="1">
        <v>788.75</v>
      </c>
      <c r="AQ157" s="1">
        <v>695.25</v>
      </c>
      <c r="AR157" s="1">
        <v>1486.7</v>
      </c>
      <c r="AS157" s="1">
        <v>1564</v>
      </c>
      <c r="AT157" s="1">
        <v>7821.5</v>
      </c>
      <c r="AU157" s="1">
        <v>616.45000000000005</v>
      </c>
      <c r="AV157" s="1">
        <v>1051.2</v>
      </c>
      <c r="AW157" s="1">
        <v>1260.4000000000001</v>
      </c>
      <c r="AX157" s="1">
        <v>4708.1000000000004</v>
      </c>
      <c r="AY157" s="1">
        <v>769.75</v>
      </c>
      <c r="BH157" s="2"/>
    </row>
    <row r="158" spans="1:60" ht="14.25" customHeight="1" x14ac:dyDescent="0.3">
      <c r="A158" s="2">
        <v>45887</v>
      </c>
      <c r="B158" s="1">
        <v>24876.95</v>
      </c>
      <c r="C158" s="1">
        <v>1381.7</v>
      </c>
      <c r="D158" s="1">
        <v>1001.8</v>
      </c>
      <c r="E158" s="1">
        <v>1892.3</v>
      </c>
      <c r="F158" s="1">
        <v>3011.2</v>
      </c>
      <c r="G158" s="1">
        <v>1434.6</v>
      </c>
      <c r="H158" s="1">
        <v>827.65</v>
      </c>
      <c r="I158" s="1">
        <v>1435.8</v>
      </c>
      <c r="J158" s="1">
        <v>2568.1</v>
      </c>
      <c r="K158" s="1">
        <v>905.2</v>
      </c>
      <c r="L158" s="1">
        <v>406.3</v>
      </c>
      <c r="M158" s="1">
        <v>3635.1</v>
      </c>
      <c r="N158" s="1">
        <v>14068</v>
      </c>
      <c r="O158" s="1">
        <v>3383.1</v>
      </c>
      <c r="P158" s="1">
        <v>2001.4</v>
      </c>
      <c r="Q158" s="1">
        <v>1485</v>
      </c>
      <c r="R158" s="1">
        <v>1632.7</v>
      </c>
      <c r="S158" s="1">
        <v>12765</v>
      </c>
      <c r="T158" s="1">
        <v>1082.5999999999999</v>
      </c>
      <c r="U158" s="1">
        <v>1993.5</v>
      </c>
      <c r="V158" s="1">
        <v>3554.8</v>
      </c>
      <c r="W158" s="1">
        <v>336.05</v>
      </c>
      <c r="X158" s="1">
        <v>314.89999999999998</v>
      </c>
      <c r="Y158" s="1">
        <v>1327.2</v>
      </c>
      <c r="Z158" s="1">
        <v>238.16</v>
      </c>
      <c r="AA158" s="1">
        <v>382.5</v>
      </c>
      <c r="AB158" s="1">
        <v>1079.8</v>
      </c>
      <c r="AC158" s="1">
        <v>245.21</v>
      </c>
      <c r="AD158" s="1">
        <v>290.35000000000002</v>
      </c>
      <c r="AE158" s="1">
        <v>676</v>
      </c>
      <c r="AF158" s="1">
        <v>8588.5</v>
      </c>
      <c r="AG158" s="1">
        <v>2587.4</v>
      </c>
      <c r="AH158" s="1">
        <v>387.8</v>
      </c>
      <c r="AI158" s="1">
        <v>1144.0999999999999</v>
      </c>
      <c r="AJ158" s="1">
        <v>157.96</v>
      </c>
      <c r="AK158" s="1">
        <v>329.35</v>
      </c>
      <c r="AL158" s="1">
        <v>2845.9</v>
      </c>
      <c r="AM158" s="1">
        <v>5912</v>
      </c>
      <c r="AN158" s="1">
        <v>5519</v>
      </c>
      <c r="AO158" s="1">
        <v>1863</v>
      </c>
      <c r="AP158" s="1">
        <v>791</v>
      </c>
      <c r="AQ158" s="1">
        <v>714.15</v>
      </c>
      <c r="AR158" s="1">
        <v>1471.2</v>
      </c>
      <c r="AS158" s="1">
        <v>1565.2</v>
      </c>
      <c r="AT158" s="1">
        <v>7822.5</v>
      </c>
      <c r="AU158" s="1">
        <v>626.79999999999995</v>
      </c>
      <c r="AV158" s="1">
        <v>1071.3</v>
      </c>
      <c r="AW158" s="1">
        <v>1262.7</v>
      </c>
      <c r="AX158" s="1">
        <v>4984</v>
      </c>
      <c r="AY158" s="1">
        <v>788.65</v>
      </c>
      <c r="BH158" s="2"/>
    </row>
    <row r="159" spans="1:60" ht="14.25" customHeight="1" x14ac:dyDescent="0.3">
      <c r="A159" s="2">
        <v>45888</v>
      </c>
      <c r="B159" s="1">
        <v>24980.65</v>
      </c>
      <c r="C159" s="1">
        <v>1420.1</v>
      </c>
      <c r="D159" s="1">
        <v>995.55</v>
      </c>
      <c r="E159" s="1">
        <v>1909.7</v>
      </c>
      <c r="F159" s="1">
        <v>3016.2</v>
      </c>
      <c r="G159" s="1">
        <v>1436.3</v>
      </c>
      <c r="H159" s="1">
        <v>830.4</v>
      </c>
      <c r="I159" s="1">
        <v>1440</v>
      </c>
      <c r="J159" s="1">
        <v>2604.8000000000002</v>
      </c>
      <c r="K159" s="1">
        <v>902.3</v>
      </c>
      <c r="L159" s="1">
        <v>409.1</v>
      </c>
      <c r="M159" s="1">
        <v>3613</v>
      </c>
      <c r="N159" s="1">
        <v>14250</v>
      </c>
      <c r="O159" s="1">
        <v>3354</v>
      </c>
      <c r="P159" s="1">
        <v>2029.9</v>
      </c>
      <c r="Q159" s="1">
        <v>1476.1</v>
      </c>
      <c r="R159" s="1">
        <v>1626.6</v>
      </c>
      <c r="S159" s="1">
        <v>12863</v>
      </c>
      <c r="T159" s="1">
        <v>1083.2</v>
      </c>
      <c r="U159" s="1">
        <v>1972.2</v>
      </c>
      <c r="V159" s="1">
        <v>3568.1</v>
      </c>
      <c r="W159" s="1">
        <v>335.05</v>
      </c>
      <c r="X159" s="1">
        <v>321.45</v>
      </c>
      <c r="Y159" s="1">
        <v>1369.4</v>
      </c>
      <c r="Z159" s="1">
        <v>237.94</v>
      </c>
      <c r="AA159" s="1">
        <v>380.05</v>
      </c>
      <c r="AB159" s="1">
        <v>1073.4000000000001</v>
      </c>
      <c r="AC159" s="1">
        <v>246.96</v>
      </c>
      <c r="AD159" s="1">
        <v>288</v>
      </c>
      <c r="AE159" s="1">
        <v>700.25</v>
      </c>
      <c r="AF159" s="1">
        <v>8795.5</v>
      </c>
      <c r="AG159" s="1">
        <v>2579.4</v>
      </c>
      <c r="AH159" s="1">
        <v>385.35</v>
      </c>
      <c r="AI159" s="1">
        <v>1161.4000000000001</v>
      </c>
      <c r="AJ159" s="1">
        <v>159.22999999999999</v>
      </c>
      <c r="AK159" s="1">
        <v>331.3</v>
      </c>
      <c r="AL159" s="1">
        <v>2828.3</v>
      </c>
      <c r="AM159" s="1">
        <v>5938.5</v>
      </c>
      <c r="AN159" s="1">
        <v>5496</v>
      </c>
      <c r="AO159" s="1">
        <v>1854.1</v>
      </c>
      <c r="AP159" s="1">
        <v>793.75</v>
      </c>
      <c r="AQ159" s="1">
        <v>706.7</v>
      </c>
      <c r="AR159" s="1">
        <v>1496.7</v>
      </c>
      <c r="AS159" s="1">
        <v>1548.9</v>
      </c>
      <c r="AT159" s="1">
        <v>7823.5</v>
      </c>
      <c r="AU159" s="1">
        <v>626.35</v>
      </c>
      <c r="AV159" s="1">
        <v>1085.8</v>
      </c>
      <c r="AW159" s="1">
        <v>1244.2</v>
      </c>
      <c r="AX159" s="1">
        <v>5118.2</v>
      </c>
      <c r="AY159" s="1">
        <v>785.5</v>
      </c>
      <c r="BH159" s="2"/>
    </row>
    <row r="160" spans="1:60" ht="14.25" customHeight="1" x14ac:dyDescent="0.3">
      <c r="A160" s="2">
        <v>45889</v>
      </c>
      <c r="B160" s="1">
        <v>25050.55</v>
      </c>
      <c r="C160" s="1">
        <v>1413</v>
      </c>
      <c r="D160" s="1">
        <v>994.1</v>
      </c>
      <c r="E160" s="1">
        <v>1928.4</v>
      </c>
      <c r="F160" s="1">
        <v>3098.6</v>
      </c>
      <c r="G160" s="1">
        <v>1430.6</v>
      </c>
      <c r="H160" s="1">
        <v>828.95</v>
      </c>
      <c r="I160" s="1">
        <v>1496.2</v>
      </c>
      <c r="J160" s="1">
        <v>2669.8</v>
      </c>
      <c r="K160" s="1">
        <v>887.8</v>
      </c>
      <c r="L160" s="1">
        <v>406.05</v>
      </c>
      <c r="M160" s="1">
        <v>3592.3</v>
      </c>
      <c r="N160" s="1">
        <v>14221</v>
      </c>
      <c r="O160" s="1">
        <v>3395.6</v>
      </c>
      <c r="P160" s="1">
        <v>2017.5</v>
      </c>
      <c r="Q160" s="1">
        <v>1496</v>
      </c>
      <c r="R160" s="1">
        <v>1633.1</v>
      </c>
      <c r="S160" s="1">
        <v>12874</v>
      </c>
      <c r="T160" s="1">
        <v>1080.2</v>
      </c>
      <c r="U160" s="1">
        <v>1958.5</v>
      </c>
      <c r="V160" s="1">
        <v>3595</v>
      </c>
      <c r="W160" s="1">
        <v>342</v>
      </c>
      <c r="X160" s="1">
        <v>326.55</v>
      </c>
      <c r="Y160" s="1">
        <v>1370.6</v>
      </c>
      <c r="Z160" s="1">
        <v>237.93</v>
      </c>
      <c r="AA160" s="1">
        <v>371.85</v>
      </c>
      <c r="AB160" s="1">
        <v>1082.5999999999999</v>
      </c>
      <c r="AC160" s="1">
        <v>250.84</v>
      </c>
      <c r="AD160" s="1">
        <v>288.39999999999998</v>
      </c>
      <c r="AE160" s="1">
        <v>689.6</v>
      </c>
      <c r="AF160" s="1">
        <v>8827.5</v>
      </c>
      <c r="AG160" s="1">
        <v>2570.1</v>
      </c>
      <c r="AH160" s="1">
        <v>384.7</v>
      </c>
      <c r="AI160" s="1">
        <v>1190.3</v>
      </c>
      <c r="AJ160" s="1">
        <v>161.91999999999999</v>
      </c>
      <c r="AK160" s="1">
        <v>328.45</v>
      </c>
      <c r="AL160" s="1">
        <v>2864.9</v>
      </c>
      <c r="AM160" s="1">
        <v>5937.5</v>
      </c>
      <c r="AN160" s="1">
        <v>5453</v>
      </c>
      <c r="AO160" s="1">
        <v>1858.5</v>
      </c>
      <c r="AP160" s="1">
        <v>796.55</v>
      </c>
      <c r="AQ160" s="1">
        <v>700.85</v>
      </c>
      <c r="AR160" s="1">
        <v>1524.1</v>
      </c>
      <c r="AS160" s="1">
        <v>1546.1</v>
      </c>
      <c r="AT160" s="1">
        <v>7883</v>
      </c>
      <c r="AU160" s="1">
        <v>616.29999999999995</v>
      </c>
      <c r="AV160" s="1">
        <v>1105.3</v>
      </c>
      <c r="AW160" s="1">
        <v>1245.4000000000001</v>
      </c>
      <c r="AX160" s="1">
        <v>5136</v>
      </c>
      <c r="AY160" s="1">
        <v>778.2</v>
      </c>
      <c r="BH160" s="2"/>
    </row>
    <row r="161" spans="1:60" ht="14.25" customHeight="1" x14ac:dyDescent="0.3">
      <c r="A161" s="2">
        <v>45890</v>
      </c>
      <c r="B161" s="1">
        <v>25083.75</v>
      </c>
      <c r="C161" s="1">
        <v>1424.8</v>
      </c>
      <c r="D161" s="1">
        <v>995.6</v>
      </c>
      <c r="E161" s="1">
        <v>1929.9</v>
      </c>
      <c r="F161" s="1">
        <v>3102.6</v>
      </c>
      <c r="G161" s="1">
        <v>1446</v>
      </c>
      <c r="H161" s="1">
        <v>825.7</v>
      </c>
      <c r="I161" s="1">
        <v>1496.4</v>
      </c>
      <c r="J161" s="1">
        <v>2648</v>
      </c>
      <c r="K161" s="1">
        <v>895.6</v>
      </c>
      <c r="L161" s="1">
        <v>405.55</v>
      </c>
      <c r="M161" s="1">
        <v>3612.6</v>
      </c>
      <c r="N161" s="1">
        <v>14280</v>
      </c>
      <c r="O161" s="1">
        <v>3375.1</v>
      </c>
      <c r="P161" s="1">
        <v>2017.8</v>
      </c>
      <c r="Q161" s="1">
        <v>1493.5</v>
      </c>
      <c r="R161" s="1">
        <v>101</v>
      </c>
      <c r="S161" s="1">
        <v>12870</v>
      </c>
      <c r="T161" s="1">
        <v>1078.9000000000001</v>
      </c>
      <c r="U161" s="1">
        <v>1980</v>
      </c>
      <c r="V161" s="1">
        <v>3616.3</v>
      </c>
      <c r="W161" s="1">
        <v>338.8</v>
      </c>
      <c r="X161" s="1">
        <v>321.8</v>
      </c>
      <c r="Y161" s="1">
        <v>1361.8</v>
      </c>
      <c r="Z161" s="1">
        <v>238.29</v>
      </c>
      <c r="AA161" s="1">
        <v>374.2</v>
      </c>
      <c r="AB161" s="1">
        <v>1071.8</v>
      </c>
      <c r="AC161" s="1">
        <v>249.91</v>
      </c>
      <c r="AD161" s="1">
        <v>284</v>
      </c>
      <c r="AE161" s="1">
        <v>685.4</v>
      </c>
      <c r="AF161" s="1">
        <v>8684.5</v>
      </c>
      <c r="AG161" s="1">
        <v>2566.6</v>
      </c>
      <c r="AH161" s="1">
        <v>378.15</v>
      </c>
      <c r="AI161" s="1">
        <v>1179.4000000000001</v>
      </c>
      <c r="AJ161" s="1">
        <v>161.51</v>
      </c>
      <c r="AK161" s="1">
        <v>323.85000000000002</v>
      </c>
      <c r="AL161" s="1">
        <v>2881.2</v>
      </c>
      <c r="AM161" s="1">
        <v>5975</v>
      </c>
      <c r="AN161" s="1">
        <v>5452.5</v>
      </c>
      <c r="AO161" s="1">
        <v>1877.3</v>
      </c>
      <c r="AP161" s="1">
        <v>795.45</v>
      </c>
      <c r="AQ161" s="1">
        <v>707.3</v>
      </c>
      <c r="AR161" s="1">
        <v>1521.3</v>
      </c>
      <c r="AS161" s="1">
        <v>1592.8</v>
      </c>
      <c r="AT161" s="1">
        <v>7926.5</v>
      </c>
      <c r="AU161" s="1">
        <v>619.79999999999995</v>
      </c>
      <c r="AV161" s="1">
        <v>1088.0999999999999</v>
      </c>
      <c r="AW161" s="1">
        <v>1276.5999999999999</v>
      </c>
      <c r="AX161" s="1">
        <v>5097.1000000000004</v>
      </c>
      <c r="AY161" s="1">
        <v>767.45</v>
      </c>
      <c r="BH161" s="2"/>
    </row>
    <row r="162" spans="1:60" ht="14.25" customHeight="1" x14ac:dyDescent="0.3">
      <c r="A162" s="2">
        <v>45891</v>
      </c>
      <c r="B162" s="1">
        <v>24870.1</v>
      </c>
      <c r="C162" s="1">
        <v>1409.2</v>
      </c>
      <c r="D162" s="1">
        <v>982.3</v>
      </c>
      <c r="E162" s="1">
        <v>1933.3</v>
      </c>
      <c r="F162" s="1">
        <v>3054</v>
      </c>
      <c r="G162" s="1">
        <v>1436.4</v>
      </c>
      <c r="H162" s="1">
        <v>816.25</v>
      </c>
      <c r="I162" s="1">
        <v>1487.5</v>
      </c>
      <c r="J162" s="1">
        <v>2629.9</v>
      </c>
      <c r="K162" s="1">
        <v>894.5</v>
      </c>
      <c r="L162" s="1">
        <v>398.3</v>
      </c>
      <c r="M162" s="1">
        <v>3595.8</v>
      </c>
      <c r="N162" s="1">
        <v>14349</v>
      </c>
      <c r="O162" s="1">
        <v>3403</v>
      </c>
      <c r="P162" s="1">
        <v>1986.6</v>
      </c>
      <c r="Q162" s="1">
        <v>1466.3</v>
      </c>
      <c r="R162" s="1">
        <v>1641.8</v>
      </c>
      <c r="S162" s="1">
        <v>12589</v>
      </c>
      <c r="T162" s="1">
        <v>1070.9000000000001</v>
      </c>
      <c r="U162" s="1">
        <v>1965.9</v>
      </c>
      <c r="V162" s="1">
        <v>3621</v>
      </c>
      <c r="W162" s="1">
        <v>337</v>
      </c>
      <c r="X162" s="1">
        <v>319.10000000000002</v>
      </c>
      <c r="Y162" s="1">
        <v>1341.2</v>
      </c>
      <c r="Z162" s="1">
        <v>236.29</v>
      </c>
      <c r="AA162" s="1">
        <v>374.85</v>
      </c>
      <c r="AB162" s="1">
        <v>1054.5999999999999</v>
      </c>
      <c r="AC162" s="1">
        <v>248.64</v>
      </c>
      <c r="AD162" s="1">
        <v>283.35000000000002</v>
      </c>
      <c r="AE162" s="1">
        <v>680.3</v>
      </c>
      <c r="AF162" s="1">
        <v>8679.5</v>
      </c>
      <c r="AG162" s="1">
        <v>2504.5</v>
      </c>
      <c r="AH162" s="1">
        <v>374.45</v>
      </c>
      <c r="AI162" s="1">
        <v>1162.9000000000001</v>
      </c>
      <c r="AJ162" s="1">
        <v>158.55000000000001</v>
      </c>
      <c r="AK162" s="1">
        <v>320.60000000000002</v>
      </c>
      <c r="AL162" s="1">
        <v>2813.8</v>
      </c>
      <c r="AM162" s="1">
        <v>5924.5</v>
      </c>
      <c r="AN162" s="1">
        <v>5418</v>
      </c>
      <c r="AO162" s="1">
        <v>1859</v>
      </c>
      <c r="AP162" s="1">
        <v>788.75</v>
      </c>
      <c r="AQ162" s="1">
        <v>704.2</v>
      </c>
      <c r="AR162" s="1">
        <v>1505</v>
      </c>
      <c r="AS162" s="1">
        <v>1592.8</v>
      </c>
      <c r="AT162" s="1">
        <v>7922.5</v>
      </c>
      <c r="AU162" s="1">
        <v>615.85</v>
      </c>
      <c r="AV162" s="1">
        <v>1084.0999999999999</v>
      </c>
      <c r="AW162" s="1">
        <v>1277.5999999999999</v>
      </c>
      <c r="AX162" s="1">
        <v>4997.8999999999996</v>
      </c>
      <c r="AY162" s="1">
        <v>760.1</v>
      </c>
      <c r="BH162" s="2"/>
    </row>
    <row r="163" spans="1:60" ht="14.25" customHeight="1" x14ac:dyDescent="0.3">
      <c r="A163" s="2">
        <v>45894</v>
      </c>
      <c r="B163" s="1">
        <v>24967.75</v>
      </c>
      <c r="C163" s="1">
        <v>1412.6</v>
      </c>
      <c r="D163" s="1">
        <v>982.05</v>
      </c>
      <c r="E163" s="1">
        <v>1930.7</v>
      </c>
      <c r="F163" s="1">
        <v>3140.6</v>
      </c>
      <c r="G163" s="1">
        <v>1433.2</v>
      </c>
      <c r="H163" s="1">
        <v>816.45</v>
      </c>
      <c r="I163" s="1">
        <v>1532.1</v>
      </c>
      <c r="J163" s="1">
        <v>2631.6</v>
      </c>
      <c r="K163" s="1">
        <v>900.8</v>
      </c>
      <c r="L163" s="1">
        <v>399.35</v>
      </c>
      <c r="M163" s="1">
        <v>3603.1</v>
      </c>
      <c r="N163" s="1">
        <v>14452</v>
      </c>
      <c r="O163" s="1">
        <v>3398.9</v>
      </c>
      <c r="P163" s="1">
        <v>1983.3</v>
      </c>
      <c r="Q163" s="1">
        <v>1504.2</v>
      </c>
      <c r="R163" s="1">
        <v>1656.7</v>
      </c>
      <c r="S163" s="1">
        <v>12606</v>
      </c>
      <c r="T163" s="1">
        <v>1070</v>
      </c>
      <c r="U163" s="1">
        <v>1963.8</v>
      </c>
      <c r="V163" s="1">
        <v>3651.4</v>
      </c>
      <c r="W163" s="1">
        <v>337.85</v>
      </c>
      <c r="X163" s="1">
        <v>319.25</v>
      </c>
      <c r="Y163" s="1">
        <v>1340.4</v>
      </c>
      <c r="Z163" s="1">
        <v>236.76</v>
      </c>
      <c r="AA163" s="1">
        <v>372.05</v>
      </c>
      <c r="AB163" s="1">
        <v>1057.8</v>
      </c>
      <c r="AC163" s="1">
        <v>253.84</v>
      </c>
      <c r="AD163" s="1">
        <v>284.14999999999998</v>
      </c>
      <c r="AE163" s="1">
        <v>686.8</v>
      </c>
      <c r="AF163" s="1">
        <v>8750.5</v>
      </c>
      <c r="AG163" s="1">
        <v>2492.9</v>
      </c>
      <c r="AH163" s="1">
        <v>380</v>
      </c>
      <c r="AI163" s="1">
        <v>1153</v>
      </c>
      <c r="AJ163" s="1">
        <v>159.63</v>
      </c>
      <c r="AK163" s="1">
        <v>319.7</v>
      </c>
      <c r="AL163" s="1">
        <v>2811.4</v>
      </c>
      <c r="AM163" s="1">
        <v>5990.5</v>
      </c>
      <c r="AN163" s="1">
        <v>5423</v>
      </c>
      <c r="AO163" s="1">
        <v>1846.8</v>
      </c>
      <c r="AP163" s="1">
        <v>787</v>
      </c>
      <c r="AQ163" s="1">
        <v>715.85</v>
      </c>
      <c r="AR163" s="1">
        <v>1527.1</v>
      </c>
      <c r="AS163" s="1">
        <v>1601.2</v>
      </c>
      <c r="AT163" s="1">
        <v>7851</v>
      </c>
      <c r="AU163" s="1">
        <v>620.85</v>
      </c>
      <c r="AV163" s="1">
        <v>1081.5999999999999</v>
      </c>
      <c r="AW163" s="1">
        <v>1283.9000000000001</v>
      </c>
      <c r="AX163" s="1">
        <v>5063.8</v>
      </c>
      <c r="AY163" s="1">
        <v>770.85</v>
      </c>
      <c r="BH163" s="2"/>
    </row>
    <row r="164" spans="1:60" ht="14.25" customHeight="1" x14ac:dyDescent="0.3">
      <c r="A164" s="2">
        <v>45895</v>
      </c>
      <c r="B164" s="1">
        <v>24712.05</v>
      </c>
      <c r="C164" s="1">
        <v>1384.9</v>
      </c>
      <c r="D164" s="1">
        <v>973.4</v>
      </c>
      <c r="E164" s="1">
        <v>1904.7</v>
      </c>
      <c r="F164" s="1">
        <v>3157.2</v>
      </c>
      <c r="G164" s="1">
        <v>1416.6</v>
      </c>
      <c r="H164" s="1">
        <v>807.85</v>
      </c>
      <c r="I164" s="1">
        <v>1529.6</v>
      </c>
      <c r="J164" s="1">
        <v>2692.6</v>
      </c>
      <c r="K164" s="1">
        <v>876.25</v>
      </c>
      <c r="L164" s="1">
        <v>403.35</v>
      </c>
      <c r="M164" s="1">
        <v>3541.3</v>
      </c>
      <c r="N164" s="1">
        <v>14714</v>
      </c>
      <c r="O164" s="1">
        <v>3330.8</v>
      </c>
      <c r="P164" s="1">
        <v>1965.7</v>
      </c>
      <c r="Q164" s="1">
        <v>1492.8</v>
      </c>
      <c r="R164" s="1">
        <v>1600.3</v>
      </c>
      <c r="S164" s="1">
        <v>12610</v>
      </c>
      <c r="T164" s="1">
        <v>1050.0999999999999</v>
      </c>
      <c r="U164" s="1">
        <v>1924.2</v>
      </c>
      <c r="V164" s="1">
        <v>3594</v>
      </c>
      <c r="W164" s="1">
        <v>333.2</v>
      </c>
      <c r="X164" s="1">
        <v>317.89999999999998</v>
      </c>
      <c r="Y164" s="1">
        <v>1315.4</v>
      </c>
      <c r="Z164" s="1">
        <v>234.19</v>
      </c>
      <c r="AA164" s="1">
        <v>365.85</v>
      </c>
      <c r="AB164" s="1">
        <v>1047.0999999999999</v>
      </c>
      <c r="AC164" s="1">
        <v>252.03</v>
      </c>
      <c r="AD164" s="1">
        <v>279.89999999999998</v>
      </c>
      <c r="AE164" s="1">
        <v>681.65</v>
      </c>
      <c r="AF164" s="1">
        <v>8691.5</v>
      </c>
      <c r="AG164" s="1">
        <v>2481.4</v>
      </c>
      <c r="AH164" s="1">
        <v>372.45</v>
      </c>
      <c r="AI164" s="1">
        <v>1162.2</v>
      </c>
      <c r="AJ164" s="1">
        <v>155.03</v>
      </c>
      <c r="AK164" s="1">
        <v>315.75</v>
      </c>
      <c r="AL164" s="1">
        <v>2796.2</v>
      </c>
      <c r="AM164" s="1">
        <v>6151</v>
      </c>
      <c r="AN164" s="1">
        <v>5295</v>
      </c>
      <c r="AO164" s="1">
        <v>1816.6</v>
      </c>
      <c r="AP164" s="1">
        <v>776.6</v>
      </c>
      <c r="AQ164" s="1">
        <v>705.7</v>
      </c>
      <c r="AR164" s="1">
        <v>1502.2</v>
      </c>
      <c r="AS164" s="1">
        <v>1579.8</v>
      </c>
      <c r="AT164" s="1">
        <v>7793.5</v>
      </c>
      <c r="AU164" s="1">
        <v>594.70000000000005</v>
      </c>
      <c r="AV164" s="1">
        <v>1079.9000000000001</v>
      </c>
      <c r="AW164" s="1">
        <v>1263.2</v>
      </c>
      <c r="AX164" s="1">
        <v>5073.3999999999996</v>
      </c>
      <c r="AY164" s="1">
        <v>756.4</v>
      </c>
      <c r="BH164" s="2"/>
    </row>
    <row r="165" spans="1:60" ht="14.25" customHeight="1" x14ac:dyDescent="0.3">
      <c r="A165" s="2">
        <v>45897</v>
      </c>
      <c r="B165" s="1">
        <v>24500.9</v>
      </c>
      <c r="C165" s="1">
        <v>1385.9</v>
      </c>
      <c r="D165" s="1">
        <v>957.8</v>
      </c>
      <c r="E165" s="1">
        <v>1881.1</v>
      </c>
      <c r="F165" s="1">
        <v>3093.7</v>
      </c>
      <c r="G165" s="1">
        <v>1399.1</v>
      </c>
      <c r="H165" s="1">
        <v>801.95</v>
      </c>
      <c r="I165" s="1">
        <v>1500.1</v>
      </c>
      <c r="J165" s="1">
        <v>2654.4</v>
      </c>
      <c r="K165" s="1">
        <v>876.85</v>
      </c>
      <c r="L165" s="1">
        <v>400.9</v>
      </c>
      <c r="M165" s="1">
        <v>3560.1</v>
      </c>
      <c r="N165" s="1">
        <v>14752</v>
      </c>
      <c r="O165" s="1">
        <v>3295.3</v>
      </c>
      <c r="P165" s="1">
        <v>1944.7</v>
      </c>
      <c r="Q165" s="1">
        <v>1449.8</v>
      </c>
      <c r="R165" s="1">
        <v>1585.7</v>
      </c>
      <c r="S165" s="1">
        <v>12521</v>
      </c>
      <c r="T165" s="1">
        <v>1051.9000000000001</v>
      </c>
      <c r="U165" s="1">
        <v>1917.6</v>
      </c>
      <c r="V165" s="1">
        <v>3637.7</v>
      </c>
      <c r="W165" s="1">
        <v>330.8</v>
      </c>
      <c r="X165" s="1">
        <v>315.5</v>
      </c>
      <c r="Y165" s="1">
        <v>1315.4</v>
      </c>
      <c r="Z165" s="1">
        <v>233.39</v>
      </c>
      <c r="AA165" s="1">
        <v>363.85</v>
      </c>
      <c r="AB165" s="1">
        <v>1035.8</v>
      </c>
      <c r="AC165" s="1">
        <v>250.65</v>
      </c>
      <c r="AD165" s="1">
        <v>274.45</v>
      </c>
      <c r="AE165" s="1">
        <v>675.45</v>
      </c>
      <c r="AF165" s="1">
        <v>8689.5</v>
      </c>
      <c r="AG165" s="1">
        <v>2489</v>
      </c>
      <c r="AH165" s="1">
        <v>374.3</v>
      </c>
      <c r="AI165" s="1">
        <v>1162.4000000000001</v>
      </c>
      <c r="AJ165" s="1">
        <v>153.63</v>
      </c>
      <c r="AK165" s="1">
        <v>310.10000000000002</v>
      </c>
      <c r="AL165" s="1">
        <v>2784.3</v>
      </c>
      <c r="AM165" s="1">
        <v>6133</v>
      </c>
      <c r="AN165" s="1">
        <v>5235.5</v>
      </c>
      <c r="AO165" s="1">
        <v>1816.8</v>
      </c>
      <c r="AP165" s="1">
        <v>775.35</v>
      </c>
      <c r="AQ165" s="1">
        <v>701.4</v>
      </c>
      <c r="AR165" s="1">
        <v>1495.6</v>
      </c>
      <c r="AS165" s="1">
        <v>1580.3</v>
      </c>
      <c r="AT165" s="1">
        <v>7728</v>
      </c>
      <c r="AU165" s="1">
        <v>571.65</v>
      </c>
      <c r="AV165" s="1">
        <v>1062.4000000000001</v>
      </c>
      <c r="AW165" s="1">
        <v>1259.8</v>
      </c>
      <c r="AX165" s="1">
        <v>5091.7</v>
      </c>
      <c r="AY165" s="1">
        <v>746.6</v>
      </c>
      <c r="BH165" s="2"/>
    </row>
    <row r="166" spans="1:60" ht="14.25" customHeight="1" x14ac:dyDescent="0.3">
      <c r="A166" s="2">
        <v>45898</v>
      </c>
      <c r="B166" s="1">
        <v>24426.85</v>
      </c>
      <c r="C166" s="1">
        <v>1357.2</v>
      </c>
      <c r="D166" s="1">
        <v>951.6</v>
      </c>
      <c r="E166" s="1">
        <v>1888.8</v>
      </c>
      <c r="F166" s="1">
        <v>3084.7</v>
      </c>
      <c r="G166" s="1">
        <v>1397.8</v>
      </c>
      <c r="H166" s="1">
        <v>802.5</v>
      </c>
      <c r="I166" s="1">
        <v>1469.6</v>
      </c>
      <c r="J166" s="1">
        <v>2659.8</v>
      </c>
      <c r="K166" s="1">
        <v>877.85</v>
      </c>
      <c r="L166" s="1">
        <v>409.75</v>
      </c>
      <c r="M166" s="1">
        <v>3601</v>
      </c>
      <c r="N166" s="1">
        <v>14791</v>
      </c>
      <c r="O166" s="1">
        <v>3199.5</v>
      </c>
      <c r="P166" s="1">
        <v>1960.3</v>
      </c>
      <c r="Q166" s="1">
        <v>1454.8</v>
      </c>
      <c r="R166" s="1">
        <v>1594.5</v>
      </c>
      <c r="S166" s="1">
        <v>12640</v>
      </c>
      <c r="T166" s="1">
        <v>1045.2</v>
      </c>
      <c r="U166" s="1">
        <v>1913.5</v>
      </c>
      <c r="V166" s="1">
        <v>3628.8</v>
      </c>
      <c r="W166" s="1">
        <v>327.55</v>
      </c>
      <c r="X166" s="1">
        <v>313.95</v>
      </c>
      <c r="Y166" s="1">
        <v>1312.8</v>
      </c>
      <c r="Z166" s="1">
        <v>233.71</v>
      </c>
      <c r="AA166" s="1">
        <v>369.4</v>
      </c>
      <c r="AB166" s="1">
        <v>1026.5999999999999</v>
      </c>
      <c r="AC166" s="1">
        <v>249.41</v>
      </c>
      <c r="AD166" s="1">
        <v>275.25</v>
      </c>
      <c r="AE166" s="1">
        <v>669</v>
      </c>
      <c r="AF166" s="1">
        <v>8631.5</v>
      </c>
      <c r="AG166" s="1">
        <v>2518.6</v>
      </c>
      <c r="AH166" s="1">
        <v>374.8</v>
      </c>
      <c r="AI166" s="1">
        <v>1156.2</v>
      </c>
      <c r="AJ166" s="1">
        <v>154.47999999999999</v>
      </c>
      <c r="AK166" s="1">
        <v>311.7</v>
      </c>
      <c r="AL166" s="1">
        <v>2775.6</v>
      </c>
      <c r="AM166" s="1">
        <v>6103</v>
      </c>
      <c r="AN166" s="1">
        <v>5298</v>
      </c>
      <c r="AO166" s="1">
        <v>1805.5</v>
      </c>
      <c r="AP166" s="1">
        <v>772.05</v>
      </c>
      <c r="AQ166" s="1">
        <v>703.95</v>
      </c>
      <c r="AR166" s="1">
        <v>1481.4</v>
      </c>
      <c r="AS166" s="1">
        <v>1589.4</v>
      </c>
      <c r="AT166" s="1">
        <v>7610</v>
      </c>
      <c r="AU166" s="1">
        <v>580.25</v>
      </c>
      <c r="AV166" s="1">
        <v>1065.4000000000001</v>
      </c>
      <c r="AW166" s="1">
        <v>1260.0999999999999</v>
      </c>
      <c r="AX166" s="1">
        <v>5087.7</v>
      </c>
      <c r="AY166" s="1">
        <v>739.5</v>
      </c>
      <c r="BH166" s="2"/>
    </row>
    <row r="167" spans="1:60" ht="14.25" customHeight="1" x14ac:dyDescent="0.3">
      <c r="A167" s="2">
        <v>45901</v>
      </c>
      <c r="B167" s="1">
        <v>24625.05</v>
      </c>
      <c r="C167" s="1">
        <v>1353.9</v>
      </c>
      <c r="D167" s="1">
        <v>950.6</v>
      </c>
      <c r="E167" s="1">
        <v>1900.6</v>
      </c>
      <c r="F167" s="1">
        <v>3112.6</v>
      </c>
      <c r="G167" s="1">
        <v>1411</v>
      </c>
      <c r="H167" s="1">
        <v>806.05</v>
      </c>
      <c r="I167" s="1">
        <v>1499.4</v>
      </c>
      <c r="J167" s="1">
        <v>2649.5</v>
      </c>
      <c r="K167" s="1">
        <v>889.35</v>
      </c>
      <c r="L167" s="1">
        <v>405.85</v>
      </c>
      <c r="M167" s="1">
        <v>3598.4</v>
      </c>
      <c r="N167" s="1">
        <v>14887</v>
      </c>
      <c r="O167" s="1">
        <v>3315.4</v>
      </c>
      <c r="P167" s="1">
        <v>1968.6</v>
      </c>
      <c r="Q167" s="1">
        <v>1468.4</v>
      </c>
      <c r="R167" s="1">
        <v>1563.3</v>
      </c>
      <c r="S167" s="1">
        <v>12826</v>
      </c>
      <c r="T167" s="1">
        <v>1061.5</v>
      </c>
      <c r="U167" s="1">
        <v>1943.5</v>
      </c>
      <c r="V167" s="1">
        <v>3618.6</v>
      </c>
      <c r="W167" s="1">
        <v>330.7</v>
      </c>
      <c r="X167" s="1">
        <v>321.10000000000002</v>
      </c>
      <c r="Y167" s="1">
        <v>1335.3</v>
      </c>
      <c r="Z167" s="1">
        <v>238.72</v>
      </c>
      <c r="AA167" s="1">
        <v>373.9</v>
      </c>
      <c r="AB167" s="1">
        <v>1035.5</v>
      </c>
      <c r="AC167" s="1">
        <v>250.36</v>
      </c>
      <c r="AD167" s="1">
        <v>279.85000000000002</v>
      </c>
      <c r="AE167" s="1">
        <v>690.15</v>
      </c>
      <c r="AF167" s="1">
        <v>8967</v>
      </c>
      <c r="AG167" s="1">
        <v>2570.1999999999998</v>
      </c>
      <c r="AH167" s="1">
        <v>377.9</v>
      </c>
      <c r="AI167" s="1">
        <v>1174.4000000000001</v>
      </c>
      <c r="AJ167" s="1">
        <v>156.16999999999999</v>
      </c>
      <c r="AK167" s="1">
        <v>314.05</v>
      </c>
      <c r="AL167" s="1">
        <v>2803.9</v>
      </c>
      <c r="AM167" s="1">
        <v>6280</v>
      </c>
      <c r="AN167" s="1">
        <v>5450</v>
      </c>
      <c r="AO167" s="1">
        <v>1809.8</v>
      </c>
      <c r="AP167" s="1">
        <v>781.8</v>
      </c>
      <c r="AQ167" s="1">
        <v>719.6</v>
      </c>
      <c r="AR167" s="1">
        <v>1505.5</v>
      </c>
      <c r="AS167" s="1">
        <v>1587.2</v>
      </c>
      <c r="AT167" s="1">
        <v>7671.5</v>
      </c>
      <c r="AU167" s="1">
        <v>588.6</v>
      </c>
      <c r="AV167" s="1">
        <v>1075.7</v>
      </c>
      <c r="AW167" s="1">
        <v>1279.9000000000001</v>
      </c>
      <c r="AX167" s="1">
        <v>5244</v>
      </c>
      <c r="AY167" s="1">
        <v>752.85</v>
      </c>
      <c r="BH167" s="2"/>
    </row>
    <row r="168" spans="1:60" ht="14.25" customHeight="1" x14ac:dyDescent="0.3"/>
    <row r="169" spans="1:60" ht="14.25" customHeight="1" x14ac:dyDescent="0.3"/>
    <row r="170" spans="1:60" ht="14.25" customHeight="1" x14ac:dyDescent="0.3"/>
    <row r="171" spans="1:60" ht="14.25" customHeight="1" x14ac:dyDescent="0.3"/>
    <row r="172" spans="1:60" ht="14.25" customHeight="1" x14ac:dyDescent="0.3"/>
    <row r="173" spans="1:60" ht="14.25" customHeight="1" x14ac:dyDescent="0.3"/>
    <row r="174" spans="1:60" ht="14.25" customHeight="1" x14ac:dyDescent="0.3"/>
    <row r="175" spans="1:60" ht="14.25" customHeight="1" x14ac:dyDescent="0.3"/>
    <row r="176" spans="1:60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pane ySplit="1" topLeftCell="A2" activePane="bottomLeft" state="frozen"/>
      <selection pane="bottomLeft" activeCell="N15" sqref="N15"/>
    </sheetView>
  </sheetViews>
  <sheetFormatPr defaultColWidth="12.6640625" defaultRowHeight="15" customHeight="1" x14ac:dyDescent="0.3"/>
  <cols>
    <col min="1" max="1" width="10.109375" customWidth="1"/>
    <col min="2" max="2" width="8.88671875" customWidth="1"/>
    <col min="3" max="7" width="11.77734375" customWidth="1"/>
    <col min="8" max="8" width="8.6640625" customWidth="1"/>
    <col min="12" max="12" width="14.77734375" bestFit="1" customWidth="1"/>
    <col min="13" max="13" width="12" bestFit="1" customWidth="1"/>
    <col min="14" max="15" width="8.6640625" customWidth="1"/>
    <col min="16" max="16" width="12.5546875" customWidth="1"/>
    <col min="17" max="18" width="18" customWidth="1"/>
    <col min="19" max="19" width="18.21875" customWidth="1"/>
    <col min="20" max="20" width="23.21875" customWidth="1"/>
    <col min="21" max="30" width="8.6640625" customWidth="1"/>
  </cols>
  <sheetData>
    <row r="1" spans="1:16" ht="14.25" customHeight="1" x14ac:dyDescent="0.3">
      <c r="A1" s="14" t="s">
        <v>0</v>
      </c>
      <c r="B1" s="14" t="s">
        <v>1</v>
      </c>
      <c r="C1" s="14" t="s">
        <v>2</v>
      </c>
      <c r="D1" s="14"/>
      <c r="E1" s="14" t="s">
        <v>62</v>
      </c>
      <c r="F1" s="14" t="s">
        <v>63</v>
      </c>
      <c r="G1" s="14"/>
      <c r="H1" s="14"/>
      <c r="I1" s="22" t="s">
        <v>60</v>
      </c>
      <c r="J1" s="22" t="s">
        <v>61</v>
      </c>
      <c r="L1" s="8"/>
      <c r="M1" s="7" t="s">
        <v>3</v>
      </c>
      <c r="N1" s="7" t="s">
        <v>4</v>
      </c>
      <c r="O1" s="7" t="s">
        <v>56</v>
      </c>
      <c r="P1" s="7" t="s">
        <v>59</v>
      </c>
    </row>
    <row r="2" spans="1:16" ht="14.25" customHeight="1" x14ac:dyDescent="0.3">
      <c r="A2" s="2">
        <v>45901</v>
      </c>
      <c r="B2" s="1">
        <v>24625.05</v>
      </c>
      <c r="C2" s="3">
        <f t="shared" ref="C2:C33" si="0">B2/$B$167*100</f>
        <v>103.71542650645034</v>
      </c>
      <c r="D2" s="3"/>
      <c r="E2" s="4">
        <f>MAX($B2:B$167)</f>
        <v>25637.8</v>
      </c>
      <c r="F2" s="6">
        <f>(B2-MAX($B2:B$167))/MAX($B2:B$167)</f>
        <v>-3.9502219379197907E-2</v>
      </c>
      <c r="G2" s="3"/>
      <c r="I2" s="4">
        <f>MAX($C2:C$167)</f>
        <v>107.9809121884858</v>
      </c>
      <c r="J2" s="5">
        <f>(C2-MAX($C2:C$167))/MAX($C2:C$167)</f>
        <v>-3.950221937919781E-2</v>
      </c>
      <c r="L2" s="8" t="s">
        <v>5</v>
      </c>
      <c r="M2" s="4">
        <f>SUM(B2:B167)/166</f>
        <v>24071.59487951807</v>
      </c>
      <c r="N2" s="4">
        <f>STDEV(B2:B167)</f>
        <v>964.71747419598273</v>
      </c>
      <c r="O2" s="4">
        <f>(N2/M2)*100</f>
        <v>4.007700690479953</v>
      </c>
      <c r="P2" s="4">
        <f>IFERROR(100*MIN($F$2:$F$167),"")</f>
        <v>-8.7065627887459609</v>
      </c>
    </row>
    <row r="3" spans="1:16" ht="14.25" customHeight="1" x14ac:dyDescent="0.3">
      <c r="A3" s="2">
        <v>45898</v>
      </c>
      <c r="B3" s="1">
        <v>24426.85</v>
      </c>
      <c r="C3" s="3">
        <f t="shared" si="0"/>
        <v>102.88065063661136</v>
      </c>
      <c r="D3" s="3"/>
      <c r="E3" s="4">
        <f>MAX($B3:B$167)</f>
        <v>25637.8</v>
      </c>
      <c r="F3" s="6">
        <f>(B3-MAX($B3:B$167))/MAX($B3:B$167)</f>
        <v>-4.7232991910382355E-2</v>
      </c>
      <c r="G3" s="3"/>
      <c r="I3" s="4">
        <f>MAX($C3:C$167)</f>
        <v>107.9809121884858</v>
      </c>
      <c r="J3" s="5">
        <f>(C3-MAX($C3:C$167))/MAX($C3:C$167)</f>
        <v>-4.7232991910382188E-2</v>
      </c>
      <c r="L3" s="8" t="s">
        <v>65</v>
      </c>
      <c r="M3" s="4">
        <f>SUM(C2:C167)/166</f>
        <v>101.38439230051125</v>
      </c>
      <c r="N3" s="4">
        <f>STDEV(C2:C167)</f>
        <v>4.0631829902664904</v>
      </c>
      <c r="O3" s="4">
        <f>(N3/M3)*100</f>
        <v>4.0077006904799495</v>
      </c>
      <c r="P3" s="4">
        <f>IFERROR(100*MIN($J$2:$J$167),"")</f>
        <v>-8.7065627887459591</v>
      </c>
    </row>
    <row r="4" spans="1:16" ht="14.25" customHeight="1" x14ac:dyDescent="0.3">
      <c r="A4" s="2">
        <v>45897</v>
      </c>
      <c r="B4" s="1">
        <v>24500.9</v>
      </c>
      <c r="C4" s="3">
        <f t="shared" si="0"/>
        <v>103.19253334681105</v>
      </c>
      <c r="D4" s="3"/>
      <c r="E4" s="4">
        <f>MAX($B4:B$167)</f>
        <v>25637.8</v>
      </c>
      <c r="F4" s="6">
        <f>(B4-MAX($B4:B$167))/MAX($B4:B$167)</f>
        <v>-4.4344678560562838E-2</v>
      </c>
      <c r="G4" s="3"/>
      <c r="I4" s="4">
        <f>MAX($C4:C$167)</f>
        <v>107.9809121884858</v>
      </c>
      <c r="J4" s="5">
        <f>(C4-MAX($C4:C$167))/MAX($C4:C$167)</f>
        <v>-4.4344678560562761E-2</v>
      </c>
    </row>
    <row r="5" spans="1:16" ht="14.25" customHeight="1" x14ac:dyDescent="0.3">
      <c r="A5" s="2">
        <v>45895</v>
      </c>
      <c r="B5" s="1">
        <v>24712.05</v>
      </c>
      <c r="C5" s="3">
        <f t="shared" si="0"/>
        <v>104.08185183781255</v>
      </c>
      <c r="D5" s="3"/>
      <c r="E5" s="4">
        <f>MAX($B5:B$167)</f>
        <v>25637.8</v>
      </c>
      <c r="F5" s="6">
        <f>(B5-MAX($B5:B$167))/MAX($B5:B$167)</f>
        <v>-3.6108792486094748E-2</v>
      </c>
      <c r="G5" s="3"/>
      <c r="I5" s="4">
        <f>MAX($C5:C$167)</f>
        <v>107.9809121884858</v>
      </c>
      <c r="J5" s="5">
        <f>(C5-MAX($C5:C$167))/MAX($C5:C$167)</f>
        <v>-3.6108792486094748E-2</v>
      </c>
      <c r="L5" s="33"/>
      <c r="M5" t="s">
        <v>87</v>
      </c>
      <c r="N5" t="s">
        <v>87</v>
      </c>
    </row>
    <row r="6" spans="1:16" ht="14.25" customHeight="1" x14ac:dyDescent="0.3">
      <c r="A6" s="2">
        <v>45894</v>
      </c>
      <c r="B6" s="1">
        <v>24967.75</v>
      </c>
      <c r="C6" s="3">
        <f t="shared" si="0"/>
        <v>105.15880536918405</v>
      </c>
      <c r="D6" s="3"/>
      <c r="E6" s="4">
        <f>MAX($B6:B$167)</f>
        <v>25637.8</v>
      </c>
      <c r="F6" s="6">
        <f>(B6-MAX($B6:B$167))/MAX($B6:B$167)</f>
        <v>-2.6135237812916837E-2</v>
      </c>
      <c r="G6" s="3"/>
      <c r="I6" s="4">
        <f>MAX($C6:C$167)</f>
        <v>107.9809121884858</v>
      </c>
      <c r="J6" s="5">
        <f>(C6-MAX($C6:C$167))/MAX($C6:C$167)</f>
        <v>-2.6135237812916698E-2</v>
      </c>
      <c r="L6" s="35" t="s">
        <v>64</v>
      </c>
      <c r="M6" s="35"/>
      <c r="N6" s="35"/>
      <c r="O6" s="35"/>
      <c r="P6" s="35"/>
    </row>
    <row r="7" spans="1:16" ht="14.25" customHeight="1" x14ac:dyDescent="0.3">
      <c r="A7" s="2">
        <v>45891</v>
      </c>
      <c r="B7" s="1">
        <v>24870.1</v>
      </c>
      <c r="C7" s="3">
        <f t="shared" si="0"/>
        <v>104.74752452312059</v>
      </c>
      <c r="D7" s="3"/>
      <c r="E7" s="4">
        <f>MAX($B7:B$167)</f>
        <v>25637.8</v>
      </c>
      <c r="F7" s="6">
        <f>(B7-MAX($B7:B$167))/MAX($B7:B$167)</f>
        <v>-2.9944066963624054E-2</v>
      </c>
      <c r="G7" s="3"/>
      <c r="I7" s="4">
        <f>MAX($C7:C$167)</f>
        <v>107.9809121884858</v>
      </c>
      <c r="J7" s="5">
        <f>(C7-MAX($C7:C$167))/MAX($C7:C$167)</f>
        <v>-2.9944066963623929E-2</v>
      </c>
      <c r="L7" s="35"/>
      <c r="M7" s="35"/>
      <c r="N7" s="35"/>
      <c r="O7" s="35"/>
      <c r="P7" s="35"/>
    </row>
    <row r="8" spans="1:16" ht="14.25" customHeight="1" x14ac:dyDescent="0.3">
      <c r="A8" s="2">
        <v>45890</v>
      </c>
      <c r="B8" s="1">
        <v>25083.75</v>
      </c>
      <c r="C8" s="3">
        <f t="shared" si="0"/>
        <v>105.64737247766701</v>
      </c>
      <c r="D8" s="3"/>
      <c r="E8" s="4">
        <f>MAX($B8:B$167)</f>
        <v>25637.8</v>
      </c>
      <c r="F8" s="6">
        <f>(B8-MAX($B8:B$167))/MAX($B8:B$167)</f>
        <v>-2.1610668622112635E-2</v>
      </c>
      <c r="G8" s="3"/>
      <c r="I8" s="4">
        <f>MAX($C8:C$167)</f>
        <v>107.9809121884858</v>
      </c>
      <c r="J8" s="5">
        <f>(C8-MAX($C8:C$167))/MAX($C8:C$167)</f>
        <v>-2.1610668622112521E-2</v>
      </c>
      <c r="L8" s="35"/>
      <c r="M8" s="35"/>
      <c r="N8" s="35"/>
      <c r="O8" s="35"/>
      <c r="P8" s="35"/>
    </row>
    <row r="9" spans="1:16" ht="14.25" customHeight="1" x14ac:dyDescent="0.3">
      <c r="A9" s="2">
        <v>45889</v>
      </c>
      <c r="B9" s="1">
        <v>25050.55</v>
      </c>
      <c r="C9" s="3">
        <f t="shared" si="0"/>
        <v>105.50754120179084</v>
      </c>
      <c r="D9" s="3"/>
      <c r="E9" s="4">
        <f>MAX($B9:B$167)</f>
        <v>25637.8</v>
      </c>
      <c r="F9" s="6">
        <f>(B9-MAX($B9:B$167))/MAX($B9:B$167)</f>
        <v>-2.2905631528446279E-2</v>
      </c>
      <c r="G9" s="3"/>
      <c r="I9" s="4">
        <f>MAX($C9:C$167)</f>
        <v>107.9809121884858</v>
      </c>
      <c r="J9" s="5">
        <f>(C9-MAX($C9:C$167))/MAX($C9:C$167)</f>
        <v>-2.2905631528446189E-2</v>
      </c>
    </row>
    <row r="10" spans="1:16" ht="14.25" customHeight="1" x14ac:dyDescent="0.3">
      <c r="A10" s="2">
        <v>45888</v>
      </c>
      <c r="B10" s="1">
        <v>24980.65</v>
      </c>
      <c r="C10" s="3">
        <f t="shared" si="0"/>
        <v>105.2131374010757</v>
      </c>
      <c r="D10" s="3"/>
      <c r="E10" s="4">
        <f>MAX($B10:B$167)</f>
        <v>25637.8</v>
      </c>
      <c r="F10" s="6">
        <f>(B10-MAX($B10:B$167))/MAX($B10:B$167)</f>
        <v>-2.5632074514973898E-2</v>
      </c>
      <c r="G10" s="3"/>
      <c r="I10" s="4">
        <f>MAX($C10:C$167)</f>
        <v>107.9809121884858</v>
      </c>
      <c r="J10" s="5">
        <f>(C10-MAX($C10:C$167))/MAX($C10:C$167)</f>
        <v>-2.5632074514973742E-2</v>
      </c>
    </row>
    <row r="11" spans="1:16" ht="14.25" customHeight="1" x14ac:dyDescent="0.3">
      <c r="A11" s="2">
        <v>45887</v>
      </c>
      <c r="B11" s="1">
        <v>24876.95</v>
      </c>
      <c r="C11" s="3">
        <f t="shared" si="0"/>
        <v>104.7763752532336</v>
      </c>
      <c r="D11" s="3"/>
      <c r="E11" s="4">
        <f>MAX($B11:B$167)</f>
        <v>25637.8</v>
      </c>
      <c r="F11" s="6">
        <f>(B11-MAX($B11:B$167))/MAX($B11:B$167)</f>
        <v>-2.9676883351925615E-2</v>
      </c>
      <c r="G11" s="3"/>
      <c r="I11" s="4">
        <f>MAX($C11:C$167)</f>
        <v>107.9809121884858</v>
      </c>
      <c r="J11" s="5">
        <f>(C11-MAX($C11:C$167))/MAX($C11:C$167)</f>
        <v>-2.9676883351925535E-2</v>
      </c>
    </row>
    <row r="12" spans="1:16" ht="14.25" customHeight="1" x14ac:dyDescent="0.3">
      <c r="A12" s="2">
        <v>45883</v>
      </c>
      <c r="B12" s="1">
        <v>24631.3</v>
      </c>
      <c r="C12" s="3">
        <f t="shared" si="0"/>
        <v>103.74175016531257</v>
      </c>
      <c r="D12" s="3"/>
      <c r="E12" s="4">
        <f>MAX($B12:B$167)</f>
        <v>25637.8</v>
      </c>
      <c r="F12" s="6">
        <f>(B12-MAX($B12:B$167))/MAX($B12:B$167)</f>
        <v>-3.9258438711589919E-2</v>
      </c>
      <c r="G12" s="3"/>
      <c r="I12" s="4">
        <f>MAX($C12:C$167)</f>
        <v>107.9809121884858</v>
      </c>
      <c r="J12" s="5">
        <f>(C12-MAX($C12:C$167))/MAX($C12:C$167)</f>
        <v>-3.9258438711589856E-2</v>
      </c>
    </row>
    <row r="13" spans="1:16" ht="14.25" customHeight="1" x14ac:dyDescent="0.3">
      <c r="A13" s="2">
        <v>45882</v>
      </c>
      <c r="B13" s="1">
        <v>24619.35</v>
      </c>
      <c r="C13" s="3">
        <f t="shared" si="0"/>
        <v>103.69141932956798</v>
      </c>
      <c r="D13" s="3"/>
      <c r="E13" s="4">
        <f>MAX($B13:B$167)</f>
        <v>25637.8</v>
      </c>
      <c r="F13" s="6">
        <f>(B13-MAX($B13:B$167))/MAX($B13:B$167)</f>
        <v>-3.9724547348056416E-2</v>
      </c>
      <c r="G13" s="3"/>
      <c r="I13" s="4">
        <f>MAX($C13:C$167)</f>
        <v>107.9809121884858</v>
      </c>
      <c r="J13" s="5">
        <f>(C13-MAX($C13:C$167))/MAX($C13:C$167)</f>
        <v>-3.9724547348056402E-2</v>
      </c>
    </row>
    <row r="14" spans="1:16" ht="14.25" customHeight="1" x14ac:dyDescent="0.3">
      <c r="A14" s="2">
        <v>45881</v>
      </c>
      <c r="B14" s="1">
        <v>24487.4</v>
      </c>
      <c r="C14" s="3">
        <f t="shared" si="0"/>
        <v>103.13567424366863</v>
      </c>
      <c r="D14" s="3"/>
      <c r="E14" s="4">
        <f>MAX($B14:B$167)</f>
        <v>25637.8</v>
      </c>
      <c r="F14" s="6">
        <f>(B14-MAX($B14:B$167))/MAX($B14:B$167)</f>
        <v>-4.4871244802596084E-2</v>
      </c>
      <c r="G14" s="3"/>
      <c r="I14" s="4">
        <f>MAX($C14:C$167)</f>
        <v>107.9809121884858</v>
      </c>
      <c r="J14" s="5">
        <f>(C14-MAX($C14:C$167))/MAX($C14:C$167)</f>
        <v>-4.4871244802596022E-2</v>
      </c>
    </row>
    <row r="15" spans="1:16" ht="14.25" customHeight="1" x14ac:dyDescent="0.3">
      <c r="A15" s="2">
        <v>45880</v>
      </c>
      <c r="B15" s="1">
        <v>24585.05</v>
      </c>
      <c r="C15" s="3">
        <f t="shared" si="0"/>
        <v>103.54695508973208</v>
      </c>
      <c r="D15" s="3"/>
      <c r="E15" s="4">
        <f>MAX($B15:B$167)</f>
        <v>25637.8</v>
      </c>
      <c r="F15" s="6">
        <f>(B15-MAX($B15:B$167))/MAX($B15:B$167)</f>
        <v>-4.1062415651889006E-2</v>
      </c>
      <c r="G15" s="3"/>
      <c r="I15" s="4">
        <f>MAX($C15:C$167)</f>
        <v>107.9809121884858</v>
      </c>
      <c r="J15" s="5">
        <f>(C15-MAX($C15:C$167))/MAX($C15:C$167)</f>
        <v>-4.1062415651888923E-2</v>
      </c>
    </row>
    <row r="16" spans="1:16" ht="14.25" customHeight="1" x14ac:dyDescent="0.3">
      <c r="A16" s="2">
        <v>45877</v>
      </c>
      <c r="B16" s="1">
        <v>24363.3</v>
      </c>
      <c r="C16" s="3">
        <f t="shared" si="0"/>
        <v>102.61299167330023</v>
      </c>
      <c r="D16" s="3"/>
      <c r="E16" s="4">
        <f>MAX($B16:B$167)</f>
        <v>25637.8</v>
      </c>
      <c r="F16" s="6">
        <f>(B16-MAX($B16:B$167))/MAX($B16:B$167)</f>
        <v>-4.9711753738620322E-2</v>
      </c>
      <c r="G16" s="3"/>
      <c r="I16" s="4">
        <f>MAX($C16:C$167)</f>
        <v>107.9809121884858</v>
      </c>
      <c r="J16" s="5">
        <f>(C16-MAX($C16:C$167))/MAX($C16:C$167)</f>
        <v>-4.9711753738620156E-2</v>
      </c>
    </row>
    <row r="17" spans="1:10" ht="14.25" customHeight="1" x14ac:dyDescent="0.3">
      <c r="A17" s="2">
        <v>45876</v>
      </c>
      <c r="B17" s="1">
        <v>24596.15</v>
      </c>
      <c r="C17" s="3">
        <f t="shared" si="0"/>
        <v>103.5937059078714</v>
      </c>
      <c r="D17" s="3"/>
      <c r="E17" s="4">
        <f>MAX($B17:B$167)</f>
        <v>25637.8</v>
      </c>
      <c r="F17" s="6">
        <f>(B17-MAX($B17:B$167))/MAX($B17:B$167)</f>
        <v>-4.0629461186217145E-2</v>
      </c>
      <c r="G17" s="3"/>
      <c r="I17" s="4">
        <f>MAX($C17:C$167)</f>
        <v>107.9809121884858</v>
      </c>
      <c r="J17" s="5">
        <f>(C17-MAX($C17:C$167))/MAX($C17:C$167)</f>
        <v>-4.0629461186217158E-2</v>
      </c>
    </row>
    <row r="18" spans="1:10" ht="14.25" customHeight="1" x14ac:dyDescent="0.3">
      <c r="A18" s="2">
        <v>45875</v>
      </c>
      <c r="B18" s="1">
        <v>24574.2</v>
      </c>
      <c r="C18" s="3">
        <f t="shared" si="0"/>
        <v>103.50125721794726</v>
      </c>
      <c r="D18" s="3"/>
      <c r="E18" s="4">
        <f>MAX($B18:B$167)</f>
        <v>25637.8</v>
      </c>
      <c r="F18" s="6">
        <f>(B18-MAX($B18:B$167))/MAX($B18:B$167)</f>
        <v>-4.1485618890856411E-2</v>
      </c>
      <c r="G18" s="3"/>
      <c r="I18" s="4">
        <f>MAX($C18:C$167)</f>
        <v>107.9809121884858</v>
      </c>
      <c r="J18" s="5">
        <f>(C18-MAX($C18:C$167))/MAX($C18:C$167)</f>
        <v>-4.1485618890856349E-2</v>
      </c>
    </row>
    <row r="19" spans="1:10" ht="14.25" customHeight="1" x14ac:dyDescent="0.3">
      <c r="A19" s="2">
        <v>45874</v>
      </c>
      <c r="B19" s="1">
        <v>24649.55</v>
      </c>
      <c r="C19" s="3">
        <f t="shared" si="0"/>
        <v>103.81861524919027</v>
      </c>
      <c r="D19" s="3"/>
      <c r="E19" s="4">
        <f>MAX($B19:B$167)</f>
        <v>25637.8</v>
      </c>
      <c r="F19" s="6">
        <f>(B19-MAX($B19:B$167))/MAX($B19:B$167)</f>
        <v>-3.8546599162174601E-2</v>
      </c>
      <c r="G19" s="3"/>
      <c r="I19" s="4">
        <f>MAX($C19:C$167)</f>
        <v>107.9809121884858</v>
      </c>
      <c r="J19" s="5">
        <f>(C19-MAX($C19:C$167))/MAX($C19:C$167)</f>
        <v>-3.8546599162174545E-2</v>
      </c>
    </row>
    <row r="20" spans="1:10" ht="14.25" customHeight="1" x14ac:dyDescent="0.3">
      <c r="A20" s="2">
        <v>45873</v>
      </c>
      <c r="B20" s="1">
        <v>24722.75</v>
      </c>
      <c r="C20" s="3">
        <f t="shared" si="0"/>
        <v>104.1269179417847</v>
      </c>
      <c r="D20" s="3"/>
      <c r="E20" s="4">
        <f>MAX($B20:B$167)</f>
        <v>25637.8</v>
      </c>
      <c r="F20" s="6">
        <f>(B20-MAX($B20:B$167))/MAX($B20:B$167)</f>
        <v>-3.5691439983149852E-2</v>
      </c>
      <c r="G20" s="3"/>
      <c r="I20" s="4">
        <f>MAX($C20:C$167)</f>
        <v>107.9809121884858</v>
      </c>
      <c r="J20" s="5">
        <f>(C20-MAX($C20:C$167))/MAX($C20:C$167)</f>
        <v>-3.5691439983149761E-2</v>
      </c>
    </row>
    <row r="21" spans="1:10" ht="14.25" customHeight="1" x14ac:dyDescent="0.3">
      <c r="A21" s="2">
        <v>45870</v>
      </c>
      <c r="B21" s="1">
        <v>24565.35</v>
      </c>
      <c r="C21" s="3">
        <f t="shared" si="0"/>
        <v>103.46398291699835</v>
      </c>
      <c r="D21" s="3"/>
      <c r="E21" s="4">
        <f>MAX($B21:B$167)</f>
        <v>25637.8</v>
      </c>
      <c r="F21" s="6">
        <f>(B21-MAX($B21:B$167))/MAX($B21:B$167)</f>
        <v>-4.1830812316189403E-2</v>
      </c>
      <c r="G21" s="3"/>
      <c r="I21" s="4">
        <f>MAX($C21:C$167)</f>
        <v>107.9809121884858</v>
      </c>
      <c r="J21" s="5">
        <f>(C21-MAX($C21:C$167))/MAX($C21:C$167)</f>
        <v>-4.1830812316189195E-2</v>
      </c>
    </row>
    <row r="22" spans="1:10" ht="14.25" customHeight="1" x14ac:dyDescent="0.3">
      <c r="A22" s="2">
        <v>45869</v>
      </c>
      <c r="B22" s="1">
        <v>24768.35</v>
      </c>
      <c r="C22" s="3">
        <f t="shared" si="0"/>
        <v>104.31897535684351</v>
      </c>
      <c r="D22" s="3"/>
      <c r="E22" s="4">
        <f>MAX($B22:B$167)</f>
        <v>25637.8</v>
      </c>
      <c r="F22" s="6">
        <f>(B22-MAX($B22:B$167))/MAX($B22:B$167)</f>
        <v>-3.3912816232282053E-2</v>
      </c>
      <c r="G22" s="3"/>
      <c r="I22" s="4">
        <f>MAX($C22:C$167)</f>
        <v>107.9809121884858</v>
      </c>
      <c r="J22" s="5">
        <f>(C22-MAX($C22:C$167))/MAX($C22:C$167)</f>
        <v>-3.3912816232281956E-2</v>
      </c>
    </row>
    <row r="23" spans="1:10" ht="14.25" customHeight="1" x14ac:dyDescent="0.3">
      <c r="A23" s="2">
        <v>45868</v>
      </c>
      <c r="B23" s="1">
        <v>24855.05</v>
      </c>
      <c r="C23" s="3">
        <f t="shared" si="0"/>
        <v>104.68413715258033</v>
      </c>
      <c r="D23" s="3"/>
      <c r="E23" s="4">
        <f>MAX($B23:B$167)</f>
        <v>25637.8</v>
      </c>
      <c r="F23" s="6">
        <f>(B23-MAX($B23:B$167))/MAX($B23:B$167)</f>
        <v>-3.0531090811224054E-2</v>
      </c>
      <c r="G23" s="3"/>
      <c r="I23" s="4">
        <f>MAX($C23:C$167)</f>
        <v>107.9809121884858</v>
      </c>
      <c r="J23" s="5">
        <f>(C23-MAX($C23:C$167))/MAX($C23:C$167)</f>
        <v>-3.0531090811224043E-2</v>
      </c>
    </row>
    <row r="24" spans="1:10" ht="14.25" customHeight="1" x14ac:dyDescent="0.3">
      <c r="A24" s="2">
        <v>45867</v>
      </c>
      <c r="B24" s="1">
        <v>24821.1</v>
      </c>
      <c r="C24" s="3">
        <f t="shared" si="0"/>
        <v>104.54114703764073</v>
      </c>
      <c r="D24" s="3"/>
      <c r="E24" s="4">
        <f>MAX($B24:B$167)</f>
        <v>25637.8</v>
      </c>
      <c r="F24" s="6">
        <f>(B24-MAX($B24:B$167))/MAX($B24:B$167)</f>
        <v>-3.185530739767066E-2</v>
      </c>
      <c r="G24" s="3"/>
      <c r="I24" s="4">
        <f>MAX($C24:C$167)</f>
        <v>107.9809121884858</v>
      </c>
      <c r="J24" s="5">
        <f>(C24-MAX($C24:C$167))/MAX($C24:C$167)</f>
        <v>-3.1855307397670465E-2</v>
      </c>
    </row>
    <row r="25" spans="1:10" ht="14.25" customHeight="1" x14ac:dyDescent="0.3">
      <c r="A25" s="2">
        <v>45866</v>
      </c>
      <c r="B25" s="1">
        <v>24680.9</v>
      </c>
      <c r="C25" s="3">
        <f t="shared" si="0"/>
        <v>103.95065472204321</v>
      </c>
      <c r="D25" s="3"/>
      <c r="E25" s="4">
        <f>MAX($B25:B$167)</f>
        <v>25637.8</v>
      </c>
      <c r="F25" s="6">
        <f>(B25-MAX($B25:B$167))/MAX($B25:B$167)</f>
        <v>-3.7323795333452862E-2</v>
      </c>
      <c r="G25" s="3"/>
      <c r="I25" s="4">
        <f>MAX($C25:C$167)</f>
        <v>107.9809121884858</v>
      </c>
      <c r="J25" s="5">
        <f>(C25-MAX($C25:C$167))/MAX($C25:C$167)</f>
        <v>-3.7323795333452883E-2</v>
      </c>
    </row>
    <row r="26" spans="1:10" ht="14.25" customHeight="1" x14ac:dyDescent="0.3">
      <c r="A26" s="2">
        <v>45863</v>
      </c>
      <c r="B26" s="1">
        <v>24837</v>
      </c>
      <c r="C26" s="3">
        <f t="shared" si="0"/>
        <v>104.60811442578624</v>
      </c>
      <c r="D26" s="3"/>
      <c r="E26" s="4">
        <f>MAX($B26:B$167)</f>
        <v>25637.8</v>
      </c>
      <c r="F26" s="6">
        <f>(B26-MAX($B26:B$167))/MAX($B26:B$167)</f>
        <v>-3.1235129379275885E-2</v>
      </c>
      <c r="G26" s="3"/>
      <c r="I26" s="4">
        <f>MAX($C26:C$167)</f>
        <v>107.9809121884858</v>
      </c>
      <c r="J26" s="5">
        <f>(C26-MAX($C26:C$167))/MAX($C26:C$167)</f>
        <v>-3.1235129379275701E-2</v>
      </c>
    </row>
    <row r="27" spans="1:10" ht="14.25" customHeight="1" x14ac:dyDescent="0.3">
      <c r="A27" s="2">
        <v>45862</v>
      </c>
      <c r="B27" s="1">
        <v>25062.1</v>
      </c>
      <c r="C27" s="3">
        <f t="shared" si="0"/>
        <v>105.55618732336825</v>
      </c>
      <c r="D27" s="3"/>
      <c r="E27" s="4">
        <f>MAX($B27:B$167)</f>
        <v>25637.8</v>
      </c>
      <c r="F27" s="6">
        <f>(B27-MAX($B27:B$167))/MAX($B27:B$167)</f>
        <v>-2.245512485470675E-2</v>
      </c>
      <c r="G27" s="3"/>
      <c r="I27" s="4">
        <f>MAX($C27:C$167)</f>
        <v>107.9809121884858</v>
      </c>
      <c r="J27" s="5">
        <f>(C27-MAX($C27:C$167))/MAX($C27:C$167)</f>
        <v>-2.2455124854706559E-2</v>
      </c>
    </row>
    <row r="28" spans="1:10" ht="14.25" customHeight="1" x14ac:dyDescent="0.3">
      <c r="A28" s="2">
        <v>45861</v>
      </c>
      <c r="B28" s="1">
        <v>25219.9</v>
      </c>
      <c r="C28" s="3">
        <f t="shared" si="0"/>
        <v>106.2208070623218</v>
      </c>
      <c r="D28" s="3"/>
      <c r="E28" s="4">
        <f>MAX($B28:B$167)</f>
        <v>25637.8</v>
      </c>
      <c r="F28" s="6">
        <f>(B28-MAX($B28:B$167))/MAX($B28:B$167)</f>
        <v>-1.630015055894023E-2</v>
      </c>
      <c r="G28" s="3"/>
      <c r="I28" s="4">
        <f>MAX($C28:C$167)</f>
        <v>107.9809121884858</v>
      </c>
      <c r="J28" s="5">
        <f>(C28-MAX($C28:C$167))/MAX($C28:C$167)</f>
        <v>-1.6300150558940081E-2</v>
      </c>
    </row>
    <row r="29" spans="1:10" ht="14.25" customHeight="1" x14ac:dyDescent="0.3">
      <c r="A29" s="2">
        <v>45860</v>
      </c>
      <c r="B29" s="1">
        <v>25060.9</v>
      </c>
      <c r="C29" s="3">
        <f t="shared" si="0"/>
        <v>105.55113318086671</v>
      </c>
      <c r="D29" s="3"/>
      <c r="E29" s="4">
        <f>MAX($B29:B$167)</f>
        <v>25637.8</v>
      </c>
      <c r="F29" s="6">
        <f>(B29-MAX($B29:B$167))/MAX($B29:B$167)</f>
        <v>-2.250193074288737E-2</v>
      </c>
      <c r="G29" s="3"/>
      <c r="I29" s="4">
        <f>MAX($C29:C$167)</f>
        <v>107.9809121884858</v>
      </c>
      <c r="J29" s="5">
        <f>(C29-MAX($C29:C$167))/MAX($C29:C$167)</f>
        <v>-2.2501930742887175E-2</v>
      </c>
    </row>
    <row r="30" spans="1:10" ht="14.25" customHeight="1" x14ac:dyDescent="0.3">
      <c r="A30" s="2">
        <v>45859</v>
      </c>
      <c r="B30" s="1">
        <v>25090.7</v>
      </c>
      <c r="C30" s="3">
        <f t="shared" si="0"/>
        <v>105.67664438632181</v>
      </c>
      <c r="D30" s="3"/>
      <c r="E30" s="4">
        <f>MAX($B30:B$167)</f>
        <v>25637.8</v>
      </c>
      <c r="F30" s="6">
        <f>(B30-MAX($B30:B$167))/MAX($B30:B$167)</f>
        <v>-2.1339584519732526E-2</v>
      </c>
      <c r="G30" s="3"/>
      <c r="I30" s="4">
        <f>MAX($C30:C$167)</f>
        <v>107.9809121884858</v>
      </c>
      <c r="J30" s="5">
        <f>(C30-MAX($C30:C$167))/MAX($C30:C$167)</f>
        <v>-2.1339584519732367E-2</v>
      </c>
    </row>
    <row r="31" spans="1:10" ht="14.25" customHeight="1" x14ac:dyDescent="0.3">
      <c r="A31" s="2">
        <v>45856</v>
      </c>
      <c r="B31" s="1">
        <v>24968.400000000001</v>
      </c>
      <c r="C31" s="3">
        <f t="shared" si="0"/>
        <v>105.16154302970573</v>
      </c>
      <c r="D31" s="3"/>
      <c r="E31" s="4">
        <f>MAX($B31:B$167)</f>
        <v>25637.8</v>
      </c>
      <c r="F31" s="6">
        <f>(B31-MAX($B31:B$167))/MAX($B31:B$167)</f>
        <v>-2.6109884623485551E-2</v>
      </c>
      <c r="G31" s="3"/>
      <c r="I31" s="4">
        <f>MAX($C31:C$167)</f>
        <v>107.9809121884858</v>
      </c>
      <c r="J31" s="5">
        <f>(C31-MAX($C31:C$167))/MAX($C31:C$167)</f>
        <v>-2.610988462348544E-2</v>
      </c>
    </row>
    <row r="32" spans="1:10" ht="14.25" customHeight="1" x14ac:dyDescent="0.3">
      <c r="A32" s="2">
        <v>45855</v>
      </c>
      <c r="B32" s="1">
        <v>25111.45</v>
      </c>
      <c r="C32" s="3">
        <f t="shared" si="0"/>
        <v>105.7640389337444</v>
      </c>
      <c r="D32" s="3"/>
      <c r="E32" s="4">
        <f>MAX($B32:B$167)</f>
        <v>25637.8</v>
      </c>
      <c r="F32" s="6">
        <f>(B32-MAX($B32:B$167))/MAX($B32:B$167)</f>
        <v>-2.0530232703274014E-2</v>
      </c>
      <c r="G32" s="3"/>
      <c r="I32" s="4">
        <f>MAX($C32:C$167)</f>
        <v>107.9809121884858</v>
      </c>
      <c r="J32" s="5">
        <f>(C32-MAX($C32:C$167))/MAX($C32:C$167)</f>
        <v>-2.0530232703273924E-2</v>
      </c>
    </row>
    <row r="33" spans="1:10" ht="14.25" customHeight="1" x14ac:dyDescent="0.3">
      <c r="A33" s="2">
        <v>45854</v>
      </c>
      <c r="B33" s="1">
        <v>25212.05</v>
      </c>
      <c r="C33" s="3">
        <f t="shared" si="0"/>
        <v>106.18774454679082</v>
      </c>
      <c r="D33" s="3"/>
      <c r="E33" s="4">
        <f>MAX($B33:B$167)</f>
        <v>25637.8</v>
      </c>
      <c r="F33" s="6">
        <f>(B33-MAX($B33:B$167))/MAX($B33:B$167)</f>
        <v>-1.6606339077455946E-2</v>
      </c>
      <c r="G33" s="3"/>
      <c r="I33" s="4">
        <f>MAX($C33:C$167)</f>
        <v>107.9809121884858</v>
      </c>
      <c r="J33" s="5">
        <f>(C33-MAX($C33:C$167))/MAX($C33:C$167)</f>
        <v>-1.6606339077455831E-2</v>
      </c>
    </row>
    <row r="34" spans="1:10" ht="14.25" customHeight="1" x14ac:dyDescent="0.3">
      <c r="A34" s="2">
        <v>45853</v>
      </c>
      <c r="B34" s="1">
        <v>25195.8</v>
      </c>
      <c r="C34" s="3">
        <f t="shared" ref="C34:C65" si="1">B34/$B$167*100</f>
        <v>106.11930303374903</v>
      </c>
      <c r="D34" s="3"/>
      <c r="E34" s="4">
        <f>MAX($B34:B$167)</f>
        <v>25637.8</v>
      </c>
      <c r="F34" s="6">
        <f>(B34-MAX($B34:B$167))/MAX($B34:B$167)</f>
        <v>-1.7240168813236707E-2</v>
      </c>
      <c r="G34" s="3"/>
      <c r="I34" s="4">
        <f>MAX($C34:C$167)</f>
        <v>107.9809121884858</v>
      </c>
      <c r="J34" s="5">
        <f>(C34-MAX($C34:C$167))/MAX($C34:C$167)</f>
        <v>-1.7240168813236562E-2</v>
      </c>
    </row>
    <row r="35" spans="1:10" ht="14.25" customHeight="1" x14ac:dyDescent="0.3">
      <c r="A35" s="2">
        <v>45852</v>
      </c>
      <c r="B35" s="1">
        <v>25082.3</v>
      </c>
      <c r="C35" s="3">
        <f t="shared" si="1"/>
        <v>105.64126538881095</v>
      </c>
      <c r="D35" s="3"/>
      <c r="E35" s="4">
        <f>MAX($B35:B$167)</f>
        <v>25637.8</v>
      </c>
      <c r="F35" s="6">
        <f>(B35-MAX($B35:B$167))/MAX($B35:B$167)</f>
        <v>-2.1667225736997715E-2</v>
      </c>
      <c r="G35" s="3"/>
      <c r="I35" s="4">
        <f>MAX($C35:C$167)</f>
        <v>107.9809121884858</v>
      </c>
      <c r="J35" s="5">
        <f>(C35-MAX($C35:C$167))/MAX($C35:C$167)</f>
        <v>-2.1667225736997742E-2</v>
      </c>
    </row>
    <row r="36" spans="1:10" ht="14.25" customHeight="1" x14ac:dyDescent="0.3">
      <c r="A36" s="2">
        <v>45849</v>
      </c>
      <c r="B36" s="1">
        <v>25149.85</v>
      </c>
      <c r="C36" s="3">
        <f t="shared" si="1"/>
        <v>105.92577149379392</v>
      </c>
      <c r="D36" s="3"/>
      <c r="E36" s="4">
        <f>MAX($B36:B$167)</f>
        <v>25637.8</v>
      </c>
      <c r="F36" s="6">
        <f>(B36-MAX($B36:B$167))/MAX($B36:B$167)</f>
        <v>-1.9032444281490639E-2</v>
      </c>
      <c r="G36" s="3"/>
      <c r="I36" s="4">
        <f>MAX($C36:C$167)</f>
        <v>107.9809121884858</v>
      </c>
      <c r="J36" s="5">
        <f>(C36-MAX($C36:C$167))/MAX($C36:C$167)</f>
        <v>-1.9032444281490608E-2</v>
      </c>
    </row>
    <row r="37" spans="1:10" ht="14.25" customHeight="1" x14ac:dyDescent="0.3">
      <c r="A37" s="2">
        <v>45848</v>
      </c>
      <c r="B37" s="1">
        <v>25355.25</v>
      </c>
      <c r="C37" s="3">
        <f t="shared" si="1"/>
        <v>106.79087221864221</v>
      </c>
      <c r="D37" s="3"/>
      <c r="E37" s="4">
        <f>MAX($B37:B$167)</f>
        <v>25637.8</v>
      </c>
      <c r="F37" s="6">
        <f>(B37-MAX($B37:B$167))/MAX($B37:B$167)</f>
        <v>-1.1020836421221761E-2</v>
      </c>
      <c r="G37" s="3"/>
      <c r="I37" s="4">
        <f>MAX($C37:C$167)</f>
        <v>107.9809121884858</v>
      </c>
      <c r="J37" s="5">
        <f>(C37-MAX($C37:C$167))/MAX($C37:C$167)</f>
        <v>-1.1020836421221604E-2</v>
      </c>
    </row>
    <row r="38" spans="1:10" ht="14.25" customHeight="1" x14ac:dyDescent="0.3">
      <c r="A38" s="2">
        <v>45847</v>
      </c>
      <c r="B38" s="1">
        <v>25476.1</v>
      </c>
      <c r="C38" s="3">
        <f t="shared" si="1"/>
        <v>107.29986648640224</v>
      </c>
      <c r="D38" s="3"/>
      <c r="E38" s="4">
        <f>MAX($B38:B$167)</f>
        <v>25637.8</v>
      </c>
      <c r="F38" s="6">
        <f>(B38-MAX($B38:B$167))/MAX($B38:B$167)</f>
        <v>-6.3070934323538183E-3</v>
      </c>
      <c r="G38" s="3"/>
      <c r="I38" s="4">
        <f>MAX($C38:C$167)</f>
        <v>107.9809121884858</v>
      </c>
      <c r="J38" s="5">
        <f>(C38-MAX($C38:C$167))/MAX($C38:C$167)</f>
        <v>-6.307093432353748E-3</v>
      </c>
    </row>
    <row r="39" spans="1:10" ht="14.25" customHeight="1" x14ac:dyDescent="0.3">
      <c r="A39" s="2">
        <v>45846</v>
      </c>
      <c r="B39" s="1">
        <v>25522.5</v>
      </c>
      <c r="C39" s="3">
        <f t="shared" si="1"/>
        <v>107.49529332979542</v>
      </c>
      <c r="D39" s="3"/>
      <c r="E39" s="4">
        <f>MAX($B39:B$167)</f>
        <v>25637.8</v>
      </c>
      <c r="F39" s="6">
        <f>(B39-MAX($B39:B$167))/MAX($B39:B$167)</f>
        <v>-4.497265756032081E-3</v>
      </c>
      <c r="G39" s="3"/>
      <c r="I39" s="4">
        <f>MAX($C39:C$167)</f>
        <v>107.9809121884858</v>
      </c>
      <c r="J39" s="5">
        <f>(C39-MAX($C39:C$167))/MAX($C39:C$167)</f>
        <v>-4.4972657560321044E-3</v>
      </c>
    </row>
    <row r="40" spans="1:10" ht="14.25" customHeight="1" x14ac:dyDescent="0.3">
      <c r="A40" s="2">
        <v>45845</v>
      </c>
      <c r="B40" s="1">
        <v>25461.3</v>
      </c>
      <c r="C40" s="3">
        <f t="shared" si="1"/>
        <v>107.23753206221649</v>
      </c>
      <c r="D40" s="3"/>
      <c r="E40" s="4">
        <f>MAX($B40:B$167)</f>
        <v>25637.8</v>
      </c>
      <c r="F40" s="6">
        <f>(B40-MAX($B40:B$167))/MAX($B40:B$167)</f>
        <v>-6.8843660532494988E-3</v>
      </c>
      <c r="G40" s="3"/>
      <c r="I40" s="4">
        <f>MAX($C40:C$167)</f>
        <v>107.9809121884858</v>
      </c>
      <c r="J40" s="5">
        <f>(C40-MAX($C40:C$167))/MAX($C40:C$167)</f>
        <v>-6.8843660532493921E-3</v>
      </c>
    </row>
    <row r="41" spans="1:10" ht="14.25" customHeight="1" x14ac:dyDescent="0.3">
      <c r="A41" s="2">
        <v>45842</v>
      </c>
      <c r="B41" s="1">
        <v>25461</v>
      </c>
      <c r="C41" s="3">
        <f t="shared" si="1"/>
        <v>107.23626852659109</v>
      </c>
      <c r="D41" s="3"/>
      <c r="E41" s="4">
        <f>MAX($B41:B$167)</f>
        <v>25637.8</v>
      </c>
      <c r="F41" s="6">
        <f>(B41-MAX($B41:B$167))/MAX($B41:B$167)</f>
        <v>-6.8960675252946538E-3</v>
      </c>
      <c r="G41" s="3"/>
      <c r="I41" s="4">
        <f>MAX($C41:C$167)</f>
        <v>107.9809121884858</v>
      </c>
      <c r="J41" s="5">
        <f>(C41-MAX($C41:C$167))/MAX($C41:C$167)</f>
        <v>-6.8960675252946781E-3</v>
      </c>
    </row>
    <row r="42" spans="1:10" ht="14.25" customHeight="1" x14ac:dyDescent="0.3">
      <c r="A42" s="2">
        <v>45841</v>
      </c>
      <c r="B42" s="1">
        <v>25405.3</v>
      </c>
      <c r="C42" s="3">
        <f t="shared" si="1"/>
        <v>107.00167207881093</v>
      </c>
      <c r="D42" s="3"/>
      <c r="E42" s="4">
        <f>MAX($B42:B$167)</f>
        <v>25637.8</v>
      </c>
      <c r="F42" s="6">
        <f>(B42-MAX($B42:B$167))/MAX($B42:B$167)</f>
        <v>-9.0686408350170462E-3</v>
      </c>
      <c r="G42" s="3"/>
      <c r="I42" s="4">
        <f>MAX($C42:C$167)</f>
        <v>107.9809121884858</v>
      </c>
      <c r="J42" s="5">
        <f>(C42-MAX($C42:C$167))/MAX($C42:C$167)</f>
        <v>-9.068640835016897E-3</v>
      </c>
    </row>
    <row r="43" spans="1:10" ht="14.25" customHeight="1" x14ac:dyDescent="0.3">
      <c r="A43" s="2">
        <v>45840</v>
      </c>
      <c r="B43" s="1">
        <v>25453.4</v>
      </c>
      <c r="C43" s="3">
        <f t="shared" si="1"/>
        <v>107.20425895741464</v>
      </c>
      <c r="D43" s="3"/>
      <c r="E43" s="4">
        <f>MAX($B43:B$167)</f>
        <v>25637.8</v>
      </c>
      <c r="F43" s="6">
        <f>(B43-MAX($B43:B$167))/MAX($B43:B$167)</f>
        <v>-7.192504817105907E-3</v>
      </c>
      <c r="G43" s="3"/>
      <c r="I43" s="4">
        <f>MAX($C43:C$167)</f>
        <v>107.9809121884858</v>
      </c>
      <c r="J43" s="5">
        <f>(C43-MAX($C43:C$167))/MAX($C43:C$167)</f>
        <v>-7.1925048171058263E-3</v>
      </c>
    </row>
    <row r="44" spans="1:10" ht="14.25" customHeight="1" x14ac:dyDescent="0.3">
      <c r="A44" s="2">
        <v>45839</v>
      </c>
      <c r="B44" s="1">
        <v>25541.8</v>
      </c>
      <c r="C44" s="3">
        <f t="shared" si="1"/>
        <v>107.57658078836198</v>
      </c>
      <c r="D44" s="3"/>
      <c r="E44" s="4">
        <f>MAX($B44:B$167)</f>
        <v>25637.8</v>
      </c>
      <c r="F44" s="6">
        <f>(B44-MAX($B44:B$167))/MAX($B44:B$167)</f>
        <v>-3.7444710544586512E-3</v>
      </c>
      <c r="G44" s="3"/>
      <c r="I44" s="4">
        <f>MAX($C44:C$167)</f>
        <v>107.9809121884858</v>
      </c>
      <c r="J44" s="5">
        <f>(C44-MAX($C44:C$167))/MAX($C44:C$167)</f>
        <v>-3.7444710544586187E-3</v>
      </c>
    </row>
    <row r="45" spans="1:10" ht="14.25" customHeight="1" x14ac:dyDescent="0.3">
      <c r="A45" s="2">
        <v>45838</v>
      </c>
      <c r="B45" s="1">
        <v>25517.05</v>
      </c>
      <c r="C45" s="3">
        <f t="shared" si="1"/>
        <v>107.47233909926757</v>
      </c>
      <c r="D45" s="3"/>
      <c r="E45" s="4">
        <f>MAX($B45:B$167)</f>
        <v>25637.8</v>
      </c>
      <c r="F45" s="6">
        <f>(B45-MAX($B45:B$167))/MAX($B45:B$167)</f>
        <v>-4.7098424981862723E-3</v>
      </c>
      <c r="G45" s="3"/>
      <c r="I45" s="4">
        <f>MAX($C45:C$167)</f>
        <v>107.9809121884858</v>
      </c>
      <c r="J45" s="5">
        <f>(C45-MAX($C45:C$167))/MAX($C45:C$167)</f>
        <v>-4.7098424981860936E-3</v>
      </c>
    </row>
    <row r="46" spans="1:10" ht="14.25" customHeight="1" x14ac:dyDescent="0.3">
      <c r="A46" s="2">
        <v>45835</v>
      </c>
      <c r="B46" s="1">
        <v>25637.8</v>
      </c>
      <c r="C46" s="3">
        <f t="shared" si="1"/>
        <v>107.9809121884858</v>
      </c>
      <c r="D46" s="3"/>
      <c r="E46" s="4">
        <f>MAX($B46:B$167)</f>
        <v>25637.8</v>
      </c>
      <c r="F46" s="6">
        <f>(B46-MAX($B46:B$167))/MAX($B46:B$167)</f>
        <v>0</v>
      </c>
      <c r="G46" s="3"/>
      <c r="I46" s="4">
        <f>MAX($C46:C$167)</f>
        <v>107.9809121884858</v>
      </c>
      <c r="J46" s="5">
        <f>(C46-MAX($C46:C$167))/MAX($C46:C$167)</f>
        <v>0</v>
      </c>
    </row>
    <row r="47" spans="1:10" ht="14.25" customHeight="1" x14ac:dyDescent="0.3">
      <c r="A47" s="2">
        <v>45834</v>
      </c>
      <c r="B47" s="1">
        <v>25549</v>
      </c>
      <c r="C47" s="3">
        <f t="shared" si="1"/>
        <v>107.60690564337128</v>
      </c>
      <c r="D47" s="3"/>
      <c r="E47" s="4">
        <f>MAX($B47:B$167)</f>
        <v>25549</v>
      </c>
      <c r="F47" s="6">
        <f>(B47-MAX($B47:B$167))/MAX($B47:B$167)</f>
        <v>0</v>
      </c>
      <c r="G47" s="3"/>
      <c r="I47" s="4">
        <f>MAX($C47:C$167)</f>
        <v>107.60690564337128</v>
      </c>
      <c r="J47" s="5">
        <f>(C47-MAX($C47:C$167))/MAX($C47:C$167)</f>
        <v>0</v>
      </c>
    </row>
    <row r="48" spans="1:10" ht="14.25" customHeight="1" x14ac:dyDescent="0.3">
      <c r="A48" s="2">
        <v>45833</v>
      </c>
      <c r="B48" s="1">
        <v>25244.75</v>
      </c>
      <c r="C48" s="3">
        <f t="shared" si="1"/>
        <v>106.32546992995799</v>
      </c>
      <c r="D48" s="3"/>
      <c r="E48" s="4">
        <f>MAX($B48:B$167)</f>
        <v>25244.75</v>
      </c>
      <c r="F48" s="6">
        <f>(B48-MAX($B48:B$167))/MAX($B48:B$167)</f>
        <v>0</v>
      </c>
      <c r="G48" s="3"/>
      <c r="I48" s="4">
        <f>MAX($C48:C$167)</f>
        <v>106.32546992995799</v>
      </c>
      <c r="J48" s="5">
        <f>(C48-MAX($C48:C$167))/MAX($C48:C$167)</f>
        <v>0</v>
      </c>
    </row>
    <row r="49" spans="1:10" ht="14.25" customHeight="1" x14ac:dyDescent="0.3">
      <c r="A49" s="2">
        <v>45832</v>
      </c>
      <c r="B49" s="1">
        <v>25044.35</v>
      </c>
      <c r="C49" s="3">
        <f t="shared" si="1"/>
        <v>105.48142813219951</v>
      </c>
      <c r="D49" s="3"/>
      <c r="E49" s="4">
        <f>MAX($B49:B$167)</f>
        <v>25141.4</v>
      </c>
      <c r="F49" s="6">
        <f>(B49-MAX($B49:B$167))/MAX($B49:B$167)</f>
        <v>-3.8601668960361359E-3</v>
      </c>
      <c r="G49" s="3"/>
      <c r="I49" s="4">
        <f>MAX($C49:C$167)</f>
        <v>105.89018190701221</v>
      </c>
      <c r="J49" s="5">
        <f>(C49-MAX($C49:C$167))/MAX($C49:C$167)</f>
        <v>-3.8601668960361519E-3</v>
      </c>
    </row>
    <row r="50" spans="1:10" ht="14.25" customHeight="1" x14ac:dyDescent="0.3">
      <c r="A50" s="2">
        <v>45831</v>
      </c>
      <c r="B50" s="1">
        <v>24971.9</v>
      </c>
      <c r="C50" s="3">
        <f t="shared" si="1"/>
        <v>105.17628427866856</v>
      </c>
      <c r="D50" s="3"/>
      <c r="E50" s="4">
        <f>MAX($B50:B$167)</f>
        <v>25141.4</v>
      </c>
      <c r="F50" s="6">
        <f>(B50-MAX($B50:B$167))/MAX($B50:B$167)</f>
        <v>-6.7418679946224152E-3</v>
      </c>
      <c r="G50" s="3"/>
      <c r="I50" s="4">
        <f>MAX($C50:C$167)</f>
        <v>105.89018190701221</v>
      </c>
      <c r="J50" s="5">
        <f>(C50-MAX($C50:C$167))/MAX($C50:C$167)</f>
        <v>-6.7418679946225453E-3</v>
      </c>
    </row>
    <row r="51" spans="1:10" ht="14.25" customHeight="1" x14ac:dyDescent="0.3">
      <c r="A51" s="2">
        <v>45828</v>
      </c>
      <c r="B51" s="1">
        <v>25112.400000000001</v>
      </c>
      <c r="C51" s="3">
        <f t="shared" si="1"/>
        <v>105.76804012989147</v>
      </c>
      <c r="D51" s="3"/>
      <c r="E51" s="4">
        <f>MAX($B51:B$167)</f>
        <v>25141.4</v>
      </c>
      <c r="F51" s="6">
        <f>(B51-MAX($B51:B$167))/MAX($B51:B$167)</f>
        <v>-1.153475940082891E-3</v>
      </c>
      <c r="G51" s="3"/>
      <c r="I51" s="4">
        <f>MAX($C51:C$167)</f>
        <v>105.89018190701221</v>
      </c>
      <c r="J51" s="5">
        <f>(C51-MAX($C51:C$167))/MAX($C51:C$167)</f>
        <v>-1.1534759400828167E-3</v>
      </c>
    </row>
    <row r="52" spans="1:10" ht="14.25" customHeight="1" x14ac:dyDescent="0.3">
      <c r="A52" s="2">
        <v>45827</v>
      </c>
      <c r="B52" s="1">
        <v>24793.25</v>
      </c>
      <c r="C52" s="3">
        <f t="shared" si="1"/>
        <v>104.42384881375064</v>
      </c>
      <c r="D52" s="3"/>
      <c r="E52" s="4">
        <f>MAX($B52:B$167)</f>
        <v>25141.4</v>
      </c>
      <c r="F52" s="6">
        <f>(B52-MAX($B52:B$167))/MAX($B52:B$167)</f>
        <v>-1.3847677535857248E-2</v>
      </c>
      <c r="G52" s="3"/>
      <c r="I52" s="4">
        <f>MAX($C52:C$167)</f>
        <v>105.89018190701221</v>
      </c>
      <c r="J52" s="5">
        <f>(C52-MAX($C52:C$167))/MAX($C52:C$167)</f>
        <v>-1.3847677535857224E-2</v>
      </c>
    </row>
    <row r="53" spans="1:10" ht="14.25" customHeight="1" x14ac:dyDescent="0.3">
      <c r="A53" s="2">
        <v>45826</v>
      </c>
      <c r="B53" s="1">
        <v>24812.05</v>
      </c>
      <c r="C53" s="3">
        <f t="shared" si="1"/>
        <v>104.50303037960822</v>
      </c>
      <c r="D53" s="3"/>
      <c r="E53" s="4">
        <f>MAX($B53:B$167)</f>
        <v>25141.4</v>
      </c>
      <c r="F53" s="6">
        <f>(B53-MAX($B53:B$167))/MAX($B53:B$167)</f>
        <v>-1.309990692642423E-2</v>
      </c>
      <c r="G53" s="3"/>
      <c r="I53" s="4">
        <f>MAX($C53:C$167)</f>
        <v>105.89018190701221</v>
      </c>
      <c r="J53" s="5">
        <f>(C53-MAX($C53:C$167))/MAX($C53:C$167)</f>
        <v>-1.3099906926424189E-2</v>
      </c>
    </row>
    <row r="54" spans="1:10" ht="14.25" customHeight="1" x14ac:dyDescent="0.3">
      <c r="A54" s="2">
        <v>45825</v>
      </c>
      <c r="B54" s="1">
        <v>24853.4</v>
      </c>
      <c r="C54" s="3">
        <f t="shared" si="1"/>
        <v>104.67718770664072</v>
      </c>
      <c r="D54" s="3"/>
      <c r="E54" s="4">
        <f>MAX($B54:B$167)</f>
        <v>25141.4</v>
      </c>
      <c r="F54" s="6">
        <f>(B54-MAX($B54:B$167))/MAX($B54:B$167)</f>
        <v>-1.1455209335995609E-2</v>
      </c>
      <c r="G54" s="3"/>
      <c r="I54" s="4">
        <f>MAX($C54:C$167)</f>
        <v>105.89018190701221</v>
      </c>
      <c r="J54" s="5">
        <f>(C54-MAX($C54:C$167))/MAX($C54:C$167)</f>
        <v>-1.1455209335995642E-2</v>
      </c>
    </row>
    <row r="55" spans="1:10" ht="14.25" customHeight="1" x14ac:dyDescent="0.3">
      <c r="A55" s="2">
        <v>45824</v>
      </c>
      <c r="B55" s="1">
        <v>24946.5</v>
      </c>
      <c r="C55" s="3">
        <f t="shared" si="1"/>
        <v>105.06930492905246</v>
      </c>
      <c r="D55" s="3"/>
      <c r="E55" s="4">
        <f>MAX($B55:B$167)</f>
        <v>25141.4</v>
      </c>
      <c r="F55" s="6">
        <f>(B55-MAX($B55:B$167))/MAX($B55:B$167)</f>
        <v>-7.752153818005419E-3</v>
      </c>
      <c r="G55" s="3"/>
      <c r="I55" s="4">
        <f>MAX($C55:C$167)</f>
        <v>105.89018190701221</v>
      </c>
      <c r="J55" s="5">
        <f>(C55-MAX($C55:C$167))/MAX($C55:C$167)</f>
        <v>-7.7521538180055022E-3</v>
      </c>
    </row>
    <row r="56" spans="1:10" ht="14.25" customHeight="1" x14ac:dyDescent="0.3">
      <c r="A56" s="2">
        <v>45821</v>
      </c>
      <c r="B56" s="1">
        <v>24718.6</v>
      </c>
      <c r="C56" s="3">
        <f t="shared" si="1"/>
        <v>104.10943903230017</v>
      </c>
      <c r="D56" s="3"/>
      <c r="E56" s="4">
        <f>MAX($B56:B$167)</f>
        <v>25141.4</v>
      </c>
      <c r="F56" s="6">
        <f>(B56-MAX($B56:B$167))/MAX($B56:B$167)</f>
        <v>-1.6816883705760333E-2</v>
      </c>
      <c r="G56" s="3"/>
      <c r="I56" s="4">
        <f>MAX($C56:C$167)</f>
        <v>105.89018190701221</v>
      </c>
      <c r="J56" s="5">
        <f>(C56-MAX($C56:C$167))/MAX($C56:C$167)</f>
        <v>-1.6816883705760347E-2</v>
      </c>
    </row>
    <row r="57" spans="1:10" ht="14.25" customHeight="1" x14ac:dyDescent="0.3">
      <c r="A57" s="2">
        <v>45820</v>
      </c>
      <c r="B57" s="1">
        <v>24888.2</v>
      </c>
      <c r="C57" s="3">
        <f t="shared" si="1"/>
        <v>104.8237578391856</v>
      </c>
      <c r="D57" s="3"/>
      <c r="E57" s="4">
        <f>MAX($B57:B$167)</f>
        <v>25141.4</v>
      </c>
      <c r="F57" s="6">
        <f>(B57-MAX($B57:B$167))/MAX($B57:B$167)</f>
        <v>-1.0071038207896168E-2</v>
      </c>
      <c r="G57" s="3"/>
      <c r="I57" s="4">
        <f>MAX($C57:C$167)</f>
        <v>105.89018190701221</v>
      </c>
      <c r="J57" s="5">
        <f>(C57-MAX($C57:C$167))/MAX($C57:C$167)</f>
        <v>-1.0071038207896236E-2</v>
      </c>
    </row>
    <row r="58" spans="1:10" ht="14.25" customHeight="1" x14ac:dyDescent="0.3">
      <c r="A58" s="2">
        <v>45819</v>
      </c>
      <c r="B58" s="1">
        <v>25141.4</v>
      </c>
      <c r="C58" s="3">
        <f t="shared" si="1"/>
        <v>105.89018190701221</v>
      </c>
      <c r="D58" s="3"/>
      <c r="E58" s="4">
        <f>MAX($B58:B$167)</f>
        <v>25141.4</v>
      </c>
      <c r="F58" s="6">
        <f>(B58-MAX($B58:B$167))/MAX($B58:B$167)</f>
        <v>0</v>
      </c>
      <c r="G58" s="3"/>
      <c r="I58" s="4">
        <f>MAX($C58:C$167)</f>
        <v>105.89018190701221</v>
      </c>
      <c r="J58" s="5">
        <f>(C58-MAX($C58:C$167))/MAX($C58:C$167)</f>
        <v>0</v>
      </c>
    </row>
    <row r="59" spans="1:10" ht="14.25" customHeight="1" x14ac:dyDescent="0.3">
      <c r="A59" s="2">
        <v>45818</v>
      </c>
      <c r="B59" s="1">
        <v>25104.25</v>
      </c>
      <c r="C59" s="3">
        <f t="shared" si="1"/>
        <v>105.7337140787351</v>
      </c>
      <c r="D59" s="3"/>
      <c r="E59" s="4">
        <f>MAX($B59:B$167)</f>
        <v>25104.25</v>
      </c>
      <c r="F59" s="6">
        <f>(B59-MAX($B59:B$167))/MAX($B59:B$167)</f>
        <v>0</v>
      </c>
      <c r="G59" s="3"/>
      <c r="I59" s="4">
        <f>MAX($C59:C$167)</f>
        <v>105.7337140787351</v>
      </c>
      <c r="J59" s="5">
        <f>(C59-MAX($C59:C$167))/MAX($C59:C$167)</f>
        <v>0</v>
      </c>
    </row>
    <row r="60" spans="1:10" ht="14.25" customHeight="1" x14ac:dyDescent="0.3">
      <c r="A60" s="2">
        <v>45817</v>
      </c>
      <c r="B60" s="1">
        <v>25103.200000000001</v>
      </c>
      <c r="C60" s="3">
        <f t="shared" si="1"/>
        <v>105.72929170404626</v>
      </c>
      <c r="D60" s="3"/>
      <c r="E60" s="4">
        <f>MAX($B60:B$167)</f>
        <v>25103.200000000001</v>
      </c>
      <c r="F60" s="6">
        <f>(B60-MAX($B60:B$167))/MAX($B60:B$167)</f>
        <v>0</v>
      </c>
      <c r="G60" s="3"/>
      <c r="I60" s="4">
        <f>MAX($C60:C$167)</f>
        <v>105.72929170404626</v>
      </c>
      <c r="J60" s="5">
        <f>(C60-MAX($C60:C$167))/MAX($C60:C$167)</f>
        <v>0</v>
      </c>
    </row>
    <row r="61" spans="1:10" ht="14.25" customHeight="1" x14ac:dyDescent="0.3">
      <c r="A61" s="2">
        <v>45814</v>
      </c>
      <c r="B61" s="1">
        <v>25003.05</v>
      </c>
      <c r="C61" s="3">
        <f t="shared" si="1"/>
        <v>105.3074813944379</v>
      </c>
      <c r="D61" s="3"/>
      <c r="E61" s="4">
        <f>MAX($B61:B$167)</f>
        <v>25062.1</v>
      </c>
      <c r="F61" s="6">
        <f>(B61-MAX($B61:B$167))/MAX($B61:B$167)</f>
        <v>-2.3561473300321711E-3</v>
      </c>
      <c r="G61" s="3"/>
      <c r="I61" s="4">
        <f>MAX($C61:C$167)</f>
        <v>105.55618732336825</v>
      </c>
      <c r="J61" s="5">
        <f>(C61-MAX($C61:C$167))/MAX($C61:C$167)</f>
        <v>-2.3561473300323511E-3</v>
      </c>
    </row>
    <row r="62" spans="1:10" ht="14.25" customHeight="1" x14ac:dyDescent="0.3">
      <c r="A62" s="2">
        <v>45813</v>
      </c>
      <c r="B62" s="1">
        <v>24750.9</v>
      </c>
      <c r="C62" s="3">
        <f t="shared" si="1"/>
        <v>104.24547970130018</v>
      </c>
      <c r="D62" s="3"/>
      <c r="E62" s="4">
        <f>MAX($B62:B$167)</f>
        <v>25062.1</v>
      </c>
      <c r="F62" s="6">
        <f>(B62-MAX($B62:B$167))/MAX($B62:B$167)</f>
        <v>-1.241715578502987E-2</v>
      </c>
      <c r="G62" s="3"/>
      <c r="I62" s="4">
        <f>MAX($C62:C$167)</f>
        <v>105.55618732336825</v>
      </c>
      <c r="J62" s="5">
        <f>(C62-MAX($C62:C$167))/MAX($C62:C$167)</f>
        <v>-1.2417155785029933E-2</v>
      </c>
    </row>
    <row r="63" spans="1:10" ht="14.25" customHeight="1" x14ac:dyDescent="0.3">
      <c r="A63" s="2">
        <v>45812</v>
      </c>
      <c r="B63" s="1">
        <v>24620.2</v>
      </c>
      <c r="C63" s="3">
        <f t="shared" si="1"/>
        <v>103.69499934717325</v>
      </c>
      <c r="D63" s="3"/>
      <c r="E63" s="4">
        <f>MAX($B63:B$167)</f>
        <v>25062.1</v>
      </c>
      <c r="F63" s="6">
        <f>(B63-MAX($B63:B$167))/MAX($B63:B$167)</f>
        <v>-1.76322016111977E-2</v>
      </c>
      <c r="G63" s="3"/>
      <c r="I63" s="4">
        <f>MAX($C63:C$167)</f>
        <v>105.55618732336825</v>
      </c>
      <c r="J63" s="5">
        <f>(C63-MAX($C63:C$167))/MAX($C63:C$167)</f>
        <v>-1.763220161119787E-2</v>
      </c>
    </row>
    <row r="64" spans="1:10" ht="14.25" customHeight="1" x14ac:dyDescent="0.3">
      <c r="A64" s="2">
        <v>45811</v>
      </c>
      <c r="B64" s="1">
        <v>24542.5</v>
      </c>
      <c r="C64" s="3">
        <f t="shared" si="1"/>
        <v>103.36774362019803</v>
      </c>
      <c r="D64" s="3"/>
      <c r="E64" s="4">
        <f>MAX($B64:B$167)</f>
        <v>25062.1</v>
      </c>
      <c r="F64" s="6">
        <f>(B64-MAX($B64:B$167))/MAX($B64:B$167)</f>
        <v>-2.0732500468835357E-2</v>
      </c>
      <c r="G64" s="3"/>
      <c r="I64" s="4">
        <f>MAX($C64:C$167)</f>
        <v>105.55618732336825</v>
      </c>
      <c r="J64" s="5">
        <f>(C64-MAX($C64:C$167))/MAX($C64:C$167)</f>
        <v>-2.0732500468835516E-2</v>
      </c>
    </row>
    <row r="65" spans="1:10" ht="14.25" customHeight="1" x14ac:dyDescent="0.3">
      <c r="A65" s="2">
        <v>45810</v>
      </c>
      <c r="B65" s="1">
        <v>24716.6</v>
      </c>
      <c r="C65" s="3">
        <f t="shared" si="1"/>
        <v>104.10101546146426</v>
      </c>
      <c r="D65" s="3"/>
      <c r="E65" s="4">
        <f>MAX($B65:B$167)</f>
        <v>25062.1</v>
      </c>
      <c r="F65" s="6">
        <f>(B65-MAX($B65:B$167))/MAX($B65:B$167)</f>
        <v>-1.3785756181644794E-2</v>
      </c>
      <c r="G65" s="3"/>
      <c r="I65" s="4">
        <f>MAX($C65:C$167)</f>
        <v>105.55618732336825</v>
      </c>
      <c r="J65" s="5">
        <f>(C65-MAX($C65:C$167))/MAX($C65:C$167)</f>
        <v>-1.3785756181644909E-2</v>
      </c>
    </row>
    <row r="66" spans="1:10" ht="14.25" customHeight="1" x14ac:dyDescent="0.3">
      <c r="A66" s="2">
        <v>45807</v>
      </c>
      <c r="B66" s="1">
        <v>24750.7</v>
      </c>
      <c r="C66" s="3">
        <f t="shared" ref="C66:C97" si="2">B66/$B$167*100</f>
        <v>104.24463734421659</v>
      </c>
      <c r="D66" s="3"/>
      <c r="E66" s="4">
        <f>MAX($B66:B$167)</f>
        <v>25062.1</v>
      </c>
      <c r="F66" s="6">
        <f>(B66-MAX($B66:B$167))/MAX($B66:B$167)</f>
        <v>-1.2425135962269636E-2</v>
      </c>
      <c r="G66" s="3"/>
      <c r="I66" s="4">
        <f>MAX($C66:C$167)</f>
        <v>105.55618732336825</v>
      </c>
      <c r="J66" s="5">
        <f>(C66-MAX($C66:C$167))/MAX($C66:C$167)</f>
        <v>-1.242513596226974E-2</v>
      </c>
    </row>
    <row r="67" spans="1:10" ht="14.25" customHeight="1" x14ac:dyDescent="0.3">
      <c r="A67" s="2">
        <v>45806</v>
      </c>
      <c r="B67" s="1">
        <v>24833.599999999999</v>
      </c>
      <c r="C67" s="3">
        <f t="shared" si="2"/>
        <v>104.59379435536518</v>
      </c>
      <c r="D67" s="3"/>
      <c r="E67" s="4">
        <f>MAX($B67:B$167)</f>
        <v>25062.1</v>
      </c>
      <c r="F67" s="6">
        <f>(B67-MAX($B67:B$167))/MAX($B67:B$167)</f>
        <v>-9.117352496398945E-3</v>
      </c>
      <c r="G67" s="3"/>
      <c r="I67" s="4">
        <f>MAX($C67:C$167)</f>
        <v>105.55618732336825</v>
      </c>
      <c r="J67" s="5">
        <f>(C67-MAX($C67:C$167))/MAX($C67:C$167)</f>
        <v>-9.1173524963990074E-3</v>
      </c>
    </row>
    <row r="68" spans="1:10" ht="14.25" customHeight="1" x14ac:dyDescent="0.3">
      <c r="A68" s="2">
        <v>45805</v>
      </c>
      <c r="B68" s="1">
        <v>24752.45</v>
      </c>
      <c r="C68" s="3">
        <f t="shared" si="2"/>
        <v>104.252007968698</v>
      </c>
      <c r="D68" s="3"/>
      <c r="E68" s="4">
        <f>MAX($B68:B$167)</f>
        <v>25062.1</v>
      </c>
      <c r="F68" s="6">
        <f>(B68-MAX($B68:B$167))/MAX($B68:B$167)</f>
        <v>-1.2355309411421942E-2</v>
      </c>
      <c r="G68" s="3"/>
      <c r="I68" s="4">
        <f>MAX($C68:C$167)</f>
        <v>105.55618732336825</v>
      </c>
      <c r="J68" s="5">
        <f>(C68-MAX($C68:C$167))/MAX($C68:C$167)</f>
        <v>-1.2355309411422172E-2</v>
      </c>
    </row>
    <row r="69" spans="1:10" ht="14.25" customHeight="1" x14ac:dyDescent="0.3">
      <c r="A69" s="2">
        <v>45804</v>
      </c>
      <c r="B69" s="1">
        <v>24826.2</v>
      </c>
      <c r="C69" s="3">
        <f t="shared" si="2"/>
        <v>104.56262714327229</v>
      </c>
      <c r="D69" s="3"/>
      <c r="E69" s="4">
        <f>MAX($B69:B$167)</f>
        <v>25062.1</v>
      </c>
      <c r="F69" s="6">
        <f>(B69-MAX($B69:B$167))/MAX($B69:B$167)</f>
        <v>-9.4126190542691088E-3</v>
      </c>
      <c r="G69" s="3"/>
      <c r="I69" s="4">
        <f>MAX($C69:C$167)</f>
        <v>105.55618732336825</v>
      </c>
      <c r="J69" s="5">
        <f>(C69-MAX($C69:C$167))/MAX($C69:C$167)</f>
        <v>-9.412619054269291E-3</v>
      </c>
    </row>
    <row r="70" spans="1:10" ht="14.25" customHeight="1" x14ac:dyDescent="0.3">
      <c r="A70" s="2">
        <v>45803</v>
      </c>
      <c r="B70" s="1">
        <v>25001.15</v>
      </c>
      <c r="C70" s="3">
        <f t="shared" si="2"/>
        <v>105.2994790021438</v>
      </c>
      <c r="D70" s="3"/>
      <c r="E70" s="4">
        <f>MAX($B70:B$167)</f>
        <v>25062.1</v>
      </c>
      <c r="F70" s="6">
        <f>(B70-MAX($B70:B$167))/MAX($B70:B$167)</f>
        <v>-2.4319590138095807E-3</v>
      </c>
      <c r="G70" s="3"/>
      <c r="I70" s="4">
        <f>MAX($C70:C$167)</f>
        <v>105.55618732336825</v>
      </c>
      <c r="J70" s="5">
        <f>(C70-MAX($C70:C$167))/MAX($C70:C$167)</f>
        <v>-2.4319590138097056E-3</v>
      </c>
    </row>
    <row r="71" spans="1:10" ht="14.25" customHeight="1" x14ac:dyDescent="0.3">
      <c r="A71" s="2">
        <v>45800</v>
      </c>
      <c r="B71" s="1">
        <v>24853.15</v>
      </c>
      <c r="C71" s="3">
        <f t="shared" si="2"/>
        <v>104.67613476028623</v>
      </c>
      <c r="D71" s="3"/>
      <c r="E71" s="4">
        <f>MAX($B71:B$167)</f>
        <v>25062.1</v>
      </c>
      <c r="F71" s="6">
        <f>(B71-MAX($B71:B$167))/MAX($B71:B$167)</f>
        <v>-8.3372901712145866E-3</v>
      </c>
      <c r="G71" s="3"/>
      <c r="I71" s="4">
        <f>MAX($C71:C$167)</f>
        <v>105.55618732336825</v>
      </c>
      <c r="J71" s="5">
        <f>(C71-MAX($C71:C$167))/MAX($C71:C$167)</f>
        <v>-8.3372901712147167E-3</v>
      </c>
    </row>
    <row r="72" spans="1:10" ht="14.25" customHeight="1" x14ac:dyDescent="0.3">
      <c r="A72" s="2">
        <v>45799</v>
      </c>
      <c r="B72" s="1">
        <v>24609.7</v>
      </c>
      <c r="C72" s="3">
        <f t="shared" si="2"/>
        <v>103.6507756002847</v>
      </c>
      <c r="D72" s="3"/>
      <c r="E72" s="4">
        <f>MAX($B72:B$167)</f>
        <v>25062.1</v>
      </c>
      <c r="F72" s="6">
        <f>(B72-MAX($B72:B$167))/MAX($B72:B$167)</f>
        <v>-1.8051160916283865E-2</v>
      </c>
      <c r="G72" s="3"/>
      <c r="I72" s="4">
        <f>MAX($C72:C$167)</f>
        <v>105.55618732336825</v>
      </c>
      <c r="J72" s="5">
        <f>(C72-MAX($C72:C$167))/MAX($C72:C$167)</f>
        <v>-1.805116091628408E-2</v>
      </c>
    </row>
    <row r="73" spans="1:10" ht="14.25" customHeight="1" x14ac:dyDescent="0.3">
      <c r="A73" s="2">
        <v>45798</v>
      </c>
      <c r="B73" s="1">
        <v>24813.45</v>
      </c>
      <c r="C73" s="3">
        <f t="shared" si="2"/>
        <v>104.50892687919335</v>
      </c>
      <c r="D73" s="3"/>
      <c r="E73" s="4">
        <f>MAX($B73:B$167)</f>
        <v>25062.1</v>
      </c>
      <c r="F73" s="6">
        <f>(B73-MAX($B73:B$167))/MAX($B73:B$167)</f>
        <v>-9.9213553533023108E-3</v>
      </c>
      <c r="G73" s="3"/>
      <c r="I73" s="4">
        <f>MAX($C73:C$167)</f>
        <v>105.55618732336825</v>
      </c>
      <c r="J73" s="5">
        <f>(C73-MAX($C73:C$167))/MAX($C73:C$167)</f>
        <v>-9.9213553533024478E-3</v>
      </c>
    </row>
    <row r="74" spans="1:10" ht="14.25" customHeight="1" x14ac:dyDescent="0.3">
      <c r="A74" s="2">
        <v>45797</v>
      </c>
      <c r="B74" s="1">
        <v>24683.9</v>
      </c>
      <c r="C74" s="3">
        <f t="shared" si="2"/>
        <v>103.96329007829709</v>
      </c>
      <c r="D74" s="3"/>
      <c r="E74" s="4">
        <f>MAX($B74:B$167)</f>
        <v>25062.1</v>
      </c>
      <c r="F74" s="6">
        <f>(B74-MAX($B74:B$167))/MAX($B74:B$167)</f>
        <v>-1.5090515160341596E-2</v>
      </c>
      <c r="G74" s="3"/>
      <c r="I74" s="4">
        <f>MAX($C74:C$167)</f>
        <v>105.55618732336825</v>
      </c>
      <c r="J74" s="5">
        <f>(C74-MAX($C74:C$167))/MAX($C74:C$167)</f>
        <v>-1.5090515160341701E-2</v>
      </c>
    </row>
    <row r="75" spans="1:10" ht="14.25" customHeight="1" x14ac:dyDescent="0.3">
      <c r="A75" s="2">
        <v>45796</v>
      </c>
      <c r="B75" s="1">
        <v>24945.45</v>
      </c>
      <c r="C75" s="3">
        <f t="shared" si="2"/>
        <v>105.06488255436362</v>
      </c>
      <c r="D75" s="3"/>
      <c r="E75" s="4">
        <f>MAX($B75:B$167)</f>
        <v>25062.1</v>
      </c>
      <c r="F75" s="6">
        <f>(B75-MAX($B75:B$167))/MAX($B75:B$167)</f>
        <v>-4.6544383750762239E-3</v>
      </c>
      <c r="G75" s="3"/>
      <c r="I75" s="4">
        <f>MAX($C75:C$167)</f>
        <v>105.55618732336825</v>
      </c>
      <c r="J75" s="5">
        <f>(C75-MAX($C75:C$167))/MAX($C75:C$167)</f>
        <v>-4.6544383750763071E-3</v>
      </c>
    </row>
    <row r="76" spans="1:10" ht="14.25" customHeight="1" x14ac:dyDescent="0.3">
      <c r="A76" s="2">
        <v>45793</v>
      </c>
      <c r="B76" s="1">
        <v>25019.8</v>
      </c>
      <c r="C76" s="3">
        <f t="shared" si="2"/>
        <v>105.37802880018867</v>
      </c>
      <c r="D76" s="3"/>
      <c r="E76" s="4">
        <f>MAX($B76:B$167)</f>
        <v>25062.1</v>
      </c>
      <c r="F76" s="6">
        <f>(B76-MAX($B76:B$167))/MAX($B76:B$167)</f>
        <v>-1.6878074862042396E-3</v>
      </c>
      <c r="G76" s="3"/>
      <c r="I76" s="4">
        <f>MAX($C76:C$167)</f>
        <v>105.55618732336825</v>
      </c>
      <c r="J76" s="5">
        <f>(C76-MAX($C76:C$167))/MAX($C76:C$167)</f>
        <v>-1.6878074862044096E-3</v>
      </c>
    </row>
    <row r="77" spans="1:10" ht="14.25" customHeight="1" x14ac:dyDescent="0.3">
      <c r="A77" s="2">
        <v>45792</v>
      </c>
      <c r="B77" s="1">
        <v>25062.1</v>
      </c>
      <c r="C77" s="3">
        <f t="shared" si="2"/>
        <v>105.55618732336825</v>
      </c>
      <c r="D77" s="3"/>
      <c r="E77" s="4">
        <f>MAX($B77:B$167)</f>
        <v>25062.1</v>
      </c>
      <c r="F77" s="6">
        <f>(B77-MAX($B77:B$167))/MAX($B77:B$167)</f>
        <v>0</v>
      </c>
      <c r="G77" s="3"/>
      <c r="I77" s="4">
        <f>MAX($C77:C$167)</f>
        <v>105.55618732336825</v>
      </c>
      <c r="J77" s="5">
        <f>(C77-MAX($C77:C$167))/MAX($C77:C$167)</f>
        <v>0</v>
      </c>
    </row>
    <row r="78" spans="1:10" ht="14.25" customHeight="1" x14ac:dyDescent="0.3">
      <c r="A78" s="2">
        <v>45791</v>
      </c>
      <c r="B78" s="1">
        <v>24666.9</v>
      </c>
      <c r="C78" s="3">
        <f t="shared" si="2"/>
        <v>103.89168972619183</v>
      </c>
      <c r="D78" s="3"/>
      <c r="E78" s="4">
        <f>MAX($B78:B$167)</f>
        <v>24924.7</v>
      </c>
      <c r="F78" s="6">
        <f>(B78-MAX($B78:B$167))/MAX($B78:B$167)</f>
        <v>-1.0343153578578649E-2</v>
      </c>
      <c r="G78" s="3"/>
      <c r="I78" s="4">
        <f>MAX($C78:C$167)</f>
        <v>104.97748800694102</v>
      </c>
      <c r="J78" s="5">
        <f>(C78-MAX($C78:C$167))/MAX($C78:C$167)</f>
        <v>-1.0343153578578637E-2</v>
      </c>
    </row>
    <row r="79" spans="1:10" ht="14.25" customHeight="1" x14ac:dyDescent="0.3">
      <c r="A79" s="2">
        <v>45790</v>
      </c>
      <c r="B79" s="1">
        <v>24578.35</v>
      </c>
      <c r="C79" s="3">
        <f t="shared" si="2"/>
        <v>103.51873612743177</v>
      </c>
      <c r="D79" s="3"/>
      <c r="E79" s="4">
        <f>MAX($B79:B$167)</f>
        <v>24924.7</v>
      </c>
      <c r="F79" s="6">
        <f>(B79-MAX($B79:B$167))/MAX($B79:B$167)</f>
        <v>-1.389585431319142E-2</v>
      </c>
      <c r="G79" s="3"/>
      <c r="I79" s="4">
        <f>MAX($C79:C$167)</f>
        <v>104.97748800694102</v>
      </c>
      <c r="J79" s="5">
        <f>(C79-MAX($C79:C$167))/MAX($C79:C$167)</f>
        <v>-1.3895854313191408E-2</v>
      </c>
    </row>
    <row r="80" spans="1:10" ht="14.25" customHeight="1" x14ac:dyDescent="0.3">
      <c r="A80" s="2">
        <v>45789</v>
      </c>
      <c r="B80" s="1">
        <v>24924.7</v>
      </c>
      <c r="C80" s="3">
        <f t="shared" si="2"/>
        <v>104.97748800694102</v>
      </c>
      <c r="D80" s="3"/>
      <c r="E80" s="4">
        <f>MAX($B80:B$167)</f>
        <v>24924.7</v>
      </c>
      <c r="F80" s="6">
        <f>(B80-MAX($B80:B$167))/MAX($B80:B$167)</f>
        <v>0</v>
      </c>
      <c r="G80" s="3"/>
      <c r="I80" s="4">
        <f>MAX($C80:C$167)</f>
        <v>104.97748800694102</v>
      </c>
      <c r="J80" s="5">
        <f>(C80-MAX($C80:C$167))/MAX($C80:C$167)</f>
        <v>0</v>
      </c>
    </row>
    <row r="81" spans="1:10" ht="14.25" customHeight="1" x14ac:dyDescent="0.3">
      <c r="A81" s="2">
        <v>45786</v>
      </c>
      <c r="B81" s="1">
        <v>24008</v>
      </c>
      <c r="C81" s="3">
        <f t="shared" si="2"/>
        <v>101.11654431430026</v>
      </c>
      <c r="D81" s="3"/>
      <c r="E81" s="4">
        <f>MAX($B81:B$167)</f>
        <v>24461.15</v>
      </c>
      <c r="F81" s="6">
        <f>(B81-MAX($B81:B$167))/MAX($B81:B$167)</f>
        <v>-1.8525294190992712E-2</v>
      </c>
      <c r="G81" s="3"/>
      <c r="I81" s="4">
        <f>MAX($C81:C$167)</f>
        <v>103.02511487644728</v>
      </c>
      <c r="J81" s="5">
        <f>(C81-MAX($C81:C$167))/MAX($C81:C$167)</f>
        <v>-1.8525294190992848E-2</v>
      </c>
    </row>
    <row r="82" spans="1:10" ht="14.25" customHeight="1" x14ac:dyDescent="0.3">
      <c r="A82" s="2">
        <v>45785</v>
      </c>
      <c r="B82" s="1">
        <v>24273.8</v>
      </c>
      <c r="C82" s="3">
        <f t="shared" si="2"/>
        <v>102.23603687839311</v>
      </c>
      <c r="D82" s="3"/>
      <c r="E82" s="4">
        <f>MAX($B82:B$167)</f>
        <v>24461.15</v>
      </c>
      <c r="F82" s="6">
        <f>(B82-MAX($B82:B$167))/MAX($B82:B$167)</f>
        <v>-7.6590838942569E-3</v>
      </c>
      <c r="G82" s="3"/>
      <c r="I82" s="4">
        <f>MAX($C82:C$167)</f>
        <v>103.02511487644728</v>
      </c>
      <c r="J82" s="5">
        <f>(C82-MAX($C82:C$167))/MAX($C82:C$167)</f>
        <v>-7.6590838942569364E-3</v>
      </c>
    </row>
    <row r="83" spans="1:10" ht="14.25" customHeight="1" x14ac:dyDescent="0.3">
      <c r="A83" s="2">
        <v>45784</v>
      </c>
      <c r="B83" s="1">
        <v>24414.400000000001</v>
      </c>
      <c r="C83" s="3">
        <f t="shared" si="2"/>
        <v>102.82821390815782</v>
      </c>
      <c r="D83" s="3"/>
      <c r="E83" s="4">
        <f>MAX($B83:B$167)</f>
        <v>24461.15</v>
      </c>
      <c r="F83" s="6">
        <f>(B83-MAX($B83:B$167))/MAX($B83:B$167)</f>
        <v>-1.9111938727328845E-3</v>
      </c>
      <c r="G83" s="3"/>
      <c r="I83" s="4">
        <f>MAX($C83:C$167)</f>
        <v>103.02511487644728</v>
      </c>
      <c r="J83" s="5">
        <f>(C83-MAX($C83:C$167))/MAX($C83:C$167)</f>
        <v>-1.9111938727327637E-3</v>
      </c>
    </row>
    <row r="84" spans="1:10" ht="14.25" customHeight="1" x14ac:dyDescent="0.3">
      <c r="A84" s="2">
        <v>45783</v>
      </c>
      <c r="B84" s="1">
        <v>24379.599999999999</v>
      </c>
      <c r="C84" s="3">
        <f t="shared" si="2"/>
        <v>102.68164377561291</v>
      </c>
      <c r="D84" s="3"/>
      <c r="E84" s="4">
        <f>MAX($B84:B$167)</f>
        <v>24461.15</v>
      </c>
      <c r="F84" s="6">
        <f>(B84-MAX($B84:B$167))/MAX($B84:B$167)</f>
        <v>-3.333857974788712E-3</v>
      </c>
      <c r="G84" s="3"/>
      <c r="I84" s="4">
        <f>MAX($C84:C$167)</f>
        <v>103.02511487644728</v>
      </c>
      <c r="J84" s="5">
        <f>(C84-MAX($C84:C$167))/MAX($C84:C$167)</f>
        <v>-3.3338579747886842E-3</v>
      </c>
    </row>
    <row r="85" spans="1:10" ht="14.25" customHeight="1" x14ac:dyDescent="0.3">
      <c r="A85" s="2">
        <v>45782</v>
      </c>
      <c r="B85" s="1">
        <v>24461.15</v>
      </c>
      <c r="C85" s="3">
        <f t="shared" si="2"/>
        <v>103.02511487644728</v>
      </c>
      <c r="D85" s="3"/>
      <c r="E85" s="4">
        <f>MAX($B85:B$167)</f>
        <v>24461.15</v>
      </c>
      <c r="F85" s="6">
        <f>(B85-MAX($B85:B$167))/MAX($B85:B$167)</f>
        <v>0</v>
      </c>
      <c r="G85" s="3"/>
      <c r="I85" s="4">
        <f>MAX($C85:C$167)</f>
        <v>103.02511487644728</v>
      </c>
      <c r="J85" s="5">
        <f>(C85-MAX($C85:C$167))/MAX($C85:C$167)</f>
        <v>0</v>
      </c>
    </row>
    <row r="86" spans="1:10" ht="14.25" customHeight="1" x14ac:dyDescent="0.3">
      <c r="A86" s="2">
        <v>45779</v>
      </c>
      <c r="B86" s="1">
        <v>24346.7</v>
      </c>
      <c r="C86" s="3">
        <f t="shared" si="2"/>
        <v>102.54307603536215</v>
      </c>
      <c r="D86" s="3"/>
      <c r="E86" s="4">
        <f>MAX($B86:B$167)</f>
        <v>24346.7</v>
      </c>
      <c r="F86" s="6">
        <f>(B86-MAX($B86:B$167))/MAX($B86:B$167)</f>
        <v>0</v>
      </c>
      <c r="G86" s="3"/>
      <c r="I86" s="4">
        <f>MAX($C86:C$167)</f>
        <v>102.54307603536215</v>
      </c>
      <c r="J86" s="5">
        <f>(C86-MAX($C86:C$167))/MAX($C86:C$167)</f>
        <v>0</v>
      </c>
    </row>
    <row r="87" spans="1:10" ht="14.25" customHeight="1" x14ac:dyDescent="0.3">
      <c r="A87" s="2">
        <v>45777</v>
      </c>
      <c r="B87" s="1">
        <v>24334.2</v>
      </c>
      <c r="C87" s="3">
        <f t="shared" si="2"/>
        <v>102.4904287176377</v>
      </c>
      <c r="D87" s="3"/>
      <c r="E87" s="4">
        <f>MAX($B87:B$167)</f>
        <v>24335.95</v>
      </c>
      <c r="F87" s="6">
        <f>(B87-MAX($B87:B$167))/MAX($B87:B$167)</f>
        <v>-7.1910075423396255E-5</v>
      </c>
      <c r="G87" s="3"/>
      <c r="I87" s="4">
        <f>MAX($C87:C$167)</f>
        <v>102.49779934211911</v>
      </c>
      <c r="J87" s="5">
        <f>(C87-MAX($C87:C$167))/MAX($C87:C$167)</f>
        <v>-7.1910075423264931E-5</v>
      </c>
    </row>
    <row r="88" spans="1:10" ht="14.25" customHeight="1" x14ac:dyDescent="0.3">
      <c r="A88" s="2">
        <v>45776</v>
      </c>
      <c r="B88" s="1">
        <v>24335.95</v>
      </c>
      <c r="C88" s="3">
        <f t="shared" si="2"/>
        <v>102.49779934211911</v>
      </c>
      <c r="D88" s="3"/>
      <c r="E88" s="4">
        <f>MAX($B88:B$167)</f>
        <v>24335.95</v>
      </c>
      <c r="F88" s="6">
        <f>(B88-MAX($B88:B$167))/MAX($B88:B$167)</f>
        <v>0</v>
      </c>
      <c r="G88" s="3"/>
      <c r="I88" s="4">
        <f>MAX($C88:C$167)</f>
        <v>102.49779934211911</v>
      </c>
      <c r="J88" s="5">
        <f>(C88-MAX($C88:C$167))/MAX($C88:C$167)</f>
        <v>0</v>
      </c>
    </row>
    <row r="89" spans="1:10" ht="14.25" customHeight="1" x14ac:dyDescent="0.3">
      <c r="A89" s="2">
        <v>45775</v>
      </c>
      <c r="B89" s="1">
        <v>24328.5</v>
      </c>
      <c r="C89" s="3">
        <f t="shared" si="2"/>
        <v>102.46642154075533</v>
      </c>
      <c r="D89" s="3"/>
      <c r="E89" s="4">
        <f>MAX($B89:B$167)</f>
        <v>24328.95</v>
      </c>
      <c r="F89" s="6">
        <f>(B89-MAX($B89:B$167))/MAX($B89:B$167)</f>
        <v>-1.8496482585591551E-5</v>
      </c>
      <c r="G89" s="3"/>
      <c r="I89" s="4">
        <f>MAX($C89:C$167)</f>
        <v>102.46831684419342</v>
      </c>
      <c r="J89" s="5">
        <f>(C89-MAX($C89:C$167))/MAX($C89:C$167)</f>
        <v>-1.8496482585654662E-5</v>
      </c>
    </row>
    <row r="90" spans="1:10" ht="14.25" customHeight="1" x14ac:dyDescent="0.3">
      <c r="A90" s="2">
        <v>45772</v>
      </c>
      <c r="B90" s="1">
        <v>24039.35</v>
      </c>
      <c r="C90" s="3">
        <f t="shared" si="2"/>
        <v>101.24858378715319</v>
      </c>
      <c r="D90" s="3"/>
      <c r="E90" s="4">
        <f>MAX($B90:B$167)</f>
        <v>24328.95</v>
      </c>
      <c r="F90" s="6">
        <f>(B90-MAX($B90:B$167))/MAX($B90:B$167)</f>
        <v>-1.1903514126174873E-2</v>
      </c>
      <c r="G90" s="3"/>
      <c r="I90" s="4">
        <f>MAX($C90:C$167)</f>
        <v>102.46831684419342</v>
      </c>
      <c r="J90" s="5">
        <f>(C90-MAX($C90:C$167))/MAX($C90:C$167)</f>
        <v>-1.1903514126174981E-2</v>
      </c>
    </row>
    <row r="91" spans="1:10" ht="14.25" customHeight="1" x14ac:dyDescent="0.3">
      <c r="A91" s="2">
        <v>45771</v>
      </c>
      <c r="B91" s="1">
        <v>24246.7</v>
      </c>
      <c r="C91" s="3">
        <f t="shared" si="2"/>
        <v>102.12189749356651</v>
      </c>
      <c r="D91" s="3"/>
      <c r="E91" s="4">
        <f>MAX($B91:B$167)</f>
        <v>24328.95</v>
      </c>
      <c r="F91" s="6">
        <f>(B91-MAX($B91:B$167))/MAX($B91:B$167)</f>
        <v>-3.3807459836943227E-3</v>
      </c>
      <c r="G91" s="3"/>
      <c r="I91" s="4">
        <f>MAX($C91:C$167)</f>
        <v>102.46831684419342</v>
      </c>
      <c r="J91" s="5">
        <f>(C91-MAX($C91:C$167))/MAX($C91:C$167)</f>
        <v>-3.3807459836942507E-3</v>
      </c>
    </row>
    <row r="92" spans="1:10" ht="14.25" customHeight="1" x14ac:dyDescent="0.3">
      <c r="A92" s="2">
        <v>45770</v>
      </c>
      <c r="B92" s="1">
        <v>24328.95</v>
      </c>
      <c r="C92" s="3">
        <f t="shared" si="2"/>
        <v>102.46831684419342</v>
      </c>
      <c r="D92" s="3"/>
      <c r="E92" s="4">
        <f>MAX($B92:B$167)</f>
        <v>24328.95</v>
      </c>
      <c r="F92" s="6">
        <f>(B92-MAX($B92:B$167))/MAX($B92:B$167)</f>
        <v>0</v>
      </c>
      <c r="G92" s="3"/>
      <c r="I92" s="4">
        <f>MAX($C92:C$167)</f>
        <v>102.46831684419342</v>
      </c>
      <c r="J92" s="5">
        <f>(C92-MAX($C92:C$167))/MAX($C92:C$167)</f>
        <v>0</v>
      </c>
    </row>
    <row r="93" spans="1:10" ht="14.25" customHeight="1" x14ac:dyDescent="0.3">
      <c r="A93" s="2">
        <v>45769</v>
      </c>
      <c r="B93" s="1">
        <v>24167.25</v>
      </c>
      <c r="C93" s="3">
        <f t="shared" si="2"/>
        <v>101.78727114210983</v>
      </c>
      <c r="D93" s="3"/>
      <c r="E93" s="4">
        <f>MAX($B93:B$167)</f>
        <v>24188.65</v>
      </c>
      <c r="F93" s="6">
        <f>(B93-MAX($B93:B$167))/MAX($B93:B$167)</f>
        <v>-8.8471245811574657E-4</v>
      </c>
      <c r="G93" s="3"/>
      <c r="I93" s="4">
        <f>MAX($C93:C$167)</f>
        <v>101.87740335005412</v>
      </c>
      <c r="J93" s="5">
        <f>(C93-MAX($C93:C$167))/MAX($C93:C$167)</f>
        <v>-8.8471245811591994E-4</v>
      </c>
    </row>
    <row r="94" spans="1:10" ht="14.25" customHeight="1" x14ac:dyDescent="0.3">
      <c r="A94" s="2">
        <v>45768</v>
      </c>
      <c r="B94" s="1">
        <v>24125.55</v>
      </c>
      <c r="C94" s="3">
        <f t="shared" si="2"/>
        <v>101.61163969018105</v>
      </c>
      <c r="D94" s="3"/>
      <c r="E94" s="4">
        <f>MAX($B94:B$167)</f>
        <v>24188.65</v>
      </c>
      <c r="F94" s="6">
        <f>(B94-MAX($B94:B$167))/MAX($B94:B$167)</f>
        <v>-2.6086615003318571E-3</v>
      </c>
      <c r="G94" s="3"/>
      <c r="I94" s="4">
        <f>MAX($C94:C$167)</f>
        <v>101.87740335005412</v>
      </c>
      <c r="J94" s="5">
        <f>(C94-MAX($C94:C$167))/MAX($C94:C$167)</f>
        <v>-2.6086615003319291E-3</v>
      </c>
    </row>
    <row r="95" spans="1:10" ht="14.25" customHeight="1" x14ac:dyDescent="0.3">
      <c r="A95" s="2">
        <v>45764</v>
      </c>
      <c r="B95" s="1">
        <v>23851.65</v>
      </c>
      <c r="C95" s="3">
        <f t="shared" si="2"/>
        <v>100.45803166420278</v>
      </c>
      <c r="D95" s="3"/>
      <c r="E95" s="4">
        <f>MAX($B95:B$167)</f>
        <v>24188.65</v>
      </c>
      <c r="F95" s="6">
        <f>(B95-MAX($B95:B$167))/MAX($B95:B$167)</f>
        <v>-1.3932154130139549E-2</v>
      </c>
      <c r="G95" s="3"/>
      <c r="I95" s="4">
        <f>MAX($C95:C$167)</f>
        <v>101.87740335005412</v>
      </c>
      <c r="J95" s="5">
        <f>(C95-MAX($C95:C$167))/MAX($C95:C$167)</f>
        <v>-1.3932154130139511E-2</v>
      </c>
    </row>
    <row r="96" spans="1:10" ht="14.25" customHeight="1" x14ac:dyDescent="0.3">
      <c r="A96" s="2">
        <v>45763</v>
      </c>
      <c r="B96" s="1">
        <v>23437.200000000001</v>
      </c>
      <c r="C96" s="3">
        <f t="shared" si="2"/>
        <v>98.712457197730686</v>
      </c>
      <c r="D96" s="3"/>
      <c r="E96" s="4">
        <f>MAX($B96:B$167)</f>
        <v>24188.65</v>
      </c>
      <c r="F96" s="6">
        <f>(B96-MAX($B96:B$167))/MAX($B96:B$167)</f>
        <v>-3.1066223207992207E-2</v>
      </c>
      <c r="G96" s="3"/>
      <c r="I96" s="4">
        <f>MAX($C96:C$167)</f>
        <v>101.87740335005412</v>
      </c>
      <c r="J96" s="5">
        <f>(C96-MAX($C96:C$167))/MAX($C96:C$167)</f>
        <v>-3.1066223207992242E-2</v>
      </c>
    </row>
    <row r="97" spans="1:10" ht="14.25" customHeight="1" x14ac:dyDescent="0.3">
      <c r="A97" s="2">
        <v>45762</v>
      </c>
      <c r="B97" s="1">
        <v>23328.55</v>
      </c>
      <c r="C97" s="3">
        <f t="shared" si="2"/>
        <v>98.254846712069693</v>
      </c>
      <c r="D97" s="3"/>
      <c r="E97" s="4">
        <f>MAX($B97:B$167)</f>
        <v>24188.65</v>
      </c>
      <c r="F97" s="6">
        <f>(B97-MAX($B97:B$167))/MAX($B97:B$167)</f>
        <v>-3.5557999309593635E-2</v>
      </c>
      <c r="G97" s="3"/>
      <c r="I97" s="4">
        <f>MAX($C97:C$167)</f>
        <v>101.87740335005412</v>
      </c>
      <c r="J97" s="5">
        <f>(C97-MAX($C97:C$167))/MAX($C97:C$167)</f>
        <v>-3.5557999309593774E-2</v>
      </c>
    </row>
    <row r="98" spans="1:10" ht="14.25" customHeight="1" x14ac:dyDescent="0.3">
      <c r="A98" s="2">
        <v>45758</v>
      </c>
      <c r="B98" s="1">
        <v>22828.55</v>
      </c>
      <c r="C98" s="3">
        <f t="shared" ref="C98:C129" si="3">B98/$B$167*100</f>
        <v>96.148954003091447</v>
      </c>
      <c r="D98" s="3"/>
      <c r="E98" s="4">
        <f>MAX($B98:B$167)</f>
        <v>24188.65</v>
      </c>
      <c r="F98" s="6">
        <f>(B98-MAX($B98:B$167))/MAX($B98:B$167)</f>
        <v>-5.6228851134726497E-2</v>
      </c>
      <c r="G98" s="3"/>
      <c r="I98" s="4">
        <f>MAX($C98:C$167)</f>
        <v>101.87740335005412</v>
      </c>
      <c r="J98" s="5">
        <f>(C98-MAX($C98:C$167))/MAX($C98:C$167)</f>
        <v>-5.6228851134726469E-2</v>
      </c>
    </row>
    <row r="99" spans="1:10" ht="14.25" customHeight="1" x14ac:dyDescent="0.3">
      <c r="A99" s="2">
        <v>45756</v>
      </c>
      <c r="B99" s="1">
        <v>22399.15</v>
      </c>
      <c r="C99" s="3">
        <f t="shared" si="3"/>
        <v>94.340413344620927</v>
      </c>
      <c r="D99" s="3"/>
      <c r="E99" s="4">
        <f>MAX($B99:B$167)</f>
        <v>24188.65</v>
      </c>
      <c r="F99" s="6">
        <f>(B99-MAX($B99:B$167))/MAX($B99:B$167)</f>
        <v>-7.3980978682150506E-2</v>
      </c>
      <c r="G99" s="3"/>
      <c r="I99" s="4">
        <f>MAX($C99:C$167)</f>
        <v>101.87740335005412</v>
      </c>
      <c r="J99" s="5">
        <f>(C99-MAX($C99:C$167))/MAX($C99:C$167)</f>
        <v>-7.398097868215045E-2</v>
      </c>
    </row>
    <row r="100" spans="1:10" ht="14.25" customHeight="1" x14ac:dyDescent="0.3">
      <c r="A100" s="2">
        <v>45755</v>
      </c>
      <c r="B100" s="1">
        <v>22535.85</v>
      </c>
      <c r="C100" s="3">
        <f t="shared" si="3"/>
        <v>94.916164411255565</v>
      </c>
      <c r="D100" s="3"/>
      <c r="E100" s="4">
        <f>MAX($B100:B$167)</f>
        <v>24188.65</v>
      </c>
      <c r="F100" s="6">
        <f>(B100-MAX($B100:B$167))/MAX($B100:B$167)</f>
        <v>-6.832956779315931E-2</v>
      </c>
      <c r="G100" s="3"/>
      <c r="I100" s="4">
        <f>MAX($C100:C$167)</f>
        <v>101.87740335005412</v>
      </c>
      <c r="J100" s="5">
        <f>(C100-MAX($C100:C$167))/MAX($C100:C$167)</f>
        <v>-6.832956779315931E-2</v>
      </c>
    </row>
    <row r="101" spans="1:10" ht="14.25" customHeight="1" x14ac:dyDescent="0.3">
      <c r="A101" s="2">
        <v>45754</v>
      </c>
      <c r="B101" s="1">
        <v>22161.599999999999</v>
      </c>
      <c r="C101" s="3">
        <f t="shared" si="3"/>
        <v>93.339903718585333</v>
      </c>
      <c r="D101" s="3"/>
      <c r="E101" s="4">
        <f>MAX($B101:B$167)</f>
        <v>24188.65</v>
      </c>
      <c r="F101" s="6">
        <f>(B101-MAX($B101:B$167))/MAX($B101:B$167)</f>
        <v>-8.3801700384271247E-2</v>
      </c>
      <c r="G101" s="3"/>
      <c r="I101" s="4">
        <f>MAX($C101:C$167)</f>
        <v>101.87740335005412</v>
      </c>
      <c r="J101" s="5">
        <f>(C101-MAX($C101:C$167))/MAX($C101:C$167)</f>
        <v>-8.3801700384271274E-2</v>
      </c>
    </row>
    <row r="102" spans="1:10" ht="14.25" customHeight="1" x14ac:dyDescent="0.3">
      <c r="A102" s="2">
        <v>45751</v>
      </c>
      <c r="B102" s="1">
        <v>22904.45</v>
      </c>
      <c r="C102" s="3">
        <f t="shared" si="3"/>
        <v>96.468628516314354</v>
      </c>
      <c r="D102" s="3"/>
      <c r="E102" s="4">
        <f>MAX($B102:B$167)</f>
        <v>24188.65</v>
      </c>
      <c r="F102" s="6">
        <f>(B102-MAX($B102:B$167))/MAX($B102:B$167)</f>
        <v>-5.309101582767127E-2</v>
      </c>
      <c r="G102" s="3"/>
      <c r="I102" s="4">
        <f>MAX($C102:C$167)</f>
        <v>101.87740335005412</v>
      </c>
      <c r="J102" s="5">
        <f>(C102-MAX($C102:C$167))/MAX($C102:C$167)</f>
        <v>-5.3091015827671235E-2</v>
      </c>
    </row>
    <row r="103" spans="1:10" ht="14.25" customHeight="1" x14ac:dyDescent="0.3">
      <c r="A103" s="2">
        <v>45750</v>
      </c>
      <c r="B103" s="1">
        <v>23250.1</v>
      </c>
      <c r="C103" s="3">
        <f t="shared" si="3"/>
        <v>97.924432146031009</v>
      </c>
      <c r="D103" s="3"/>
      <c r="E103" s="4">
        <f>MAX($B103:B$167)</f>
        <v>24188.65</v>
      </c>
      <c r="F103" s="6">
        <f>(B103-MAX($B103:B$167))/MAX($B103:B$167)</f>
        <v>-3.8801255960957015E-2</v>
      </c>
      <c r="G103" s="3"/>
      <c r="I103" s="4">
        <f>MAX($C103:C$167)</f>
        <v>101.87740335005412</v>
      </c>
      <c r="J103" s="5">
        <f>(C103-MAX($C103:C$167))/MAX($C103:C$167)</f>
        <v>-3.8801255960957064E-2</v>
      </c>
    </row>
    <row r="104" spans="1:10" ht="14.25" customHeight="1" x14ac:dyDescent="0.3">
      <c r="A104" s="2">
        <v>45749</v>
      </c>
      <c r="B104" s="1">
        <v>23332.35</v>
      </c>
      <c r="C104" s="3">
        <f t="shared" si="3"/>
        <v>98.27085149665794</v>
      </c>
      <c r="D104" s="3"/>
      <c r="E104" s="4">
        <f>MAX($B104:B$167)</f>
        <v>24188.65</v>
      </c>
      <c r="F104" s="6">
        <f>(B104-MAX($B104:B$167))/MAX($B104:B$167)</f>
        <v>-3.5400900835722657E-2</v>
      </c>
      <c r="G104" s="3"/>
      <c r="I104" s="4">
        <f>MAX($C104:C$167)</f>
        <v>101.87740335005412</v>
      </c>
      <c r="J104" s="5">
        <f>(C104-MAX($C104:C$167))/MAX($C104:C$167)</f>
        <v>-3.5400900835722643E-2</v>
      </c>
    </row>
    <row r="105" spans="1:10" ht="14.25" customHeight="1" x14ac:dyDescent="0.3">
      <c r="A105" s="2">
        <v>45748</v>
      </c>
      <c r="B105" s="1">
        <v>23165.7</v>
      </c>
      <c r="C105" s="3">
        <f t="shared" si="3"/>
        <v>97.568957456755484</v>
      </c>
      <c r="D105" s="3"/>
      <c r="E105" s="4">
        <f>MAX($B105:B$167)</f>
        <v>24188.65</v>
      </c>
      <c r="F105" s="6">
        <f>(B105-MAX($B105:B$167))/MAX($B105:B$167)</f>
        <v>-4.2290495749039349E-2</v>
      </c>
      <c r="G105" s="3"/>
      <c r="I105" s="4">
        <f>MAX($C105:C$167)</f>
        <v>101.87740335005412</v>
      </c>
      <c r="J105" s="5">
        <f>(C105-MAX($C105:C$167))/MAX($C105:C$167)</f>
        <v>-4.2290495749039432E-2</v>
      </c>
    </row>
    <row r="106" spans="1:10" ht="14.25" customHeight="1" x14ac:dyDescent="0.3">
      <c r="A106" s="2">
        <v>45744</v>
      </c>
      <c r="B106" s="1">
        <v>23519.35</v>
      </c>
      <c r="C106" s="3">
        <f t="shared" si="3"/>
        <v>99.058455369815803</v>
      </c>
      <c r="D106" s="3"/>
      <c r="E106" s="4">
        <f>MAX($B106:B$167)</f>
        <v>24188.65</v>
      </c>
      <c r="F106" s="6">
        <f>(B106-MAX($B106:B$167))/MAX($B106:B$167)</f>
        <v>-2.7670002253122966E-2</v>
      </c>
      <c r="G106" s="3"/>
      <c r="I106" s="4">
        <f>MAX($C106:C$167)</f>
        <v>101.87740335005412</v>
      </c>
      <c r="J106" s="5">
        <f>(C106-MAX($C106:C$167))/MAX($C106:C$167)</f>
        <v>-2.7670002253123022E-2</v>
      </c>
    </row>
    <row r="107" spans="1:10" ht="14.25" customHeight="1" x14ac:dyDescent="0.3">
      <c r="A107" s="2">
        <v>45743</v>
      </c>
      <c r="B107" s="1">
        <v>23591.95</v>
      </c>
      <c r="C107" s="3">
        <f t="shared" si="3"/>
        <v>99.364230991159459</v>
      </c>
      <c r="D107" s="3"/>
      <c r="E107" s="4">
        <f>MAX($B107:B$167)</f>
        <v>24188.65</v>
      </c>
      <c r="F107" s="6">
        <f>(B107-MAX($B107:B$167))/MAX($B107:B$167)</f>
        <v>-2.4668594568113586E-2</v>
      </c>
      <c r="G107" s="3"/>
      <c r="I107" s="4">
        <f>MAX($C107:C$167)</f>
        <v>101.87740335005412</v>
      </c>
      <c r="J107" s="5">
        <f>(C107-MAX($C107:C$167))/MAX($C107:C$167)</f>
        <v>-2.4668594568113607E-2</v>
      </c>
    </row>
    <row r="108" spans="1:10" ht="14.25" customHeight="1" x14ac:dyDescent="0.3">
      <c r="A108" s="2">
        <v>45742</v>
      </c>
      <c r="B108" s="1">
        <v>23486.85</v>
      </c>
      <c r="C108" s="3">
        <f t="shared" si="3"/>
        <v>98.921572343732223</v>
      </c>
      <c r="D108" s="3"/>
      <c r="E108" s="4">
        <f>MAX($B108:B$167)</f>
        <v>24188.65</v>
      </c>
      <c r="F108" s="6">
        <f>(B108-MAX($B108:B$167))/MAX($B108:B$167)</f>
        <v>-2.9013607621756605E-2</v>
      </c>
      <c r="G108" s="3"/>
      <c r="I108" s="4">
        <f>MAX($C108:C$167)</f>
        <v>101.87740335005412</v>
      </c>
      <c r="J108" s="5">
        <f>(C108-MAX($C108:C$167))/MAX($C108:C$167)</f>
        <v>-2.9013607621756594E-2</v>
      </c>
    </row>
    <row r="109" spans="1:10" ht="14.25" customHeight="1" x14ac:dyDescent="0.3">
      <c r="A109" s="2">
        <v>45741</v>
      </c>
      <c r="B109" s="1">
        <v>23668.65</v>
      </c>
      <c r="C109" s="3">
        <f t="shared" si="3"/>
        <v>99.687274932716733</v>
      </c>
      <c r="D109" s="3"/>
      <c r="E109" s="4">
        <f>MAX($B109:B$167)</f>
        <v>24188.65</v>
      </c>
      <c r="F109" s="6">
        <f>(B109-MAX($B109:B$167))/MAX($B109:B$167)</f>
        <v>-2.1497685898138174E-2</v>
      </c>
      <c r="G109" s="3"/>
      <c r="I109" s="4">
        <f>MAX($C109:C$167)</f>
        <v>101.87740335005412</v>
      </c>
      <c r="J109" s="5">
        <f>(C109-MAX($C109:C$167))/MAX($C109:C$167)</f>
        <v>-2.149768589813815E-2</v>
      </c>
    </row>
    <row r="110" spans="1:10" ht="14.25" customHeight="1" x14ac:dyDescent="0.3">
      <c r="A110" s="2">
        <v>45740</v>
      </c>
      <c r="B110" s="1">
        <v>23658.35</v>
      </c>
      <c r="C110" s="3">
        <f t="shared" si="3"/>
        <v>99.643893542911769</v>
      </c>
      <c r="D110" s="3"/>
      <c r="E110" s="4">
        <f>MAX($B110:B$167)</f>
        <v>24188.65</v>
      </c>
      <c r="F110" s="6">
        <f>(B110-MAX($B110:B$167))/MAX($B110:B$167)</f>
        <v>-2.1923505445736031E-2</v>
      </c>
      <c r="G110" s="3"/>
      <c r="I110" s="4">
        <f>MAX($C110:C$167)</f>
        <v>101.87740335005412</v>
      </c>
      <c r="J110" s="5">
        <f>(C110-MAX($C110:C$167))/MAX($C110:C$167)</f>
        <v>-2.1923505445736E-2</v>
      </c>
    </row>
    <row r="111" spans="1:10" ht="14.25" customHeight="1" x14ac:dyDescent="0.3">
      <c r="A111" s="2">
        <v>45737</v>
      </c>
      <c r="B111" s="1">
        <v>23350.400000000001</v>
      </c>
      <c r="C111" s="3">
        <f t="shared" si="3"/>
        <v>98.346874223452062</v>
      </c>
      <c r="D111" s="3"/>
      <c r="E111" s="4">
        <f>MAX($B111:B$167)</f>
        <v>24188.65</v>
      </c>
      <c r="F111" s="6">
        <f>(B111-MAX($B111:B$167))/MAX($B111:B$167)</f>
        <v>-3.4654683084835242E-2</v>
      </c>
      <c r="G111" s="3"/>
      <c r="I111" s="4">
        <f>MAX($C111:C$167)</f>
        <v>101.87740335005412</v>
      </c>
      <c r="J111" s="5">
        <f>(C111-MAX($C111:C$167))/MAX($C111:C$167)</f>
        <v>-3.4654683084835283E-2</v>
      </c>
    </row>
    <row r="112" spans="1:10" ht="14.25" customHeight="1" x14ac:dyDescent="0.3">
      <c r="A112" s="2">
        <v>45736</v>
      </c>
      <c r="B112" s="1">
        <v>23190.65</v>
      </c>
      <c r="C112" s="3">
        <f t="shared" si="3"/>
        <v>97.674041502933505</v>
      </c>
      <c r="D112" s="3"/>
      <c r="E112" s="4">
        <f>MAX($B112:B$167)</f>
        <v>24188.65</v>
      </c>
      <c r="F112" s="6">
        <f>(B112-MAX($B112:B$167))/MAX($B112:B$167)</f>
        <v>-4.125902024296519E-2</v>
      </c>
      <c r="G112" s="3"/>
      <c r="I112" s="4">
        <f>MAX($C112:C$167)</f>
        <v>101.87740335005412</v>
      </c>
      <c r="J112" s="5">
        <f>(C112-MAX($C112:C$167))/MAX($C112:C$167)</f>
        <v>-4.1259020242965246E-2</v>
      </c>
    </row>
    <row r="113" spans="1:10" ht="14.25" customHeight="1" x14ac:dyDescent="0.3">
      <c r="A113" s="2">
        <v>45735</v>
      </c>
      <c r="B113" s="1">
        <v>22907.599999999999</v>
      </c>
      <c r="C113" s="3">
        <f t="shared" si="3"/>
        <v>96.481895640380898</v>
      </c>
      <c r="D113" s="3"/>
      <c r="E113" s="4">
        <f>MAX($B113:B$167)</f>
        <v>24188.65</v>
      </c>
      <c r="F113" s="6">
        <f>(B113-MAX($B113:B$167))/MAX($B113:B$167)</f>
        <v>-5.2960789461173025E-2</v>
      </c>
      <c r="G113" s="3"/>
      <c r="I113" s="4">
        <f>MAX($C113:C$167)</f>
        <v>101.87740335005412</v>
      </c>
      <c r="J113" s="5">
        <f>(C113-MAX($C113:C$167))/MAX($C113:C$167)</f>
        <v>-5.296078946117308E-2</v>
      </c>
    </row>
    <row r="114" spans="1:10" ht="14.25" customHeight="1" x14ac:dyDescent="0.3">
      <c r="A114" s="2">
        <v>45734</v>
      </c>
      <c r="B114" s="1">
        <v>22834.3</v>
      </c>
      <c r="C114" s="3">
        <f t="shared" si="3"/>
        <v>96.173171769244689</v>
      </c>
      <c r="D114" s="3"/>
      <c r="E114" s="4">
        <f>MAX($B114:B$167)</f>
        <v>24188.65</v>
      </c>
      <c r="F114" s="6">
        <f>(B114-MAX($B114:B$167))/MAX($B114:B$167)</f>
        <v>-5.5991136338737472E-2</v>
      </c>
      <c r="G114" s="3"/>
      <c r="I114" s="4">
        <f>MAX($C114:C$167)</f>
        <v>101.87740335005412</v>
      </c>
      <c r="J114" s="5">
        <f>(C114-MAX($C114:C$167))/MAX($C114:C$167)</f>
        <v>-5.5991136338737514E-2</v>
      </c>
    </row>
    <row r="115" spans="1:10" ht="14.25" customHeight="1" x14ac:dyDescent="0.3">
      <c r="A115" s="2">
        <v>45733</v>
      </c>
      <c r="B115" s="1">
        <v>22508.75</v>
      </c>
      <c r="C115" s="3">
        <f t="shared" si="3"/>
        <v>94.80202502642895</v>
      </c>
      <c r="D115" s="3"/>
      <c r="E115" s="4">
        <f>MAX($B115:B$167)</f>
        <v>24188.65</v>
      </c>
      <c r="F115" s="6">
        <f>(B115-MAX($B115:B$167))/MAX($B115:B$167)</f>
        <v>-6.9449927962081451E-2</v>
      </c>
      <c r="G115" s="3"/>
      <c r="I115" s="4">
        <f>MAX($C115:C$167)</f>
        <v>101.87740335005412</v>
      </c>
      <c r="J115" s="5">
        <f>(C115-MAX($C115:C$167))/MAX($C115:C$167)</f>
        <v>-6.9449927962081437E-2</v>
      </c>
    </row>
    <row r="116" spans="1:10" ht="14.25" customHeight="1" x14ac:dyDescent="0.3">
      <c r="A116" s="2">
        <v>45729</v>
      </c>
      <c r="B116" s="1">
        <v>22397.200000000001</v>
      </c>
      <c r="C116" s="3">
        <f t="shared" si="3"/>
        <v>94.33220036305589</v>
      </c>
      <c r="D116" s="3"/>
      <c r="E116" s="4">
        <f>MAX($B116:B$167)</f>
        <v>24188.65</v>
      </c>
      <c r="F116" s="6">
        <f>(B116-MAX($B116:B$167))/MAX($B116:B$167)</f>
        <v>-7.4061595004268552E-2</v>
      </c>
      <c r="G116" s="3"/>
      <c r="I116" s="4">
        <f>MAX($C116:C$167)</f>
        <v>101.87740335005412</v>
      </c>
      <c r="J116" s="5">
        <f>(C116-MAX($C116:C$167))/MAX($C116:C$167)</f>
        <v>-7.4061595004268677E-2</v>
      </c>
    </row>
    <row r="117" spans="1:10" ht="14.25" customHeight="1" x14ac:dyDescent="0.3">
      <c r="A117" s="2">
        <v>45728</v>
      </c>
      <c r="B117" s="1">
        <v>22470.5</v>
      </c>
      <c r="C117" s="3">
        <f t="shared" si="3"/>
        <v>94.640924234192113</v>
      </c>
      <c r="D117" s="3"/>
      <c r="E117" s="4">
        <f>MAX($B117:B$167)</f>
        <v>24188.65</v>
      </c>
      <c r="F117" s="6">
        <f>(B117-MAX($B117:B$167))/MAX($B117:B$167)</f>
        <v>-7.1031248126704111E-2</v>
      </c>
      <c r="G117" s="3"/>
      <c r="I117" s="4">
        <f>MAX($C117:C$167)</f>
        <v>101.87740335005412</v>
      </c>
      <c r="J117" s="5">
        <f>(C117-MAX($C117:C$167))/MAX($C117:C$167)</f>
        <v>-7.1031248126704111E-2</v>
      </c>
    </row>
    <row r="118" spans="1:10" ht="14.25" customHeight="1" x14ac:dyDescent="0.3">
      <c r="A118" s="2">
        <v>45727</v>
      </c>
      <c r="B118" s="1">
        <v>22497.9</v>
      </c>
      <c r="C118" s="3">
        <f t="shared" si="3"/>
        <v>94.756327154644126</v>
      </c>
      <c r="D118" s="3"/>
      <c r="E118" s="4">
        <f>MAX($B118:B$167)</f>
        <v>24188.65</v>
      </c>
      <c r="F118" s="6">
        <f>(B118-MAX($B118:B$167))/MAX($B118:B$167)</f>
        <v>-6.9898485446686767E-2</v>
      </c>
      <c r="G118" s="3"/>
      <c r="I118" s="4">
        <f>MAX($C118:C$167)</f>
        <v>101.87740335005412</v>
      </c>
      <c r="J118" s="5">
        <f>(C118-MAX($C118:C$167))/MAX($C118:C$167)</f>
        <v>-6.9898485446686781E-2</v>
      </c>
    </row>
    <row r="119" spans="1:10" ht="14.25" customHeight="1" x14ac:dyDescent="0.3">
      <c r="A119" s="2">
        <v>45726</v>
      </c>
      <c r="B119" s="1">
        <v>22460.3</v>
      </c>
      <c r="C119" s="3">
        <f t="shared" si="3"/>
        <v>94.597964022928949</v>
      </c>
      <c r="D119" s="3"/>
      <c r="E119" s="4">
        <f>MAX($B119:B$167)</f>
        <v>24188.65</v>
      </c>
      <c r="F119" s="6">
        <f>(B119-MAX($B119:B$167))/MAX($B119:B$167)</f>
        <v>-7.1452933503936847E-2</v>
      </c>
      <c r="G119" s="3"/>
      <c r="I119" s="4">
        <f>MAX($C119:C$167)</f>
        <v>101.87740335005412</v>
      </c>
      <c r="J119" s="5">
        <f>(C119-MAX($C119:C$167))/MAX($C119:C$167)</f>
        <v>-7.1452933503936888E-2</v>
      </c>
    </row>
    <row r="120" spans="1:10" ht="14.25" customHeight="1" x14ac:dyDescent="0.3">
      <c r="A120" s="2">
        <v>45723</v>
      </c>
      <c r="B120" s="1">
        <v>22552.5</v>
      </c>
      <c r="C120" s="3">
        <f t="shared" si="3"/>
        <v>94.986290638464538</v>
      </c>
      <c r="D120" s="3"/>
      <c r="E120" s="4">
        <f>MAX($B120:B$167)</f>
        <v>24188.65</v>
      </c>
      <c r="F120" s="6">
        <f>(B120-MAX($B120:B$167))/MAX($B120:B$167)</f>
        <v>-6.7641228427382322E-2</v>
      </c>
      <c r="G120" s="3"/>
      <c r="I120" s="4">
        <f>MAX($C120:C$167)</f>
        <v>101.87740335005412</v>
      </c>
      <c r="J120" s="5">
        <f>(C120-MAX($C120:C$167))/MAX($C120:C$167)</f>
        <v>-6.7641228427382419E-2</v>
      </c>
    </row>
    <row r="121" spans="1:10" ht="14.25" customHeight="1" x14ac:dyDescent="0.3">
      <c r="A121" s="2">
        <v>45722</v>
      </c>
      <c r="B121" s="1">
        <v>22544.7</v>
      </c>
      <c r="C121" s="3">
        <f t="shared" si="3"/>
        <v>94.953438712204488</v>
      </c>
      <c r="D121" s="3"/>
      <c r="E121" s="4">
        <f>MAX($B121:B$167)</f>
        <v>24188.65</v>
      </c>
      <c r="F121" s="6">
        <f>(B121-MAX($B121:B$167))/MAX($B121:B$167)</f>
        <v>-6.7963693715854367E-2</v>
      </c>
      <c r="G121" s="3"/>
      <c r="I121" s="4">
        <f>MAX($C121:C$167)</f>
        <v>101.87740335005412</v>
      </c>
      <c r="J121" s="5">
        <f>(C121-MAX($C121:C$167))/MAX($C121:C$167)</f>
        <v>-6.7963693715854381E-2</v>
      </c>
    </row>
    <row r="122" spans="1:10" ht="14.25" customHeight="1" x14ac:dyDescent="0.3">
      <c r="A122" s="2">
        <v>45721</v>
      </c>
      <c r="B122" s="1">
        <v>22337.3</v>
      </c>
      <c r="C122" s="3">
        <f t="shared" si="3"/>
        <v>94.079914416520296</v>
      </c>
      <c r="D122" s="3"/>
      <c r="E122" s="4">
        <f>MAX($B122:B$167)</f>
        <v>24188.65</v>
      </c>
      <c r="F122" s="6">
        <f>(B122-MAX($B122:B$167))/MAX($B122:B$167)</f>
        <v>-7.653796305291953E-2</v>
      </c>
      <c r="G122" s="3"/>
      <c r="I122" s="4">
        <f>MAX($C122:C$167)</f>
        <v>101.87740335005412</v>
      </c>
      <c r="J122" s="5">
        <f>(C122-MAX($C122:C$167))/MAX($C122:C$167)</f>
        <v>-7.6537963052919572E-2</v>
      </c>
    </row>
    <row r="123" spans="1:10" ht="14.25" customHeight="1" x14ac:dyDescent="0.3">
      <c r="A123" s="2">
        <v>45720</v>
      </c>
      <c r="B123" s="1">
        <v>22082.65</v>
      </c>
      <c r="C123" s="3">
        <f t="shared" si="3"/>
        <v>93.007383259837681</v>
      </c>
      <c r="D123" s="3"/>
      <c r="E123" s="4">
        <f>MAX($B123:B$167)</f>
        <v>24188.65</v>
      </c>
      <c r="F123" s="6">
        <f>(B123-MAX($B123:B$167))/MAX($B123:B$167)</f>
        <v>-8.7065627887459612E-2</v>
      </c>
      <c r="G123" s="3"/>
      <c r="I123" s="4">
        <f>MAX($C123:C$167)</f>
        <v>101.87740335005412</v>
      </c>
      <c r="J123" s="5">
        <f>(C123-MAX($C123:C$167))/MAX($C123:C$167)</f>
        <v>-8.7065627887459598E-2</v>
      </c>
    </row>
    <row r="124" spans="1:10" ht="14.25" customHeight="1" x14ac:dyDescent="0.3">
      <c r="A124" s="2">
        <v>45719</v>
      </c>
      <c r="B124" s="1">
        <v>22119.3</v>
      </c>
      <c r="C124" s="3">
        <f t="shared" si="3"/>
        <v>93.161745195405771</v>
      </c>
      <c r="D124" s="3"/>
      <c r="E124" s="4">
        <f>MAX($B124:B$167)</f>
        <v>24188.65</v>
      </c>
      <c r="F124" s="6">
        <f>(B124-MAX($B124:B$167))/MAX($B124:B$167)</f>
        <v>-8.5550454448677454E-2</v>
      </c>
      <c r="G124" s="3"/>
      <c r="I124" s="4">
        <f>MAX($C124:C$167)</f>
        <v>101.87740335005412</v>
      </c>
      <c r="J124" s="5">
        <f>(C124-MAX($C124:C$167))/MAX($C124:C$167)</f>
        <v>-8.5550454448677524E-2</v>
      </c>
    </row>
    <row r="125" spans="1:10" ht="14.25" customHeight="1" x14ac:dyDescent="0.3">
      <c r="A125" s="2">
        <v>45716</v>
      </c>
      <c r="B125" s="1">
        <v>22124.7</v>
      </c>
      <c r="C125" s="3">
        <f t="shared" si="3"/>
        <v>93.184488836662752</v>
      </c>
      <c r="D125" s="3"/>
      <c r="E125" s="4">
        <f>MAX($B125:B$167)</f>
        <v>24188.65</v>
      </c>
      <c r="F125" s="6">
        <f>(B125-MAX($B125:B$167))/MAX($B125:B$167)</f>
        <v>-8.532720924896596E-2</v>
      </c>
      <c r="G125" s="3"/>
      <c r="I125" s="4">
        <f>MAX($C125:C$167)</f>
        <v>101.87740335005412</v>
      </c>
      <c r="J125" s="5">
        <f>(C125-MAX($C125:C$167))/MAX($C125:C$167)</f>
        <v>-8.5327209248965946E-2</v>
      </c>
    </row>
    <row r="126" spans="1:10" ht="14.25" customHeight="1" x14ac:dyDescent="0.3">
      <c r="A126" s="2">
        <v>45715</v>
      </c>
      <c r="B126" s="1">
        <v>22545.05</v>
      </c>
      <c r="C126" s="3">
        <f t="shared" si="3"/>
        <v>94.954912837100764</v>
      </c>
      <c r="D126" s="3"/>
      <c r="E126" s="4">
        <f>MAX($B126:B$167)</f>
        <v>24188.65</v>
      </c>
      <c r="F126" s="6">
        <f>(B126-MAX($B126:B$167))/MAX($B126:B$167)</f>
        <v>-6.7949224119576823E-2</v>
      </c>
      <c r="G126" s="3"/>
      <c r="I126" s="4">
        <f>MAX($C126:C$167)</f>
        <v>101.87740335005412</v>
      </c>
      <c r="J126" s="5">
        <f>(C126-MAX($C126:C$167))/MAX($C126:C$167)</f>
        <v>-6.7949224119576879E-2</v>
      </c>
    </row>
    <row r="127" spans="1:10" ht="14.25" customHeight="1" x14ac:dyDescent="0.3">
      <c r="A127" s="2">
        <v>45713</v>
      </c>
      <c r="B127" s="1">
        <v>22547.55</v>
      </c>
      <c r="C127" s="3">
        <f t="shared" si="3"/>
        <v>94.965442300645648</v>
      </c>
      <c r="D127" s="3"/>
      <c r="E127" s="4">
        <f>MAX($B127:B$167)</f>
        <v>24188.65</v>
      </c>
      <c r="F127" s="6">
        <f>(B127-MAX($B127:B$167))/MAX($B127:B$167)</f>
        <v>-6.7845869860451172E-2</v>
      </c>
      <c r="G127" s="3"/>
      <c r="I127" s="4">
        <f>MAX($C127:C$167)</f>
        <v>101.87740335005412</v>
      </c>
      <c r="J127" s="5">
        <f>(C127-MAX($C127:C$167))/MAX($C127:C$167)</f>
        <v>-6.7845869860451283E-2</v>
      </c>
    </row>
    <row r="128" spans="1:10" ht="14.25" customHeight="1" x14ac:dyDescent="0.3">
      <c r="A128" s="2">
        <v>45712</v>
      </c>
      <c r="B128" s="1">
        <v>22553.35</v>
      </c>
      <c r="C128" s="3">
        <f t="shared" si="3"/>
        <v>94.989870656069812</v>
      </c>
      <c r="D128" s="3"/>
      <c r="E128" s="4">
        <f>MAX($B128:B$167)</f>
        <v>24188.65</v>
      </c>
      <c r="F128" s="6">
        <f>(B128-MAX($B128:B$167))/MAX($B128:B$167)</f>
        <v>-6.7606087979279653E-2</v>
      </c>
      <c r="G128" s="3"/>
      <c r="I128" s="4">
        <f>MAX($C128:C$167)</f>
        <v>101.87740335005412</v>
      </c>
      <c r="J128" s="5">
        <f>(C128-MAX($C128:C$167))/MAX($C128:C$167)</f>
        <v>-6.7606087979279583E-2</v>
      </c>
    </row>
    <row r="129" spans="1:10" ht="14.25" customHeight="1" x14ac:dyDescent="0.3">
      <c r="A129" s="2">
        <v>45709</v>
      </c>
      <c r="B129" s="1">
        <v>22795.9</v>
      </c>
      <c r="C129" s="3">
        <f t="shared" si="3"/>
        <v>96.011439209195174</v>
      </c>
      <c r="D129" s="3"/>
      <c r="E129" s="4">
        <f>MAX($B129:B$167)</f>
        <v>24188.65</v>
      </c>
      <c r="F129" s="6">
        <f>(B129-MAX($B129:B$167))/MAX($B129:B$167)</f>
        <v>-5.7578657758907581E-2</v>
      </c>
      <c r="G129" s="3"/>
      <c r="I129" s="4">
        <f>MAX($C129:C$167)</f>
        <v>101.87740335005412</v>
      </c>
      <c r="J129" s="5">
        <f>(C129-MAX($C129:C$167))/MAX($C129:C$167)</f>
        <v>-5.7578657758907567E-2</v>
      </c>
    </row>
    <row r="130" spans="1:10" ht="14.25" customHeight="1" x14ac:dyDescent="0.3">
      <c r="A130" s="2">
        <v>45708</v>
      </c>
      <c r="B130" s="1">
        <v>22913.15</v>
      </c>
      <c r="C130" s="3">
        <f t="shared" ref="C130:C161" si="4">B130/$B$167*100</f>
        <v>96.50527104945057</v>
      </c>
      <c r="D130" s="3"/>
      <c r="E130" s="4">
        <f>MAX($B130:B$167)</f>
        <v>24188.65</v>
      </c>
      <c r="F130" s="6">
        <f>(B130-MAX($B130:B$167))/MAX($B130:B$167)</f>
        <v>-5.2731343005913929E-2</v>
      </c>
      <c r="G130" s="3"/>
      <c r="I130" s="4">
        <f>MAX($C130:C$167)</f>
        <v>101.87740335005412</v>
      </c>
      <c r="J130" s="5">
        <f>(C130-MAX($C130:C$167))/MAX($C130:C$167)</f>
        <v>-5.2731343005913971E-2</v>
      </c>
    </row>
    <row r="131" spans="1:10" ht="14.25" customHeight="1" x14ac:dyDescent="0.3">
      <c r="A131" s="2">
        <v>45707</v>
      </c>
      <c r="B131" s="1">
        <v>22932.9</v>
      </c>
      <c r="C131" s="3">
        <f t="shared" si="4"/>
        <v>96.58845381145521</v>
      </c>
      <c r="D131" s="3"/>
      <c r="E131" s="4">
        <f>MAX($B131:B$167)</f>
        <v>24188.65</v>
      </c>
      <c r="F131" s="6">
        <f>(B131-MAX($B131:B$167))/MAX($B131:B$167)</f>
        <v>-5.1914844358821183E-2</v>
      </c>
      <c r="G131" s="3"/>
      <c r="I131" s="4">
        <f>MAX($C131:C$167)</f>
        <v>101.87740335005412</v>
      </c>
      <c r="J131" s="5">
        <f>(C131-MAX($C131:C$167))/MAX($C131:C$167)</f>
        <v>-5.1914844358821238E-2</v>
      </c>
    </row>
    <row r="132" spans="1:10" ht="14.25" customHeight="1" x14ac:dyDescent="0.3">
      <c r="A132" s="2">
        <v>45706</v>
      </c>
      <c r="B132" s="1">
        <v>22945.3</v>
      </c>
      <c r="C132" s="3">
        <f t="shared" si="4"/>
        <v>96.64067995063786</v>
      </c>
      <c r="D132" s="3"/>
      <c r="E132" s="4">
        <f>MAX($B132:B$167)</f>
        <v>24188.65</v>
      </c>
      <c r="F132" s="6">
        <f>(B132-MAX($B132:B$167))/MAX($B132:B$167)</f>
        <v>-5.1402207233557977E-2</v>
      </c>
      <c r="G132" s="3"/>
      <c r="I132" s="4">
        <f>MAX($C132:C$167)</f>
        <v>101.87740335005412</v>
      </c>
      <c r="J132" s="5">
        <f>(C132-MAX($C132:C$167))/MAX($C132:C$167)</f>
        <v>-5.1402207233558053E-2</v>
      </c>
    </row>
    <row r="133" spans="1:10" ht="14.25" customHeight="1" x14ac:dyDescent="0.3">
      <c r="A133" s="2">
        <v>45705</v>
      </c>
      <c r="B133" s="1">
        <v>22959.5</v>
      </c>
      <c r="C133" s="3">
        <f t="shared" si="4"/>
        <v>96.700487303572842</v>
      </c>
      <c r="D133" s="3"/>
      <c r="E133" s="4">
        <f>MAX($B133:B$167)</f>
        <v>24188.65</v>
      </c>
      <c r="F133" s="6">
        <f>(B133-MAX($B133:B$167))/MAX($B133:B$167)</f>
        <v>-5.0815155041724173E-2</v>
      </c>
      <c r="G133" s="3"/>
      <c r="I133" s="4">
        <f>MAX($C133:C$167)</f>
        <v>101.87740335005412</v>
      </c>
      <c r="J133" s="5">
        <f>(C133-MAX($C133:C$167))/MAX($C133:C$167)</f>
        <v>-5.0815155041724284E-2</v>
      </c>
    </row>
    <row r="134" spans="1:10" ht="14.25" customHeight="1" x14ac:dyDescent="0.3">
      <c r="A134" s="2">
        <v>45702</v>
      </c>
      <c r="B134" s="1">
        <v>22929.25</v>
      </c>
      <c r="C134" s="3">
        <f t="shared" si="4"/>
        <v>96.573080794679669</v>
      </c>
      <c r="D134" s="3"/>
      <c r="E134" s="4">
        <f>MAX($B134:B$167)</f>
        <v>24188.65</v>
      </c>
      <c r="F134" s="6">
        <f>(B134-MAX($B134:B$167))/MAX($B134:B$167)</f>
        <v>-5.2065741577144713E-2</v>
      </c>
      <c r="G134" s="3"/>
      <c r="I134" s="4">
        <f>MAX($C134:C$167)</f>
        <v>101.87740335005412</v>
      </c>
      <c r="J134" s="5">
        <f>(C134-MAX($C134:C$167))/MAX($C134:C$167)</f>
        <v>-5.2065741577144713E-2</v>
      </c>
    </row>
    <row r="135" spans="1:10" ht="14.25" customHeight="1" x14ac:dyDescent="0.3">
      <c r="A135" s="2">
        <v>45701</v>
      </c>
      <c r="B135" s="1">
        <v>23031.4</v>
      </c>
      <c r="C135" s="3">
        <f t="shared" si="4"/>
        <v>97.003314675123931</v>
      </c>
      <c r="D135" s="3"/>
      <c r="E135" s="4">
        <f>MAX($B135:B$167)</f>
        <v>24188.65</v>
      </c>
      <c r="F135" s="6">
        <f>(B135-MAX($B135:B$167))/MAX($B135:B$167)</f>
        <v>-4.7842686549270007E-2</v>
      </c>
      <c r="G135" s="3"/>
      <c r="I135" s="4">
        <f>MAX($C135:C$167)</f>
        <v>101.87740335005412</v>
      </c>
      <c r="J135" s="5">
        <f>(C135-MAX($C135:C$167))/MAX($C135:C$167)</f>
        <v>-4.7842686549270035E-2</v>
      </c>
    </row>
    <row r="136" spans="1:10" ht="14.25" customHeight="1" x14ac:dyDescent="0.3">
      <c r="A136" s="2">
        <v>45700</v>
      </c>
      <c r="B136" s="1">
        <v>23045.25</v>
      </c>
      <c r="C136" s="3">
        <f t="shared" si="4"/>
        <v>97.061647903162623</v>
      </c>
      <c r="D136" s="3"/>
      <c r="E136" s="4">
        <f>MAX($B136:B$167)</f>
        <v>24188.65</v>
      </c>
      <c r="F136" s="6">
        <f>(B136-MAX($B136:B$167))/MAX($B136:B$167)</f>
        <v>-4.7270103953713886E-2</v>
      </c>
      <c r="G136" s="3"/>
      <c r="I136" s="4">
        <f>MAX($C136:C$167)</f>
        <v>101.87740335005412</v>
      </c>
      <c r="J136" s="5">
        <f>(C136-MAX($C136:C$167))/MAX($C136:C$167)</f>
        <v>-4.7270103953713914E-2</v>
      </c>
    </row>
    <row r="137" spans="1:10" ht="14.25" customHeight="1" x14ac:dyDescent="0.3">
      <c r="A137" s="2">
        <v>45699</v>
      </c>
      <c r="B137" s="1">
        <v>23071.8</v>
      </c>
      <c r="C137" s="3">
        <f t="shared" si="4"/>
        <v>97.173470806009362</v>
      </c>
      <c r="D137" s="3"/>
      <c r="E137" s="4">
        <f>MAX($B137:B$167)</f>
        <v>24188.65</v>
      </c>
      <c r="F137" s="6">
        <f>(B137-MAX($B137:B$167))/MAX($B137:B$167)</f>
        <v>-4.6172481721799358E-2</v>
      </c>
      <c r="G137" s="3"/>
      <c r="I137" s="4">
        <f>MAX($C137:C$167)</f>
        <v>101.87740335005412</v>
      </c>
      <c r="J137" s="5">
        <f>(C137-MAX($C137:C$167))/MAX($C137:C$167)</f>
        <v>-4.617248172179942E-2</v>
      </c>
    </row>
    <row r="138" spans="1:10" ht="14.25" customHeight="1" x14ac:dyDescent="0.3">
      <c r="A138" s="2">
        <v>45698</v>
      </c>
      <c r="B138" s="1">
        <v>23381.599999999999</v>
      </c>
      <c r="C138" s="3">
        <f t="shared" si="4"/>
        <v>98.478281928492294</v>
      </c>
      <c r="D138" s="3"/>
      <c r="E138" s="4">
        <f>MAX($B138:B$167)</f>
        <v>24188.65</v>
      </c>
      <c r="F138" s="6">
        <f>(B138-MAX($B138:B$167))/MAX($B138:B$167)</f>
        <v>-3.3364821930947072E-2</v>
      </c>
      <c r="G138" s="3"/>
      <c r="I138" s="4">
        <f>MAX($C138:C$167)</f>
        <v>101.87740335005412</v>
      </c>
      <c r="J138" s="5">
        <f>(C138-MAX($C138:C$167))/MAX($C138:C$167)</f>
        <v>-3.3364821930947107E-2</v>
      </c>
    </row>
    <row r="139" spans="1:10" ht="14.25" customHeight="1" x14ac:dyDescent="0.3">
      <c r="A139" s="2">
        <v>45695</v>
      </c>
      <c r="B139" s="1">
        <v>23559.95</v>
      </c>
      <c r="C139" s="3">
        <f t="shared" si="4"/>
        <v>99.229453857784861</v>
      </c>
      <c r="D139" s="3"/>
      <c r="E139" s="4">
        <f>MAX($B139:B$167)</f>
        <v>24188.65</v>
      </c>
      <c r="F139" s="6">
        <f>(B139-MAX($B139:B$167))/MAX($B139:B$167)</f>
        <v>-2.599152908492209E-2</v>
      </c>
      <c r="G139" s="3"/>
      <c r="I139" s="4">
        <f>MAX($C139:C$167)</f>
        <v>101.87740335005412</v>
      </c>
      <c r="J139" s="5">
        <f>(C139-MAX($C139:C$167))/MAX($C139:C$167)</f>
        <v>-2.5991529084922006E-2</v>
      </c>
    </row>
    <row r="140" spans="1:10" ht="14.25" customHeight="1" x14ac:dyDescent="0.3">
      <c r="A140" s="2">
        <v>45694</v>
      </c>
      <c r="B140" s="1">
        <v>23603.35</v>
      </c>
      <c r="C140" s="3">
        <f t="shared" si="4"/>
        <v>99.412245344924159</v>
      </c>
      <c r="D140" s="3"/>
      <c r="E140" s="4">
        <f>MAX($B140:B$167)</f>
        <v>24188.65</v>
      </c>
      <c r="F140" s="6">
        <f>(B140-MAX($B140:B$167))/MAX($B140:B$167)</f>
        <v>-2.4197299146500647E-2</v>
      </c>
      <c r="G140" s="3"/>
      <c r="I140" s="4">
        <f>MAX($C140:C$167)</f>
        <v>101.87740335005412</v>
      </c>
      <c r="J140" s="5">
        <f>(C140-MAX($C140:C$167))/MAX($C140:C$167)</f>
        <v>-2.4197299146500626E-2</v>
      </c>
    </row>
    <row r="141" spans="1:10" ht="14.25" customHeight="1" x14ac:dyDescent="0.3">
      <c r="A141" s="2">
        <v>45693</v>
      </c>
      <c r="B141" s="1">
        <v>23696.3</v>
      </c>
      <c r="C141" s="3">
        <f t="shared" si="4"/>
        <v>99.803730799523223</v>
      </c>
      <c r="D141" s="3"/>
      <c r="E141" s="4">
        <f>MAX($B141:B$167)</f>
        <v>24188.65</v>
      </c>
      <c r="F141" s="6">
        <f>(B141-MAX($B141:B$167))/MAX($B141:B$167)</f>
        <v>-2.0354587792208417E-2</v>
      </c>
      <c r="G141" s="3"/>
      <c r="I141" s="4">
        <f>MAX($C141:C$167)</f>
        <v>101.87740335005412</v>
      </c>
      <c r="J141" s="5">
        <f>(C141-MAX($C141:C$167))/MAX($C141:C$167)</f>
        <v>-2.0354587792208383E-2</v>
      </c>
    </row>
    <row r="142" spans="1:10" ht="14.25" customHeight="1" x14ac:dyDescent="0.3">
      <c r="A142" s="2">
        <v>45692</v>
      </c>
      <c r="B142" s="1">
        <v>23739.25</v>
      </c>
      <c r="C142" s="3">
        <f t="shared" si="4"/>
        <v>99.984626983224459</v>
      </c>
      <c r="D142" s="3"/>
      <c r="E142" s="4">
        <f>MAX($B142:B$167)</f>
        <v>24188.65</v>
      </c>
      <c r="F142" s="6">
        <f>(B142-MAX($B142:B$167))/MAX($B142:B$167)</f>
        <v>-1.8578961620429477E-2</v>
      </c>
      <c r="G142" s="3"/>
      <c r="I142" s="4">
        <f>MAX($C142:C$167)</f>
        <v>101.87740335005412</v>
      </c>
      <c r="J142" s="5">
        <f>(C142-MAX($C142:C$167))/MAX($C142:C$167)</f>
        <v>-1.8578961620429435E-2</v>
      </c>
    </row>
    <row r="143" spans="1:10" ht="14.25" customHeight="1" x14ac:dyDescent="0.3">
      <c r="A143" s="2">
        <v>45691</v>
      </c>
      <c r="B143" s="1">
        <v>23361.05</v>
      </c>
      <c r="C143" s="3">
        <f t="shared" si="4"/>
        <v>98.391729738153288</v>
      </c>
      <c r="D143" s="3"/>
      <c r="E143" s="4">
        <f>MAX($B143:B$167)</f>
        <v>24188.65</v>
      </c>
      <c r="F143" s="6">
        <f>(B143-MAX($B143:B$167))/MAX($B143:B$167)</f>
        <v>-3.421439394096E-2</v>
      </c>
      <c r="G143" s="3"/>
      <c r="I143" s="4">
        <f>MAX($C143:C$167)</f>
        <v>101.87740335005412</v>
      </c>
      <c r="J143" s="5">
        <f>(C143-MAX($C143:C$167))/MAX($C143:C$167)</f>
        <v>-3.4214393940960063E-2</v>
      </c>
    </row>
    <row r="144" spans="1:10" ht="14.25" customHeight="1" x14ac:dyDescent="0.3">
      <c r="A144" s="2">
        <v>45689</v>
      </c>
      <c r="B144" s="1">
        <v>23482.15</v>
      </c>
      <c r="C144" s="3">
        <f t="shared" si="4"/>
        <v>98.901776952267838</v>
      </c>
      <c r="D144" s="3"/>
      <c r="E144" s="4">
        <f>MAX($B144:B$167)</f>
        <v>24188.65</v>
      </c>
      <c r="F144" s="6">
        <f>(B144-MAX($B144:B$167))/MAX($B144:B$167)</f>
        <v>-2.9207913628912733E-2</v>
      </c>
      <c r="G144" s="3"/>
      <c r="I144" s="4">
        <f>MAX($C144:C$167)</f>
        <v>101.87740335005412</v>
      </c>
      <c r="J144" s="5">
        <f>(C144-MAX($C144:C$167))/MAX($C144:C$167)</f>
        <v>-2.9207913628912736E-2</v>
      </c>
    </row>
    <row r="145" spans="1:10" ht="14.25" customHeight="1" x14ac:dyDescent="0.3">
      <c r="A145" s="2">
        <v>45688</v>
      </c>
      <c r="B145" s="1">
        <v>23508.400000000001</v>
      </c>
      <c r="C145" s="3">
        <f t="shared" si="4"/>
        <v>99.012336319489194</v>
      </c>
      <c r="D145" s="3"/>
      <c r="E145" s="4">
        <f>MAX($B145:B$167)</f>
        <v>24188.65</v>
      </c>
      <c r="F145" s="6">
        <f>(B145-MAX($B145:B$167))/MAX($B145:B$167)</f>
        <v>-2.8122693908093258E-2</v>
      </c>
      <c r="G145" s="3"/>
      <c r="I145" s="4">
        <f>MAX($C145:C$167)</f>
        <v>101.87740335005412</v>
      </c>
      <c r="J145" s="5">
        <f>(C145-MAX($C145:C$167))/MAX($C145:C$167)</f>
        <v>-2.8122693908093289E-2</v>
      </c>
    </row>
    <row r="146" spans="1:10" ht="14.25" customHeight="1" x14ac:dyDescent="0.3">
      <c r="A146" s="2">
        <v>45687</v>
      </c>
      <c r="B146" s="1">
        <v>23249.5</v>
      </c>
      <c r="C146" s="3">
        <f t="shared" si="4"/>
        <v>97.921905074780241</v>
      </c>
      <c r="D146" s="3"/>
      <c r="E146" s="4">
        <f>MAX($B146:B$167)</f>
        <v>24188.65</v>
      </c>
      <c r="F146" s="6">
        <f>(B146-MAX($B146:B$167))/MAX($B146:B$167)</f>
        <v>-3.8826060983147115E-2</v>
      </c>
      <c r="G146" s="3"/>
      <c r="I146" s="4">
        <f>MAX($C146:C$167)</f>
        <v>101.87740335005412</v>
      </c>
      <c r="J146" s="5">
        <f>(C146-MAX($C146:C$167))/MAX($C146:C$167)</f>
        <v>-3.8826060983147163E-2</v>
      </c>
    </row>
    <row r="147" spans="1:10" ht="14.25" customHeight="1" x14ac:dyDescent="0.3">
      <c r="A147" s="2">
        <v>45686</v>
      </c>
      <c r="B147" s="1">
        <v>23163.1</v>
      </c>
      <c r="C147" s="3">
        <f t="shared" si="4"/>
        <v>97.558006814668801</v>
      </c>
      <c r="D147" s="3"/>
      <c r="E147" s="4">
        <f>MAX($B147:B$167)</f>
        <v>24188.65</v>
      </c>
      <c r="F147" s="6">
        <f>(B147-MAX($B147:B$167))/MAX($B147:B$167)</f>
        <v>-4.2397984178530128E-2</v>
      </c>
      <c r="G147" s="3"/>
      <c r="I147" s="4">
        <f>MAX($C147:C$167)</f>
        <v>101.87740335005412</v>
      </c>
      <c r="J147" s="5">
        <f>(C147-MAX($C147:C$167))/MAX($C147:C$167)</f>
        <v>-4.2397984178530086E-2</v>
      </c>
    </row>
    <row r="148" spans="1:10" ht="14.25" customHeight="1" x14ac:dyDescent="0.3">
      <c r="A148" s="2">
        <v>45685</v>
      </c>
      <c r="B148" s="1">
        <v>22957.25</v>
      </c>
      <c r="C148" s="3">
        <f t="shared" si="4"/>
        <v>96.691010786382449</v>
      </c>
      <c r="D148" s="3"/>
      <c r="E148" s="4">
        <f>MAX($B148:B$167)</f>
        <v>24188.65</v>
      </c>
      <c r="F148" s="6">
        <f>(B148-MAX($B148:B$167))/MAX($B148:B$167)</f>
        <v>-5.0908173874937269E-2</v>
      </c>
      <c r="G148" s="3"/>
      <c r="I148" s="4">
        <f>MAX($C148:C$167)</f>
        <v>101.87740335005412</v>
      </c>
      <c r="J148" s="5">
        <f>(C148-MAX($C148:C$167))/MAX($C148:C$167)</f>
        <v>-5.090817387493729E-2</v>
      </c>
    </row>
    <row r="149" spans="1:10" ht="14.25" customHeight="1" x14ac:dyDescent="0.3">
      <c r="A149" s="2">
        <v>45684</v>
      </c>
      <c r="B149" s="1">
        <v>22829.15</v>
      </c>
      <c r="C149" s="3">
        <f t="shared" si="4"/>
        <v>96.151481074342229</v>
      </c>
      <c r="D149" s="3"/>
      <c r="E149" s="4">
        <f>MAX($B149:B$167)</f>
        <v>24188.65</v>
      </c>
      <c r="F149" s="6">
        <f>(B149-MAX($B149:B$167))/MAX($B149:B$167)</f>
        <v>-5.6204046112536245E-2</v>
      </c>
      <c r="G149" s="3"/>
      <c r="I149" s="4">
        <f>MAX($C149:C$167)</f>
        <v>101.87740335005412</v>
      </c>
      <c r="J149" s="5">
        <f>(C149-MAX($C149:C$167))/MAX($C149:C$167)</f>
        <v>-5.6204046112536231E-2</v>
      </c>
    </row>
    <row r="150" spans="1:10" ht="14.25" customHeight="1" x14ac:dyDescent="0.3">
      <c r="A150" s="2">
        <v>45681</v>
      </c>
      <c r="B150" s="1">
        <v>23092.2</v>
      </c>
      <c r="C150" s="3">
        <f t="shared" si="4"/>
        <v>97.259391228535691</v>
      </c>
      <c r="D150" s="3"/>
      <c r="E150" s="4">
        <f>MAX($B150:B$167)</f>
        <v>24188.65</v>
      </c>
      <c r="F150" s="6">
        <f>(B150-MAX($B150:B$167))/MAX($B150:B$167)</f>
        <v>-4.5329110967333879E-2</v>
      </c>
      <c r="G150" s="3"/>
      <c r="I150" s="4">
        <f>MAX($C150:C$167)</f>
        <v>101.87740335005412</v>
      </c>
      <c r="J150" s="5">
        <f>(C150-MAX($C150:C$167))/MAX($C150:C$167)</f>
        <v>-4.5329110967333851E-2</v>
      </c>
    </row>
    <row r="151" spans="1:10" ht="14.25" customHeight="1" x14ac:dyDescent="0.3">
      <c r="A151" s="2">
        <v>45680</v>
      </c>
      <c r="B151" s="1">
        <v>23205.35</v>
      </c>
      <c r="C151" s="3">
        <f t="shared" si="4"/>
        <v>97.735954748577456</v>
      </c>
      <c r="D151" s="3"/>
      <c r="E151" s="4">
        <f>MAX($B151:B$167)</f>
        <v>24188.65</v>
      </c>
      <c r="F151" s="6">
        <f>(B151-MAX($B151:B$167))/MAX($B151:B$167)</f>
        <v>-4.0651297199306401E-2</v>
      </c>
      <c r="G151" s="3"/>
      <c r="I151" s="4">
        <f>MAX($C151:C$167)</f>
        <v>101.87740335005412</v>
      </c>
      <c r="J151" s="5">
        <f>(C151-MAX($C151:C$167))/MAX($C151:C$167)</f>
        <v>-4.0651297199306442E-2</v>
      </c>
    </row>
    <row r="152" spans="1:10" ht="14.25" customHeight="1" x14ac:dyDescent="0.3">
      <c r="A152" s="2">
        <v>45679</v>
      </c>
      <c r="B152" s="1">
        <v>23155.35</v>
      </c>
      <c r="C152" s="3">
        <f t="shared" si="4"/>
        <v>97.525365477679628</v>
      </c>
      <c r="D152" s="3"/>
      <c r="E152" s="4">
        <f>MAX($B152:B$167)</f>
        <v>24188.65</v>
      </c>
      <c r="F152" s="6">
        <f>(B152-MAX($B152:B$167))/MAX($B152:B$167)</f>
        <v>-4.2718382381819693E-2</v>
      </c>
      <c r="G152" s="3"/>
      <c r="I152" s="4">
        <f>MAX($C152:C$167)</f>
        <v>101.87740335005412</v>
      </c>
      <c r="J152" s="5">
        <f>(C152-MAX($C152:C$167))/MAX($C152:C$167)</f>
        <v>-4.2718382381819742E-2</v>
      </c>
    </row>
    <row r="153" spans="1:10" ht="14.25" customHeight="1" x14ac:dyDescent="0.3">
      <c r="A153" s="2">
        <v>45678</v>
      </c>
      <c r="B153" s="1">
        <v>23024.65</v>
      </c>
      <c r="C153" s="3">
        <f t="shared" si="4"/>
        <v>96.974885123552724</v>
      </c>
      <c r="D153" s="3"/>
      <c r="E153" s="4">
        <f>MAX($B153:B$167)</f>
        <v>24188.65</v>
      </c>
      <c r="F153" s="6">
        <f>(B153-MAX($B153:B$167))/MAX($B153:B$167)</f>
        <v>-4.8121743048909302E-2</v>
      </c>
      <c r="G153" s="3"/>
      <c r="I153" s="4">
        <f>MAX($C153:C$167)</f>
        <v>101.87740335005412</v>
      </c>
      <c r="J153" s="5">
        <f>(C153-MAX($C153:C$167))/MAX($C153:C$167)</f>
        <v>-4.8121743048909336E-2</v>
      </c>
    </row>
    <row r="154" spans="1:10" ht="14.25" customHeight="1" x14ac:dyDescent="0.3">
      <c r="A154" s="2">
        <v>45677</v>
      </c>
      <c r="B154" s="1">
        <v>23344.75</v>
      </c>
      <c r="C154" s="3">
        <f t="shared" si="4"/>
        <v>98.323077635840605</v>
      </c>
      <c r="D154" s="3"/>
      <c r="E154" s="4">
        <f>MAX($B154:B$167)</f>
        <v>24188.65</v>
      </c>
      <c r="F154" s="6">
        <f>(B154-MAX($B154:B$167))/MAX($B154:B$167)</f>
        <v>-3.4888263710459305E-2</v>
      </c>
      <c r="G154" s="3"/>
      <c r="I154" s="4">
        <f>MAX($C154:C$167)</f>
        <v>101.87740335005412</v>
      </c>
      <c r="J154" s="5">
        <f>(C154-MAX($C154:C$167))/MAX($C154:C$167)</f>
        <v>-3.4888263710459312E-2</v>
      </c>
    </row>
    <row r="155" spans="1:10" ht="14.25" customHeight="1" x14ac:dyDescent="0.3">
      <c r="A155" s="2">
        <v>45674</v>
      </c>
      <c r="B155" s="1">
        <v>23203.200000000001</v>
      </c>
      <c r="C155" s="3">
        <f t="shared" si="4"/>
        <v>97.726899409928862</v>
      </c>
      <c r="D155" s="3"/>
      <c r="E155" s="4">
        <f>MAX($B155:B$167)</f>
        <v>24188.65</v>
      </c>
      <c r="F155" s="6">
        <f>(B155-MAX($B155:B$167))/MAX($B155:B$167)</f>
        <v>-4.0740181862154383E-2</v>
      </c>
      <c r="G155" s="3"/>
      <c r="I155" s="4">
        <f>MAX($C155:C$167)</f>
        <v>101.87740335005412</v>
      </c>
      <c r="J155" s="5">
        <f>(C155-MAX($C155:C$167))/MAX($C155:C$167)</f>
        <v>-4.074018186215439E-2</v>
      </c>
    </row>
    <row r="156" spans="1:10" ht="14.25" customHeight="1" x14ac:dyDescent="0.3">
      <c r="A156" s="2">
        <v>45673</v>
      </c>
      <c r="B156" s="1">
        <v>23311.8</v>
      </c>
      <c r="C156" s="3">
        <f t="shared" si="4"/>
        <v>98.184299306318934</v>
      </c>
      <c r="D156" s="3"/>
      <c r="E156" s="4">
        <f>MAX($B156:B$167)</f>
        <v>24188.65</v>
      </c>
      <c r="F156" s="6">
        <f>(B156-MAX($B156:B$167))/MAX($B156:B$167)</f>
        <v>-3.6250472845735585E-2</v>
      </c>
      <c r="G156" s="3"/>
      <c r="I156" s="4">
        <f>MAX($C156:C$167)</f>
        <v>101.87740335005412</v>
      </c>
      <c r="J156" s="5">
        <f>(C156-MAX($C156:C$167))/MAX($C156:C$167)</f>
        <v>-3.6250472845735598E-2</v>
      </c>
    </row>
    <row r="157" spans="1:10" ht="14.25" customHeight="1" x14ac:dyDescent="0.3">
      <c r="A157" s="2">
        <v>45672</v>
      </c>
      <c r="B157" s="1">
        <v>23213.200000000001</v>
      </c>
      <c r="C157" s="3">
        <f t="shared" si="4"/>
        <v>97.769017264108427</v>
      </c>
      <c r="D157" s="3"/>
      <c r="E157" s="4">
        <f>MAX($B157:B$167)</f>
        <v>24188.65</v>
      </c>
      <c r="F157" s="6">
        <f>(B157-MAX($B157:B$167))/MAX($B157:B$167)</f>
        <v>-4.0326764825651729E-2</v>
      </c>
      <c r="G157" s="3"/>
      <c r="I157" s="4">
        <f>MAX($C157:C$167)</f>
        <v>101.87740335005412</v>
      </c>
      <c r="J157" s="5">
        <f>(C157-MAX($C157:C$167))/MAX($C157:C$167)</f>
        <v>-4.0326764825651729E-2</v>
      </c>
    </row>
    <row r="158" spans="1:10" ht="14.25" customHeight="1" x14ac:dyDescent="0.3">
      <c r="A158" s="2">
        <v>45671</v>
      </c>
      <c r="B158" s="1">
        <v>23176.05</v>
      </c>
      <c r="C158" s="3">
        <f t="shared" si="4"/>
        <v>97.612549435831326</v>
      </c>
      <c r="D158" s="3"/>
      <c r="E158" s="4">
        <f>MAX($B158:B$167)</f>
        <v>24188.65</v>
      </c>
      <c r="F158" s="6">
        <f>(B158-MAX($B158:B$167))/MAX($B158:B$167)</f>
        <v>-4.1862609116259157E-2</v>
      </c>
      <c r="G158" s="3"/>
      <c r="I158" s="4">
        <f>MAX($C158:C$167)</f>
        <v>101.87740335005412</v>
      </c>
      <c r="J158" s="5">
        <f>(C158-MAX($C158:C$167))/MAX($C158:C$167)</f>
        <v>-4.1862609116259261E-2</v>
      </c>
    </row>
    <row r="159" spans="1:10" ht="14.25" customHeight="1" x14ac:dyDescent="0.3">
      <c r="A159" s="2">
        <v>45670</v>
      </c>
      <c r="B159" s="1">
        <v>23085.95</v>
      </c>
      <c r="C159" s="3">
        <f t="shared" si="4"/>
        <v>97.233067569673466</v>
      </c>
      <c r="D159" s="3"/>
      <c r="E159" s="4">
        <f>MAX($B159:B$167)</f>
        <v>24188.65</v>
      </c>
      <c r="F159" s="6">
        <f>(B159-MAX($B159:B$167))/MAX($B159:B$167)</f>
        <v>-4.5587496615148042E-2</v>
      </c>
      <c r="G159" s="3"/>
      <c r="I159" s="4">
        <f>MAX($C159:C$167)</f>
        <v>101.87740335005412</v>
      </c>
      <c r="J159" s="5">
        <f>(C159-MAX($C159:C$167))/MAX($C159:C$167)</f>
        <v>-4.5587496615147979E-2</v>
      </c>
    </row>
    <row r="160" spans="1:10" ht="14.25" customHeight="1" x14ac:dyDescent="0.3">
      <c r="A160" s="2">
        <v>45667</v>
      </c>
      <c r="B160" s="1">
        <v>23431.5</v>
      </c>
      <c r="C160" s="3">
        <f t="shared" si="4"/>
        <v>98.688450020848322</v>
      </c>
      <c r="D160" s="3"/>
      <c r="E160" s="4">
        <f>MAX($B160:B$167)</f>
        <v>24188.65</v>
      </c>
      <c r="F160" s="6">
        <f>(B160-MAX($B160:B$167))/MAX($B160:B$167)</f>
        <v>-3.1301870918798748E-2</v>
      </c>
      <c r="G160" s="3"/>
      <c r="I160" s="4">
        <f>MAX($C160:C$167)</f>
        <v>101.87740335005412</v>
      </c>
      <c r="J160" s="5">
        <f>(C160-MAX($C160:C$167))/MAX($C160:C$167)</f>
        <v>-3.1301870918798873E-2</v>
      </c>
    </row>
    <row r="161" spans="1:10" ht="14.25" customHeight="1" x14ac:dyDescent="0.3">
      <c r="A161" s="2">
        <v>45666</v>
      </c>
      <c r="B161" s="1">
        <v>23526.5</v>
      </c>
      <c r="C161" s="3">
        <f t="shared" si="4"/>
        <v>99.088569635554208</v>
      </c>
      <c r="D161" s="3"/>
      <c r="E161" s="4">
        <f>MAX($B161:B$167)</f>
        <v>24188.65</v>
      </c>
      <c r="F161" s="6">
        <f>(B161-MAX($B161:B$167))/MAX($B161:B$167)</f>
        <v>-2.7374409072023508E-2</v>
      </c>
      <c r="G161" s="3"/>
      <c r="I161" s="4">
        <f>MAX($C161:C$167)</f>
        <v>101.87740335005412</v>
      </c>
      <c r="J161" s="5">
        <f>(C161-MAX($C161:C$167))/MAX($C161:C$167)</f>
        <v>-2.7374409072023466E-2</v>
      </c>
    </row>
    <row r="162" spans="1:10" ht="14.25" customHeight="1" x14ac:dyDescent="0.3">
      <c r="A162" s="2">
        <v>45665</v>
      </c>
      <c r="B162" s="1">
        <v>23688.95</v>
      </c>
      <c r="C162" s="3">
        <f t="shared" ref="C162:C167" si="5">B162/$B$167*100</f>
        <v>99.772774176701233</v>
      </c>
      <c r="D162" s="3"/>
      <c r="E162" s="4">
        <f>MAX($B162:B$167)</f>
        <v>24188.65</v>
      </c>
      <c r="F162" s="6">
        <f>(B162-MAX($B162:B$167))/MAX($B162:B$167)</f>
        <v>-2.0658449314037812E-2</v>
      </c>
      <c r="G162" s="3"/>
      <c r="I162" s="4">
        <f>MAX($C162:C$167)</f>
        <v>101.87740335005412</v>
      </c>
      <c r="J162" s="5">
        <f>(C162-MAX($C162:C$167))/MAX($C162:C$167)</f>
        <v>-2.0658449314037923E-2</v>
      </c>
    </row>
    <row r="163" spans="1:10" ht="14.25" customHeight="1" x14ac:dyDescent="0.3">
      <c r="A163" s="2">
        <v>45664</v>
      </c>
      <c r="B163" s="1">
        <v>23707.9</v>
      </c>
      <c r="C163" s="3">
        <f t="shared" si="5"/>
        <v>99.852587510371521</v>
      </c>
      <c r="D163" s="3"/>
      <c r="E163" s="4">
        <f>MAX($B163:B$167)</f>
        <v>24188.65</v>
      </c>
      <c r="F163" s="6">
        <f>(B163-MAX($B163:B$167))/MAX($B163:B$167)</f>
        <v>-1.9875024029865247E-2</v>
      </c>
      <c r="G163" s="3"/>
      <c r="I163" s="4">
        <f>MAX($C163:C$167)</f>
        <v>101.87740335005412</v>
      </c>
      <c r="J163" s="5">
        <f>(C163-MAX($C163:C$167))/MAX($C163:C$167)</f>
        <v>-1.9875024029865275E-2</v>
      </c>
    </row>
    <row r="164" spans="1:10" ht="14.25" customHeight="1" x14ac:dyDescent="0.3">
      <c r="A164" s="2">
        <v>45663</v>
      </c>
      <c r="B164" s="1">
        <v>23616.05</v>
      </c>
      <c r="C164" s="3">
        <f t="shared" si="5"/>
        <v>99.465735019732207</v>
      </c>
      <c r="D164" s="3"/>
      <c r="E164" s="4">
        <f>MAX($B164:B$167)</f>
        <v>24188.65</v>
      </c>
      <c r="F164" s="6">
        <f>(B164-MAX($B164:B$167))/MAX($B164:B$167)</f>
        <v>-2.3672259510142242E-2</v>
      </c>
      <c r="G164" s="3"/>
      <c r="I164" s="4">
        <f>MAX($C164:C$167)</f>
        <v>101.87740335005412</v>
      </c>
      <c r="J164" s="5">
        <f>(C164-MAX($C164:C$167))/MAX($C164:C$167)</f>
        <v>-2.3672259510142245E-2</v>
      </c>
    </row>
    <row r="165" spans="1:10" ht="14.25" customHeight="1" x14ac:dyDescent="0.3">
      <c r="A165" s="2">
        <v>45660</v>
      </c>
      <c r="B165" s="1">
        <v>24004.75</v>
      </c>
      <c r="C165" s="3">
        <f t="shared" si="5"/>
        <v>101.10285601169191</v>
      </c>
      <c r="D165" s="3"/>
      <c r="E165" s="4">
        <f>MAX($B165:B$167)</f>
        <v>24188.65</v>
      </c>
      <c r="F165" s="6">
        <f>(B165-MAX($B165:B$167))/MAX($B165:B$167)</f>
        <v>-7.6027393012839265E-3</v>
      </c>
      <c r="G165" s="3"/>
      <c r="I165" s="4">
        <f>MAX($C165:C$167)</f>
        <v>101.87740335005412</v>
      </c>
      <c r="J165" s="5">
        <f>(C165-MAX($C165:C$167))/MAX($C165:C$167)</f>
        <v>-7.6027393012839265E-3</v>
      </c>
    </row>
    <row r="166" spans="1:10" ht="14.25" customHeight="1" x14ac:dyDescent="0.3">
      <c r="A166" s="2">
        <v>45659</v>
      </c>
      <c r="B166" s="1">
        <v>24188.65</v>
      </c>
      <c r="C166" s="3">
        <f t="shared" si="5"/>
        <v>101.87740335005412</v>
      </c>
      <c r="D166" s="3"/>
      <c r="E166" s="4">
        <f>MAX($B166:B$167)</f>
        <v>24188.65</v>
      </c>
      <c r="F166" s="6">
        <f>(B166-MAX($B166:B$167))/MAX($B166:B$167)</f>
        <v>0</v>
      </c>
      <c r="G166" s="3"/>
      <c r="I166" s="4">
        <f>MAX($C166:C$167)</f>
        <v>101.87740335005412</v>
      </c>
      <c r="J166" s="5">
        <f>(C166-MAX($C166:C$167))/MAX($C166:C$167)</f>
        <v>0</v>
      </c>
    </row>
    <row r="167" spans="1:10" ht="14.25" customHeight="1" x14ac:dyDescent="0.3">
      <c r="A167" s="2">
        <v>45658</v>
      </c>
      <c r="B167" s="1">
        <v>23742.9</v>
      </c>
      <c r="C167" s="3">
        <f t="shared" si="5"/>
        <v>100</v>
      </c>
      <c r="D167" s="3"/>
      <c r="E167" s="4">
        <f>MAX($B$167:B167)</f>
        <v>23742.9</v>
      </c>
      <c r="F167" s="6">
        <f>(B167-MAX($B$167:B167))/MAX($B$167:B167)</f>
        <v>0</v>
      </c>
      <c r="G167" s="3"/>
      <c r="I167" s="4">
        <f>MAX($C$167:C167)</f>
        <v>100</v>
      </c>
      <c r="J167" s="5">
        <f>(C167-MAX($C$167:C167))/MAX($C$167:C167)</f>
        <v>0</v>
      </c>
    </row>
    <row r="168" spans="1:10" ht="14.25" customHeight="1" x14ac:dyDescent="0.3"/>
    <row r="169" spans="1:10" ht="14.25" customHeight="1" x14ac:dyDescent="0.3"/>
    <row r="170" spans="1:10" ht="14.25" customHeight="1" x14ac:dyDescent="0.3"/>
    <row r="171" spans="1:10" ht="14.25" customHeight="1" x14ac:dyDescent="0.3"/>
    <row r="172" spans="1:10" ht="14.25" customHeight="1" x14ac:dyDescent="0.3"/>
    <row r="173" spans="1:10" ht="14.25" customHeight="1" x14ac:dyDescent="0.3"/>
    <row r="174" spans="1:10" ht="14.25" customHeight="1" x14ac:dyDescent="0.3"/>
    <row r="175" spans="1:10" ht="14.25" customHeight="1" x14ac:dyDescent="0.3"/>
    <row r="176" spans="1:10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L6:P8"/>
  </mergeCells>
  <pageMargins left="0.7" right="0.7" top="0.75" bottom="0.75" header="0" footer="0"/>
  <pageSetup orientation="landscape" r:id="rId1"/>
  <ignoredErrors>
    <ignoredError sqref="E1:E166 F1:F16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946"/>
  <sheetViews>
    <sheetView tabSelected="1" workbookViewId="0">
      <selection activeCell="AA12" sqref="AA12"/>
    </sheetView>
  </sheetViews>
  <sheetFormatPr defaultColWidth="12.6640625" defaultRowHeight="15" customHeight="1" x14ac:dyDescent="0.3"/>
  <cols>
    <col min="1" max="1" width="30.109375" bestFit="1" customWidth="1"/>
    <col min="2" max="2" width="13.44140625" bestFit="1" customWidth="1"/>
    <col min="3" max="4" width="12" bestFit="1" customWidth="1"/>
    <col min="5" max="50" width="8.6640625" customWidth="1"/>
    <col min="51" max="51" width="15.109375" customWidth="1"/>
  </cols>
  <sheetData>
    <row r="1" spans="1:52" ht="15" customHeight="1" x14ac:dyDescent="0.3">
      <c r="A1" s="16" t="s">
        <v>69</v>
      </c>
      <c r="B1" s="19">
        <v>1000000</v>
      </c>
      <c r="C1" s="36" t="s">
        <v>57</v>
      </c>
      <c r="D1" s="36"/>
      <c r="E1" s="17">
        <f>B1/50</f>
        <v>20000</v>
      </c>
      <c r="F1" s="17" t="s">
        <v>70</v>
      </c>
    </row>
    <row r="2" spans="1:52" ht="14.25" customHeight="1" x14ac:dyDescent="0.3">
      <c r="A2" s="17" t="s">
        <v>58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</row>
    <row r="3" spans="1:52" ht="14.25" customHeight="1" x14ac:dyDescent="0.3">
      <c r="A3" s="18" t="s">
        <v>67</v>
      </c>
      <c r="B3" s="1">
        <v>1221.25</v>
      </c>
      <c r="C3" s="1">
        <v>891.38</v>
      </c>
      <c r="D3" s="1">
        <v>1595.7</v>
      </c>
      <c r="E3" s="1">
        <v>4112.45</v>
      </c>
      <c r="F3" s="1">
        <v>1283.6500000000001</v>
      </c>
      <c r="G3" s="1">
        <v>793.2</v>
      </c>
      <c r="H3" s="1">
        <v>1882.5</v>
      </c>
      <c r="I3" s="1">
        <v>2322.1</v>
      </c>
      <c r="J3" s="1">
        <v>693.53</v>
      </c>
      <c r="K3" s="1">
        <v>457.82</v>
      </c>
      <c r="L3" s="1">
        <v>3667.5</v>
      </c>
      <c r="M3" s="1">
        <v>11208.3</v>
      </c>
      <c r="N3" s="1">
        <v>3082</v>
      </c>
      <c r="O3" s="1">
        <v>1788.4</v>
      </c>
      <c r="P3" s="1">
        <v>1911.95</v>
      </c>
      <c r="Q3" s="1">
        <v>1889.95</v>
      </c>
      <c r="R3" s="1">
        <v>11447</v>
      </c>
      <c r="S3" s="1">
        <v>1071.8</v>
      </c>
      <c r="T3" s="1">
        <v>1576.4</v>
      </c>
      <c r="U3" s="1">
        <v>3253.85</v>
      </c>
      <c r="V3" s="1">
        <v>333.65</v>
      </c>
      <c r="W3" s="1">
        <v>276.5</v>
      </c>
      <c r="X3" s="1">
        <v>1218.7</v>
      </c>
      <c r="Y3" s="1">
        <v>236.95</v>
      </c>
      <c r="Z3" s="1">
        <v>293.89999999999998</v>
      </c>
      <c r="AA3" s="1">
        <v>905.45</v>
      </c>
      <c r="AB3" s="1">
        <v>300.3</v>
      </c>
      <c r="AC3" s="1">
        <v>310.39999999999998</v>
      </c>
      <c r="AD3" s="1">
        <v>749.25</v>
      </c>
      <c r="AE3" s="1">
        <v>8740.5499999999993</v>
      </c>
      <c r="AF3" s="1">
        <v>2304.65</v>
      </c>
      <c r="AG3" s="1">
        <v>386.4</v>
      </c>
      <c r="AH3" s="1">
        <v>1084.6199999999999</v>
      </c>
      <c r="AI3" s="1">
        <v>136.74</v>
      </c>
      <c r="AJ3" s="1">
        <v>304.45</v>
      </c>
      <c r="AK3" s="1">
        <v>2442.15</v>
      </c>
      <c r="AL3" s="1">
        <v>4885.3</v>
      </c>
      <c r="AM3" s="1">
        <v>7068.05</v>
      </c>
      <c r="AN3" s="1">
        <v>1400.4</v>
      </c>
      <c r="AO3" s="1">
        <v>617.20000000000005</v>
      </c>
      <c r="AP3" s="1">
        <v>592.95000000000005</v>
      </c>
      <c r="AQ3" s="1">
        <v>1703.85</v>
      </c>
      <c r="AR3" s="1">
        <v>1529.1</v>
      </c>
      <c r="AS3" s="1">
        <v>7369.65</v>
      </c>
      <c r="AT3" s="1">
        <v>583.73</v>
      </c>
      <c r="AU3" s="1">
        <v>920.3</v>
      </c>
      <c r="AV3" s="1">
        <v>1369</v>
      </c>
      <c r="AW3" s="1">
        <v>4184.3500000000004</v>
      </c>
      <c r="AX3" s="1">
        <v>969.4</v>
      </c>
    </row>
    <row r="4" spans="1:52" ht="14.25" customHeight="1" x14ac:dyDescent="0.3">
      <c r="A4" s="17" t="s">
        <v>68</v>
      </c>
      <c r="B4" s="4">
        <f>$E$1/B3</f>
        <v>16.376663254861821</v>
      </c>
      <c r="C4" s="4">
        <f t="shared" ref="C4:AX4" si="0">$E$1/C3</f>
        <v>22.437119971280488</v>
      </c>
      <c r="D4" s="4">
        <f t="shared" si="0"/>
        <v>12.533684276493075</v>
      </c>
      <c r="E4" s="4">
        <f t="shared" si="0"/>
        <v>4.8632810125351069</v>
      </c>
      <c r="F4" s="4">
        <f t="shared" si="0"/>
        <v>15.580571027928173</v>
      </c>
      <c r="G4" s="4">
        <f t="shared" si="0"/>
        <v>25.214321734745333</v>
      </c>
      <c r="H4" s="4">
        <f t="shared" si="0"/>
        <v>10.624169986719787</v>
      </c>
      <c r="I4" s="4">
        <f t="shared" si="0"/>
        <v>8.612893501571854</v>
      </c>
      <c r="J4" s="4">
        <f t="shared" si="0"/>
        <v>28.837973843957723</v>
      </c>
      <c r="K4" s="4">
        <f t="shared" si="0"/>
        <v>43.685291162465596</v>
      </c>
      <c r="L4" s="4">
        <f t="shared" si="0"/>
        <v>5.4533060668029991</v>
      </c>
      <c r="M4" s="4">
        <f t="shared" si="0"/>
        <v>1.7843919238421528</v>
      </c>
      <c r="N4" s="4">
        <f t="shared" si="0"/>
        <v>6.4892926670992859</v>
      </c>
      <c r="O4" s="4">
        <f t="shared" si="0"/>
        <v>11.183180496533213</v>
      </c>
      <c r="P4" s="4">
        <f t="shared" si="0"/>
        <v>10.460524595308454</v>
      </c>
      <c r="Q4" s="4">
        <f t="shared" si="0"/>
        <v>10.582290536786687</v>
      </c>
      <c r="R4" s="4">
        <f t="shared" si="0"/>
        <v>1.7471826679479339</v>
      </c>
      <c r="S4" s="4">
        <f t="shared" si="0"/>
        <v>18.660197798096661</v>
      </c>
      <c r="T4" s="4">
        <f t="shared" si="0"/>
        <v>12.687135244861709</v>
      </c>
      <c r="U4" s="4">
        <f t="shared" si="0"/>
        <v>6.1465648385758413</v>
      </c>
      <c r="V4" s="4">
        <f t="shared" si="0"/>
        <v>59.943054098606325</v>
      </c>
      <c r="W4" s="4">
        <f t="shared" si="0"/>
        <v>72.332730560578668</v>
      </c>
      <c r="X4" s="4">
        <f t="shared" si="0"/>
        <v>16.410929679166323</v>
      </c>
      <c r="Y4" s="4">
        <f t="shared" si="0"/>
        <v>84.405992825490614</v>
      </c>
      <c r="Z4" s="4">
        <f t="shared" si="0"/>
        <v>68.050357264375648</v>
      </c>
      <c r="AA4" s="4">
        <f t="shared" si="0"/>
        <v>22.088464299519575</v>
      </c>
      <c r="AB4" s="4">
        <f t="shared" si="0"/>
        <v>66.600066600066597</v>
      </c>
      <c r="AC4" s="4">
        <f t="shared" si="0"/>
        <v>64.432989690721655</v>
      </c>
      <c r="AD4" s="4">
        <f t="shared" si="0"/>
        <v>26.693360026693359</v>
      </c>
      <c r="AE4" s="4">
        <f t="shared" si="0"/>
        <v>2.2881855260824548</v>
      </c>
      <c r="AF4" s="4">
        <f t="shared" si="0"/>
        <v>8.6781073047968231</v>
      </c>
      <c r="AG4" s="4">
        <f t="shared" si="0"/>
        <v>51.759834368530022</v>
      </c>
      <c r="AH4" s="4">
        <f t="shared" si="0"/>
        <v>18.439637845512717</v>
      </c>
      <c r="AI4" s="4">
        <f t="shared" si="0"/>
        <v>146.2629808395495</v>
      </c>
      <c r="AJ4" s="4">
        <f t="shared" si="0"/>
        <v>65.692231893578594</v>
      </c>
      <c r="AK4" s="4">
        <f t="shared" si="0"/>
        <v>8.189505149151362</v>
      </c>
      <c r="AL4" s="4">
        <f t="shared" si="0"/>
        <v>4.093914396249974</v>
      </c>
      <c r="AM4" s="4">
        <f t="shared" si="0"/>
        <v>2.8296347648927216</v>
      </c>
      <c r="AN4" s="4">
        <f t="shared" si="0"/>
        <v>14.281633818908881</v>
      </c>
      <c r="AO4" s="4">
        <f t="shared" si="0"/>
        <v>32.404406999351906</v>
      </c>
      <c r="AP4" s="4">
        <f t="shared" si="0"/>
        <v>33.729656800742049</v>
      </c>
      <c r="AQ4" s="4">
        <f t="shared" si="0"/>
        <v>11.738122487308155</v>
      </c>
      <c r="AR4" s="4">
        <f t="shared" si="0"/>
        <v>13.079589300895952</v>
      </c>
      <c r="AS4" s="4">
        <f t="shared" si="0"/>
        <v>2.7138330856960642</v>
      </c>
      <c r="AT4" s="4">
        <f t="shared" si="0"/>
        <v>34.262415842941081</v>
      </c>
      <c r="AU4" s="4">
        <f t="shared" si="0"/>
        <v>21.732043898728676</v>
      </c>
      <c r="AV4" s="4">
        <f t="shared" si="0"/>
        <v>14.609203798392988</v>
      </c>
      <c r="AW4" s="4">
        <f t="shared" si="0"/>
        <v>4.7797148900068107</v>
      </c>
      <c r="AX4" s="4">
        <f t="shared" si="0"/>
        <v>20.631318341242007</v>
      </c>
    </row>
    <row r="5" spans="1:52" ht="14.25" customHeight="1" x14ac:dyDescent="0.3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2" ht="14.25" customHeight="1" x14ac:dyDescent="0.3"/>
    <row r="7" spans="1:52" ht="14.25" customHeight="1" x14ac:dyDescent="0.3">
      <c r="A7" s="30" t="s">
        <v>3</v>
      </c>
      <c r="B7" s="28">
        <f t="shared" ref="B7:AG7" si="1">AVERAGE(B13:B178)</f>
        <v>22020.806254701514</v>
      </c>
      <c r="C7" s="28">
        <f t="shared" si="1"/>
        <v>20832.219812409465</v>
      </c>
      <c r="D7" s="28">
        <f t="shared" si="1"/>
        <v>22477.56961291303</v>
      </c>
      <c r="E7" s="28">
        <f t="shared" si="1"/>
        <v>17171.773575597006</v>
      </c>
      <c r="F7" s="28">
        <f t="shared" si="1"/>
        <v>21227.129528514077</v>
      </c>
      <c r="G7" s="28">
        <f t="shared" si="1"/>
        <v>19696.228180498081</v>
      </c>
      <c r="H7" s="28">
        <f t="shared" si="1"/>
        <v>17343.743099889594</v>
      </c>
      <c r="I7" s="28">
        <f t="shared" si="1"/>
        <v>20423.422296913432</v>
      </c>
      <c r="J7" s="28">
        <f t="shared" si="1"/>
        <v>25135.612309228552</v>
      </c>
      <c r="K7" s="28">
        <f t="shared" si="1"/>
        <v>18387.525901956527</v>
      </c>
      <c r="L7" s="28">
        <f t="shared" si="1"/>
        <v>18937.761680669522</v>
      </c>
      <c r="M7" s="28">
        <f t="shared" si="1"/>
        <v>22112.839355602337</v>
      </c>
      <c r="N7" s="28">
        <f t="shared" si="1"/>
        <v>19495.275716754102</v>
      </c>
      <c r="O7" s="28">
        <f t="shared" si="1"/>
        <v>22785.780788104334</v>
      </c>
      <c r="P7" s="28">
        <f t="shared" si="1"/>
        <v>17027.916052399658</v>
      </c>
      <c r="Q7" s="28">
        <f t="shared" si="1"/>
        <v>17950.768124483431</v>
      </c>
      <c r="R7" s="28">
        <f t="shared" si="1"/>
        <v>20299.853384008653</v>
      </c>
      <c r="S7" s="28">
        <f t="shared" si="1"/>
        <v>20573.340197888025</v>
      </c>
      <c r="T7" s="28">
        <f t="shared" si="1"/>
        <v>24368.944950061599</v>
      </c>
      <c r="U7" s="28">
        <f t="shared" si="1"/>
        <v>20829.658508336099</v>
      </c>
      <c r="V7" s="28">
        <f t="shared" si="1"/>
        <v>20091.539543457817</v>
      </c>
      <c r="W7" s="28">
        <f t="shared" si="1"/>
        <v>17949.493453016406</v>
      </c>
      <c r="X7" s="28">
        <f t="shared" si="1"/>
        <v>20853.422716878842</v>
      </c>
      <c r="Y7" s="28">
        <f t="shared" si="1"/>
        <v>20515.090113566734</v>
      </c>
      <c r="Z7" s="28">
        <f t="shared" si="1"/>
        <v>22711.413192750591</v>
      </c>
      <c r="AA7" s="28">
        <f t="shared" si="1"/>
        <v>22079.8018957491</v>
      </c>
      <c r="AB7" s="28">
        <f t="shared" si="1"/>
        <v>17844.199976730102</v>
      </c>
      <c r="AC7" s="28">
        <f t="shared" si="1"/>
        <v>18684.247298472248</v>
      </c>
      <c r="AD7" s="28">
        <f t="shared" si="1"/>
        <v>18395.222531768715</v>
      </c>
      <c r="AE7" s="28">
        <f t="shared" si="1"/>
        <v>19059.81971717062</v>
      </c>
      <c r="AF7" s="28">
        <f t="shared" si="1"/>
        <v>20294.789031813343</v>
      </c>
      <c r="AG7" s="28">
        <f t="shared" si="1"/>
        <v>19936.828057571904</v>
      </c>
      <c r="AH7" s="28">
        <f t="shared" ref="AH7:AX7" si="2">AVERAGE(AH13:AH178)</f>
        <v>21266.45876530408</v>
      </c>
      <c r="AI7" s="28">
        <f t="shared" si="2"/>
        <v>21713.699907131817</v>
      </c>
      <c r="AJ7" s="28">
        <f t="shared" si="2"/>
        <v>18006.537564282426</v>
      </c>
      <c r="AK7" s="28">
        <f t="shared" si="2"/>
        <v>21441.372639998001</v>
      </c>
      <c r="AL7" s="28">
        <f t="shared" si="2"/>
        <v>22048.478851849381</v>
      </c>
      <c r="AM7" s="28">
        <f t="shared" si="2"/>
        <v>15550.914973481127</v>
      </c>
      <c r="AN7" s="28">
        <f t="shared" si="2"/>
        <v>23642.827522601106</v>
      </c>
      <c r="AO7" s="28">
        <f t="shared" si="2"/>
        <v>22926.55716840141</v>
      </c>
      <c r="AP7" s="28">
        <f t="shared" si="2"/>
        <v>21853.94245842463</v>
      </c>
      <c r="AQ7" s="28">
        <f t="shared" si="2"/>
        <v>18287.47156952486</v>
      </c>
      <c r="AR7" s="28">
        <f t="shared" si="2"/>
        <v>19488.288646049772</v>
      </c>
      <c r="AS7" s="28">
        <f t="shared" si="2"/>
        <v>18907.750846254094</v>
      </c>
      <c r="AT7" s="28">
        <f t="shared" si="2"/>
        <v>21426.170995461463</v>
      </c>
      <c r="AU7" s="28">
        <f t="shared" si="2"/>
        <v>22930.978504913928</v>
      </c>
      <c r="AV7" s="28">
        <f t="shared" si="2"/>
        <v>18009.042745122195</v>
      </c>
      <c r="AW7" s="28">
        <f t="shared" si="2"/>
        <v>19840.049432617605</v>
      </c>
      <c r="AX7" s="28">
        <f t="shared" si="2"/>
        <v>17557.612335042661</v>
      </c>
      <c r="AZ7" t="s">
        <v>84</v>
      </c>
    </row>
    <row r="8" spans="1:52" ht="14.25" customHeight="1" x14ac:dyDescent="0.3">
      <c r="A8" s="30" t="s">
        <v>83</v>
      </c>
      <c r="B8" s="29">
        <f t="shared" ref="B8:AG8" si="3">STDEV(B13:B178)</f>
        <v>1666.0547031586634</v>
      </c>
      <c r="C8" s="29">
        <f t="shared" si="3"/>
        <v>1441.2414696201226</v>
      </c>
      <c r="D8" s="29">
        <f t="shared" si="3"/>
        <v>1650.8458747325167</v>
      </c>
      <c r="E8" s="29">
        <f t="shared" si="3"/>
        <v>1666.6096833379102</v>
      </c>
      <c r="F8" s="29">
        <f t="shared" si="3"/>
        <v>1424.5080608785552</v>
      </c>
      <c r="G8" s="29">
        <f t="shared" si="3"/>
        <v>847.27312089192685</v>
      </c>
      <c r="H8" s="29">
        <f t="shared" si="3"/>
        <v>1668.5609660451316</v>
      </c>
      <c r="I8" s="29">
        <f t="shared" si="3"/>
        <v>959.09521874228153</v>
      </c>
      <c r="J8" s="29">
        <f t="shared" si="3"/>
        <v>1830.167326676212</v>
      </c>
      <c r="K8" s="29">
        <f t="shared" si="3"/>
        <v>631.24231924696653</v>
      </c>
      <c r="L8" s="29">
        <f t="shared" si="3"/>
        <v>903.65659103982523</v>
      </c>
      <c r="M8" s="29">
        <f t="shared" si="3"/>
        <v>1236.0664806464329</v>
      </c>
      <c r="N8" s="29">
        <f t="shared" si="3"/>
        <v>1402.4815713232213</v>
      </c>
      <c r="O8" s="29">
        <f t="shared" si="3"/>
        <v>1403.0923016566892</v>
      </c>
      <c r="P8" s="29">
        <f t="shared" si="3"/>
        <v>1358.7726961105673</v>
      </c>
      <c r="Q8" s="29">
        <f t="shared" si="3"/>
        <v>1496.6005725268471</v>
      </c>
      <c r="R8" s="29">
        <f t="shared" si="3"/>
        <v>1118.5058577110092</v>
      </c>
      <c r="S8" s="29">
        <f t="shared" si="3"/>
        <v>1505.3048663683628</v>
      </c>
      <c r="T8" s="29">
        <f t="shared" si="3"/>
        <v>1476.4981569525112</v>
      </c>
      <c r="U8" s="29">
        <f t="shared" si="3"/>
        <v>1128.2887286635048</v>
      </c>
      <c r="V8" s="29">
        <f t="shared" si="3"/>
        <v>845.26183451825966</v>
      </c>
      <c r="W8" s="29">
        <f t="shared" si="3"/>
        <v>2407.0156142599039</v>
      </c>
      <c r="X8" s="29">
        <f t="shared" si="3"/>
        <v>2203.2594362172604</v>
      </c>
      <c r="Y8" s="29">
        <f t="shared" si="3"/>
        <v>841.0661233450968</v>
      </c>
      <c r="Z8" s="29">
        <f t="shared" si="3"/>
        <v>3942.4592596801253</v>
      </c>
      <c r="AA8" s="29">
        <f t="shared" si="3"/>
        <v>1059.7466539568352</v>
      </c>
      <c r="AB8" s="29">
        <f t="shared" si="3"/>
        <v>1615.3073018426139</v>
      </c>
      <c r="AC8" s="29">
        <f t="shared" si="3"/>
        <v>933.09276326819611</v>
      </c>
      <c r="AD8" s="29">
        <f t="shared" si="3"/>
        <v>1104.3971833545334</v>
      </c>
      <c r="AE8" s="29">
        <f t="shared" si="3"/>
        <v>926.93037488475852</v>
      </c>
      <c r="AF8" s="29">
        <f t="shared" si="3"/>
        <v>838.26682497489264</v>
      </c>
      <c r="AG8" s="29">
        <f t="shared" si="3"/>
        <v>601.16668501289166</v>
      </c>
      <c r="AH8" s="29">
        <f t="shared" ref="AH8:AX8" si="4">STDEV(AH13:AH178)</f>
        <v>849.65047504052779</v>
      </c>
      <c r="AI8" s="29">
        <f t="shared" si="4"/>
        <v>1759.1318924961813</v>
      </c>
      <c r="AJ8" s="29">
        <f t="shared" si="4"/>
        <v>2562.4219281848682</v>
      </c>
      <c r="AK8" s="29">
        <f t="shared" si="4"/>
        <v>1298.8538391085876</v>
      </c>
      <c r="AL8" s="29">
        <f t="shared" si="4"/>
        <v>1247.9578552777109</v>
      </c>
      <c r="AM8" s="29">
        <f t="shared" si="4"/>
        <v>1361.796316477345</v>
      </c>
      <c r="AN8" s="29">
        <f t="shared" si="4"/>
        <v>2405.8455635269652</v>
      </c>
      <c r="AO8" s="29">
        <f t="shared" si="4"/>
        <v>2161.4344413075382</v>
      </c>
      <c r="AP8" s="29">
        <f t="shared" si="4"/>
        <v>1366.7328960995471</v>
      </c>
      <c r="AQ8" s="29">
        <f t="shared" si="4"/>
        <v>1299.9770698372067</v>
      </c>
      <c r="AR8" s="29">
        <f t="shared" si="4"/>
        <v>558.47017299271158</v>
      </c>
      <c r="AS8" s="29">
        <f t="shared" si="4"/>
        <v>1171.7663115663634</v>
      </c>
      <c r="AT8" s="29">
        <f t="shared" si="4"/>
        <v>1713.6334841480545</v>
      </c>
      <c r="AU8" s="29">
        <f t="shared" si="4"/>
        <v>1464.1481321062734</v>
      </c>
      <c r="AV8" s="29">
        <f t="shared" si="4"/>
        <v>1030.8845951820856</v>
      </c>
      <c r="AW8" s="29">
        <f t="shared" si="4"/>
        <v>1792.530644280527</v>
      </c>
      <c r="AX8" s="29">
        <f t="shared" si="4"/>
        <v>2262.7875117170997</v>
      </c>
      <c r="AZ8" t="s">
        <v>84</v>
      </c>
    </row>
    <row r="9" spans="1:52" ht="14.25" customHeight="1" x14ac:dyDescent="0.3">
      <c r="A9" s="30" t="s">
        <v>56</v>
      </c>
      <c r="B9" s="29">
        <f>(B8/B7)*100</f>
        <v>7.5658206329432431</v>
      </c>
      <c r="C9" s="29">
        <f t="shared" ref="C9:AX9" si="5">(C8/C7)*100</f>
        <v>6.9183288319643932</v>
      </c>
      <c r="D9" s="29">
        <f t="shared" si="5"/>
        <v>7.3444144681199433</v>
      </c>
      <c r="E9" s="29">
        <f t="shared" si="5"/>
        <v>9.7055186291668054</v>
      </c>
      <c r="F9" s="29">
        <f t="shared" si="5"/>
        <v>6.7107898831306203</v>
      </c>
      <c r="G9" s="29">
        <f t="shared" si="5"/>
        <v>4.3017024027516158</v>
      </c>
      <c r="H9" s="29">
        <f t="shared" si="5"/>
        <v>9.6205355235903678</v>
      </c>
      <c r="I9" s="29">
        <f t="shared" si="5"/>
        <v>4.6960553662312927</v>
      </c>
      <c r="J9" s="29">
        <f t="shared" si="5"/>
        <v>7.2811726412738516</v>
      </c>
      <c r="K9" s="29">
        <f t="shared" si="5"/>
        <v>3.4329921415898546</v>
      </c>
      <c r="L9" s="29">
        <f t="shared" si="5"/>
        <v>4.7717180429101145</v>
      </c>
      <c r="M9" s="29">
        <f t="shared" si="5"/>
        <v>5.5898135050362621</v>
      </c>
      <c r="N9" s="29">
        <f t="shared" si="5"/>
        <v>7.1939560727419636</v>
      </c>
      <c r="O9" s="29">
        <f t="shared" si="5"/>
        <v>6.1577538847788578</v>
      </c>
      <c r="P9" s="29">
        <f t="shared" si="5"/>
        <v>7.9796769723860734</v>
      </c>
      <c r="Q9" s="29">
        <f t="shared" si="5"/>
        <v>8.3372508749951599</v>
      </c>
      <c r="R9" s="29">
        <f t="shared" si="5"/>
        <v>5.5099208676655751</v>
      </c>
      <c r="S9" s="29">
        <f t="shared" si="5"/>
        <v>7.3167742908508915</v>
      </c>
      <c r="T9" s="29">
        <f t="shared" si="5"/>
        <v>6.0589334498405476</v>
      </c>
      <c r="U9" s="29">
        <f t="shared" si="5"/>
        <v>5.4167413652603091</v>
      </c>
      <c r="V9" s="29">
        <f t="shared" si="5"/>
        <v>4.2070535843705059</v>
      </c>
      <c r="W9" s="29">
        <f t="shared" si="5"/>
        <v>13.409936166501712</v>
      </c>
      <c r="X9" s="29">
        <f t="shared" si="5"/>
        <v>10.565457124858133</v>
      </c>
      <c r="Y9" s="29">
        <f t="shared" si="5"/>
        <v>4.0997437432112251</v>
      </c>
      <c r="Z9" s="29">
        <f t="shared" si="5"/>
        <v>17.35893414566798</v>
      </c>
      <c r="AA9" s="29">
        <f t="shared" si="5"/>
        <v>4.7996202998581348</v>
      </c>
      <c r="AB9" s="29">
        <f t="shared" si="5"/>
        <v>9.052281996105572</v>
      </c>
      <c r="AC9" s="29">
        <f t="shared" si="5"/>
        <v>4.99400777758113</v>
      </c>
      <c r="AD9" s="29">
        <f t="shared" si="5"/>
        <v>6.0037174404779803</v>
      </c>
      <c r="AE9" s="29">
        <f t="shared" si="5"/>
        <v>4.8632693731604659</v>
      </c>
      <c r="AF9" s="29">
        <f t="shared" si="5"/>
        <v>4.1304535053843487</v>
      </c>
      <c r="AG9" s="29">
        <f t="shared" si="5"/>
        <v>3.0153577252955825</v>
      </c>
      <c r="AH9" s="29">
        <f t="shared" si="5"/>
        <v>3.9952607268433438</v>
      </c>
      <c r="AI9" s="29">
        <f t="shared" si="5"/>
        <v>8.1014838559060962</v>
      </c>
      <c r="AJ9" s="29">
        <f t="shared" si="5"/>
        <v>14.230508886215087</v>
      </c>
      <c r="AK9" s="29">
        <f t="shared" si="5"/>
        <v>6.0576991077783378</v>
      </c>
      <c r="AL9" s="29">
        <f t="shared" si="5"/>
        <v>5.6600632799347732</v>
      </c>
      <c r="AM9" s="29">
        <f t="shared" si="5"/>
        <v>8.7570173124835886</v>
      </c>
      <c r="AN9" s="29">
        <f t="shared" si="5"/>
        <v>10.175794588135124</v>
      </c>
      <c r="AO9" s="29">
        <f t="shared" si="5"/>
        <v>9.4276450905002918</v>
      </c>
      <c r="AP9" s="29">
        <f t="shared" si="5"/>
        <v>6.253942045924421</v>
      </c>
      <c r="AQ9" s="29">
        <f t="shared" si="5"/>
        <v>7.1085664570686324</v>
      </c>
      <c r="AR9" s="29">
        <f t="shared" si="5"/>
        <v>2.8656706760442616</v>
      </c>
      <c r="AS9" s="29">
        <f t="shared" si="5"/>
        <v>6.1972802640273192</v>
      </c>
      <c r="AT9" s="29">
        <f t="shared" si="5"/>
        <v>7.9978521804527745</v>
      </c>
      <c r="AU9" s="29">
        <f t="shared" si="5"/>
        <v>6.3850224786199936</v>
      </c>
      <c r="AV9" s="29">
        <f t="shared" si="5"/>
        <v>5.7242609158740763</v>
      </c>
      <c r="AW9" s="29">
        <f t="shared" si="5"/>
        <v>9.0349101718141664</v>
      </c>
      <c r="AX9" s="29">
        <f t="shared" si="5"/>
        <v>12.887786041390587</v>
      </c>
      <c r="AZ9" t="s">
        <v>84</v>
      </c>
    </row>
    <row r="10" spans="1:52" ht="14.25" customHeight="1" x14ac:dyDescent="0.3">
      <c r="A10" s="30" t="s">
        <v>79</v>
      </c>
      <c r="B10" s="29">
        <f t="shared" ref="B10:AG10" si="6">CORREL(B13:B178,$AZ$13:$AZ$178)</f>
        <v>0.92579131766396705</v>
      </c>
      <c r="C10" s="29">
        <f t="shared" si="6"/>
        <v>0.87530475259818963</v>
      </c>
      <c r="D10" s="29">
        <f t="shared" si="6"/>
        <v>0.86884479462983211</v>
      </c>
      <c r="E10" s="29">
        <f t="shared" si="6"/>
        <v>-0.50561027525523738</v>
      </c>
      <c r="F10" s="29">
        <f t="shared" si="6"/>
        <v>0.86394718682485727</v>
      </c>
      <c r="G10" s="29">
        <f t="shared" si="6"/>
        <v>0.89908835797268571</v>
      </c>
      <c r="H10" s="29">
        <f t="shared" si="6"/>
        <v>-0.394040105661905</v>
      </c>
      <c r="I10" s="29">
        <f t="shared" si="6"/>
        <v>0.57675057761321136</v>
      </c>
      <c r="J10" s="29">
        <f t="shared" si="6"/>
        <v>0.59554536311421524</v>
      </c>
      <c r="K10" s="29">
        <f t="shared" si="6"/>
        <v>6.3028935631135305E-2</v>
      </c>
      <c r="L10" s="29">
        <f t="shared" si="6"/>
        <v>0.7789714556662346</v>
      </c>
      <c r="M10" s="29">
        <f t="shared" si="6"/>
        <v>0.56079909061067845</v>
      </c>
      <c r="N10" s="29">
        <f t="shared" si="6"/>
        <v>0.8143965633855379</v>
      </c>
      <c r="O10" s="29">
        <f t="shared" si="6"/>
        <v>0.50417266950636708</v>
      </c>
      <c r="P10" s="29">
        <f t="shared" si="6"/>
        <v>-3.4416219477116899E-2</v>
      </c>
      <c r="Q10" s="29">
        <f t="shared" si="6"/>
        <v>-0.13138008775606505</v>
      </c>
      <c r="R10" s="29">
        <f t="shared" si="6"/>
        <v>0.76870171330795078</v>
      </c>
      <c r="S10" s="29">
        <f t="shared" si="6"/>
        <v>0.68879110749726713</v>
      </c>
      <c r="T10" s="29">
        <f t="shared" si="6"/>
        <v>0.64160697887243179</v>
      </c>
      <c r="U10" s="29">
        <f t="shared" si="6"/>
        <v>0.82539404894438462</v>
      </c>
      <c r="V10" s="29">
        <f t="shared" si="6"/>
        <v>0.28653950421086932</v>
      </c>
      <c r="W10" s="29">
        <f t="shared" si="6"/>
        <v>0.68405622314515713</v>
      </c>
      <c r="X10" s="29">
        <f t="shared" si="6"/>
        <v>0.91342944666624781</v>
      </c>
      <c r="Y10" s="29">
        <f t="shared" si="6"/>
        <v>0.19731975314636266</v>
      </c>
      <c r="Z10" s="29">
        <f t="shared" si="6"/>
        <v>0.91909156621214794</v>
      </c>
      <c r="AA10" s="29">
        <f t="shared" si="6"/>
        <v>0.50176958515354753</v>
      </c>
      <c r="AB10" s="29">
        <f t="shared" si="6"/>
        <v>-0.478613585563396</v>
      </c>
      <c r="AC10" s="29">
        <f t="shared" si="6"/>
        <v>0.4827062914926929</v>
      </c>
      <c r="AD10" s="29">
        <f t="shared" si="6"/>
        <v>0.17888922897458148</v>
      </c>
      <c r="AE10" s="29">
        <f t="shared" si="6"/>
        <v>0.41765289520166349</v>
      </c>
      <c r="AF10" s="29">
        <f t="shared" si="6"/>
        <v>0.52561724280605326</v>
      </c>
      <c r="AG10" s="29">
        <f t="shared" si="6"/>
        <v>0.45183288011026151</v>
      </c>
      <c r="AH10" s="29">
        <f t="shared" ref="AH10:AX10" si="7">CORREL(AH13:AH178,$AZ$13:$AZ$178)</f>
        <v>0.71220434173441427</v>
      </c>
      <c r="AI10" s="29">
        <f t="shared" si="7"/>
        <v>0.70570336201797201</v>
      </c>
      <c r="AJ10" s="29">
        <f t="shared" si="7"/>
        <v>0.88555429894493909</v>
      </c>
      <c r="AK10" s="29">
        <f t="shared" si="7"/>
        <v>0.8354057447347536</v>
      </c>
      <c r="AL10" s="29">
        <f t="shared" si="7"/>
        <v>0.77068721039182864</v>
      </c>
      <c r="AM10" s="29">
        <f t="shared" si="7"/>
        <v>0.28205483132253961</v>
      </c>
      <c r="AN10" s="29">
        <f t="shared" si="7"/>
        <v>0.91176840139092696</v>
      </c>
      <c r="AO10" s="29">
        <f t="shared" si="7"/>
        <v>0.8834108578370633</v>
      </c>
      <c r="AP10" s="29">
        <f t="shared" si="7"/>
        <v>0.50397489062412515</v>
      </c>
      <c r="AQ10" s="29">
        <f t="shared" si="7"/>
        <v>0.215477730193506</v>
      </c>
      <c r="AR10" s="29">
        <f t="shared" si="7"/>
        <v>0.62115058475815377</v>
      </c>
      <c r="AS10" s="29">
        <f t="shared" si="7"/>
        <v>0.81841782942938679</v>
      </c>
      <c r="AT10" s="29">
        <f t="shared" si="7"/>
        <v>0.50893535186666528</v>
      </c>
      <c r="AU10" s="29">
        <f t="shared" si="7"/>
        <v>0.67069642014769371</v>
      </c>
      <c r="AV10" s="29">
        <f t="shared" si="7"/>
        <v>0.61565268900544223</v>
      </c>
      <c r="AW10" s="29">
        <f t="shared" si="7"/>
        <v>0.74923998054180774</v>
      </c>
      <c r="AX10" s="29">
        <f t="shared" si="7"/>
        <v>-0.22251051560486199</v>
      </c>
      <c r="AZ10" t="s">
        <v>84</v>
      </c>
    </row>
    <row r="11" spans="1:52" ht="14.25" customHeight="1" x14ac:dyDescent="0.3">
      <c r="A11" s="3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</row>
    <row r="12" spans="1:52" ht="14.25" customHeight="1" x14ac:dyDescent="0.3">
      <c r="A12" s="13" t="s">
        <v>0</v>
      </c>
      <c r="B12" s="13" t="s">
        <v>7</v>
      </c>
      <c r="C12" s="13" t="s">
        <v>8</v>
      </c>
      <c r="D12" s="13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3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19</v>
      </c>
      <c r="O12" s="13" t="s">
        <v>20</v>
      </c>
      <c r="P12" s="13" t="s">
        <v>21</v>
      </c>
      <c r="Q12" s="13" t="s">
        <v>22</v>
      </c>
      <c r="R12" s="13" t="s">
        <v>23</v>
      </c>
      <c r="S12" s="13" t="s">
        <v>24</v>
      </c>
      <c r="T12" s="13" t="s">
        <v>25</v>
      </c>
      <c r="U12" s="13" t="s">
        <v>26</v>
      </c>
      <c r="V12" s="13" t="s">
        <v>27</v>
      </c>
      <c r="W12" s="13" t="s">
        <v>28</v>
      </c>
      <c r="X12" s="13" t="s">
        <v>29</v>
      </c>
      <c r="Y12" s="13" t="s">
        <v>30</v>
      </c>
      <c r="Z12" s="13" t="s">
        <v>31</v>
      </c>
      <c r="AA12" s="13" t="s">
        <v>32</v>
      </c>
      <c r="AB12" s="13" t="s">
        <v>33</v>
      </c>
      <c r="AC12" s="13" t="s">
        <v>34</v>
      </c>
      <c r="AD12" s="13" t="s">
        <v>35</v>
      </c>
      <c r="AE12" s="13" t="s">
        <v>36</v>
      </c>
      <c r="AF12" s="32" t="s">
        <v>85</v>
      </c>
      <c r="AG12" s="13" t="s">
        <v>38</v>
      </c>
      <c r="AH12" s="13" t="s">
        <v>39</v>
      </c>
      <c r="AI12" s="13" t="s">
        <v>40</v>
      </c>
      <c r="AJ12" s="13" t="s">
        <v>41</v>
      </c>
      <c r="AK12" s="13" t="s">
        <v>42</v>
      </c>
      <c r="AL12" s="13" t="s">
        <v>43</v>
      </c>
      <c r="AM12" s="13" t="s">
        <v>44</v>
      </c>
      <c r="AN12" s="13" t="s">
        <v>45</v>
      </c>
      <c r="AO12" s="13" t="s">
        <v>46</v>
      </c>
      <c r="AP12" s="13" t="s">
        <v>47</v>
      </c>
      <c r="AQ12" s="13" t="s">
        <v>48</v>
      </c>
      <c r="AR12" s="13" t="s">
        <v>49</v>
      </c>
      <c r="AS12" s="13" t="s">
        <v>50</v>
      </c>
      <c r="AT12" s="13" t="s">
        <v>51</v>
      </c>
      <c r="AU12" s="13" t="s">
        <v>52</v>
      </c>
      <c r="AV12" s="13" t="s">
        <v>53</v>
      </c>
      <c r="AW12" s="13" t="s">
        <v>54</v>
      </c>
      <c r="AX12" s="13" t="s">
        <v>55</v>
      </c>
      <c r="AY12" s="20" t="s">
        <v>71</v>
      </c>
      <c r="AZ12" s="10" t="s">
        <v>72</v>
      </c>
    </row>
    <row r="13" spans="1:52" ht="14.25" customHeight="1" x14ac:dyDescent="0.3">
      <c r="A13" s="2">
        <v>45658</v>
      </c>
      <c r="B13" s="4">
        <f>$B$4*'NIFTY MEMBS'!C2</f>
        <v>20000</v>
      </c>
      <c r="C13" s="4">
        <f>$C$4*'NIFTY MEMBS'!D2</f>
        <v>20000</v>
      </c>
      <c r="D13" s="4">
        <f>$D$4*'NIFTY MEMBS'!E2</f>
        <v>20000</v>
      </c>
      <c r="E13" s="4">
        <f>$E$4*'NIFTY MEMBS'!F2</f>
        <v>20000</v>
      </c>
      <c r="F13" s="4">
        <f>$F$4*'NIFTY MEMBS'!G2</f>
        <v>20000</v>
      </c>
      <c r="G13" s="4">
        <f>$G$4*'NIFTY MEMBS'!H2</f>
        <v>20000</v>
      </c>
      <c r="H13" s="4">
        <f>$H$4*'NIFTY MEMBS'!I2</f>
        <v>20000</v>
      </c>
      <c r="I13" s="4">
        <f>$I$4*'NIFTY MEMBS'!J2</f>
        <v>20000</v>
      </c>
      <c r="J13" s="4">
        <f>$J$4*'NIFTY MEMBS'!K2</f>
        <v>20000</v>
      </c>
      <c r="K13" s="4">
        <f>$K$4*'NIFTY MEMBS'!L2</f>
        <v>20000</v>
      </c>
      <c r="L13" s="4">
        <f>$L$4*'NIFTY MEMBS'!M2</f>
        <v>20000</v>
      </c>
      <c r="M13" s="4">
        <f>$M$4*'NIFTY MEMBS'!N2</f>
        <v>20000</v>
      </c>
      <c r="N13" s="4">
        <f>$N$4*'NIFTY MEMBS'!O2</f>
        <v>20000</v>
      </c>
      <c r="O13" s="4">
        <f>$O$4*'NIFTY MEMBS'!P2</f>
        <v>20000</v>
      </c>
      <c r="P13" s="4">
        <f>$P$4*'NIFTY MEMBS'!Q2</f>
        <v>20000</v>
      </c>
      <c r="Q13" s="4">
        <f>$Q$4*'NIFTY MEMBS'!R2</f>
        <v>20000</v>
      </c>
      <c r="R13" s="4">
        <f>$R$4*'NIFTY MEMBS'!S2</f>
        <v>20000</v>
      </c>
      <c r="S13" s="4">
        <f>$S$4*'NIFTY MEMBS'!T2</f>
        <v>20000</v>
      </c>
      <c r="T13" s="4">
        <f>$T$4*'NIFTY MEMBS'!U2</f>
        <v>20000</v>
      </c>
      <c r="U13" s="4">
        <f>$U$4*'NIFTY MEMBS'!V2</f>
        <v>20000</v>
      </c>
      <c r="V13" s="4">
        <f>$V$4*'NIFTY MEMBS'!W2</f>
        <v>20000</v>
      </c>
      <c r="W13" s="4">
        <f>$W$4*'NIFTY MEMBS'!X2</f>
        <v>20000</v>
      </c>
      <c r="X13" s="4">
        <f>$X$4*'NIFTY MEMBS'!Y2</f>
        <v>19999.999999999996</v>
      </c>
      <c r="Y13" s="4">
        <f>$Y$4*'NIFTY MEMBS'!Z2</f>
        <v>20000</v>
      </c>
      <c r="Z13" s="4">
        <f>$Z$4*'NIFTY MEMBS'!AA2</f>
        <v>20000</v>
      </c>
      <c r="AA13" s="4">
        <f>$AA$4*'NIFTY MEMBS'!AB2</f>
        <v>20000</v>
      </c>
      <c r="AB13" s="4">
        <f>$AB$4*'NIFTY MEMBS'!AC2</f>
        <v>20000</v>
      </c>
      <c r="AC13" s="4">
        <f>$AC$4*'NIFTY MEMBS'!AD2</f>
        <v>20000</v>
      </c>
      <c r="AD13" s="4">
        <f>$AD$4*'NIFTY MEMBS'!AE2</f>
        <v>20000</v>
      </c>
      <c r="AE13" s="4">
        <f>$AE$4*'NIFTY MEMBS'!AF2</f>
        <v>20000</v>
      </c>
      <c r="AF13" s="4">
        <f>$AF$4*'NIFTY MEMBS'!AG2</f>
        <v>20000</v>
      </c>
      <c r="AG13" s="4">
        <f>$AG$4*'NIFTY MEMBS'!AH2</f>
        <v>20000</v>
      </c>
      <c r="AH13" s="4">
        <f>$AH$4*'NIFTY MEMBS'!AI2</f>
        <v>20000</v>
      </c>
      <c r="AI13" s="4">
        <f>$AI$4*'NIFTY MEMBS'!AJ2</f>
        <v>20000</v>
      </c>
      <c r="AJ13" s="4">
        <f>$AJ$4*'NIFTY MEMBS'!AK2</f>
        <v>20000.000000000004</v>
      </c>
      <c r="AK13" s="4">
        <f>$AK$4*'NIFTY MEMBS'!AL2</f>
        <v>20000</v>
      </c>
      <c r="AL13" s="4">
        <f>$AL$4*'NIFTY MEMBS'!AM2</f>
        <v>20000</v>
      </c>
      <c r="AM13" s="4">
        <f>$AM$4*'NIFTY MEMBS'!AN2</f>
        <v>20000</v>
      </c>
      <c r="AN13" s="4">
        <f>$AN$4*'NIFTY MEMBS'!AO2</f>
        <v>20000</v>
      </c>
      <c r="AO13" s="4">
        <f>$AO$4*'NIFTY MEMBS'!AP2</f>
        <v>19999.999999999996</v>
      </c>
      <c r="AP13" s="4">
        <f>$AP$4*'NIFTY MEMBS'!AQ2</f>
        <v>20000</v>
      </c>
      <c r="AQ13" s="4">
        <f>$AQ$4*'NIFTY MEMBS'!AR2</f>
        <v>20000</v>
      </c>
      <c r="AR13" s="4">
        <f>$AR$4*'NIFTY MEMBS'!AS2</f>
        <v>20000</v>
      </c>
      <c r="AS13" s="4">
        <f>$AS$4*'NIFTY MEMBS'!AT2</f>
        <v>20000</v>
      </c>
      <c r="AT13" s="4">
        <f>$AT$4*'NIFTY MEMBS'!AU2</f>
        <v>19999.999999999996</v>
      </c>
      <c r="AU13" s="4">
        <f>$AU$4*'NIFTY MEMBS'!AV2</f>
        <v>20000</v>
      </c>
      <c r="AV13" s="4">
        <f>$AV$4*'NIFTY MEMBS'!AW2</f>
        <v>20000</v>
      </c>
      <c r="AW13" s="4">
        <f>$AW$4*'NIFTY MEMBS'!AX2</f>
        <v>20000</v>
      </c>
      <c r="AX13" s="4">
        <f>$AX$4*'NIFTY MEMBS'!AY2</f>
        <v>20000</v>
      </c>
      <c r="AY13" s="4">
        <f>SUM(B13:AX13)</f>
        <v>980000</v>
      </c>
      <c r="AZ13" s="4">
        <f>AY13/$AY$13*100</f>
        <v>100</v>
      </c>
    </row>
    <row r="14" spans="1:52" ht="14.25" customHeight="1" x14ac:dyDescent="0.3">
      <c r="A14" s="2">
        <v>45659</v>
      </c>
      <c r="B14" s="4">
        <f>$B$4*'NIFTY MEMBS'!C3</f>
        <v>20336.540429887409</v>
      </c>
      <c r="C14" s="4">
        <f>$C$4*'NIFTY MEMBS'!D3</f>
        <v>20123.404159842044</v>
      </c>
      <c r="D14" s="4">
        <f>$D$4*'NIFTY MEMBS'!E3</f>
        <v>20175.471579870904</v>
      </c>
      <c r="E14" s="4">
        <f>$E$4*'NIFTY MEMBS'!F3</f>
        <v>20307.845688093472</v>
      </c>
      <c r="F14" s="4">
        <f>$F$4*'NIFTY MEMBS'!G3</f>
        <v>20108.284968644097</v>
      </c>
      <c r="G14" s="4">
        <f>$G$4*'NIFTY MEMBS'!H3</f>
        <v>20201.714573877962</v>
      </c>
      <c r="H14" s="4">
        <f>$H$4*'NIFTY MEMBS'!I3</f>
        <v>20800.531208499335</v>
      </c>
      <c r="I14" s="4">
        <f>$I$4*'NIFTY MEMBS'!J3</f>
        <v>20412.557598725292</v>
      </c>
      <c r="J14" s="4">
        <f>$J$4*'NIFTY MEMBS'!K3</f>
        <v>21308.955632777241</v>
      </c>
      <c r="K14" s="4">
        <f>$K$4*'NIFTY MEMBS'!L3</f>
        <v>20210.999956314707</v>
      </c>
      <c r="L14" s="4">
        <f>$L$4*'NIFTY MEMBS'!M3</f>
        <v>20250.852079072938</v>
      </c>
      <c r="M14" s="4">
        <f>$M$4*'NIFTY MEMBS'!N3</f>
        <v>21129.520087792083</v>
      </c>
      <c r="N14" s="4">
        <f>$N$4*'NIFTY MEMBS'!O3</f>
        <v>20837.767683322516</v>
      </c>
      <c r="O14" s="4">
        <f>$O$4*'NIFTY MEMBS'!P3</f>
        <v>20545.180049205992</v>
      </c>
      <c r="P14" s="4">
        <f>$P$4*'NIFTY MEMBS'!Q3</f>
        <v>20630.246606867335</v>
      </c>
      <c r="Q14" s="4">
        <f>$Q$4*'NIFTY MEMBS'!R3</f>
        <v>19873.541628085397</v>
      </c>
      <c r="R14" s="4">
        <f>$R$4*'NIFTY MEMBS'!S3</f>
        <v>20612.736961649342</v>
      </c>
      <c r="S14" s="4">
        <f>$S$4*'NIFTY MEMBS'!T3</f>
        <v>20276.170927411829</v>
      </c>
      <c r="T14" s="4">
        <f>$T$4*'NIFTY MEMBS'!U3</f>
        <v>21576.376554174069</v>
      </c>
      <c r="U14" s="4">
        <f>$U$4*'NIFTY MEMBS'!V3</f>
        <v>20830.400909691598</v>
      </c>
      <c r="V14" s="4">
        <f>$V$4*'NIFTY MEMBS'!W3</f>
        <v>20260.752285328937</v>
      </c>
      <c r="W14" s="4">
        <f>$W$4*'NIFTY MEMBS'!X3</f>
        <v>20585.895117540691</v>
      </c>
      <c r="X14" s="4">
        <f>$X$4*'NIFTY MEMBS'!Y3</f>
        <v>20119.79978665791</v>
      </c>
      <c r="Y14" s="4">
        <f>$Y$4*'NIFTY MEMBS'!Z3</f>
        <v>20769.782654568477</v>
      </c>
      <c r="Z14" s="4">
        <f>$Z$4*'NIFTY MEMBS'!AA3</f>
        <v>20197.346036066694</v>
      </c>
      <c r="AA14" s="4">
        <f>$AA$4*'NIFTY MEMBS'!AB3</f>
        <v>20155.723673311611</v>
      </c>
      <c r="AB14" s="4">
        <f>$AB$4*'NIFTY MEMBS'!AC3</f>
        <v>20233.100233100235</v>
      </c>
      <c r="AC14" s="4">
        <f>$AC$4*'NIFTY MEMBS'!AD3</f>
        <v>20306.056701030928</v>
      </c>
      <c r="AD14" s="4">
        <f>$AD$4*'NIFTY MEMBS'!AE3</f>
        <v>20421.755088421753</v>
      </c>
      <c r="AE14" s="4">
        <f>$AE$4*'NIFTY MEMBS'!AF3</f>
        <v>20775.580484065649</v>
      </c>
      <c r="AF14" s="4">
        <f>$AF$4*'NIFTY MEMBS'!AG3</f>
        <v>20334.974941965156</v>
      </c>
      <c r="AG14" s="4">
        <f>$AG$4*'NIFTY MEMBS'!AH3</f>
        <v>20339.026915113871</v>
      </c>
      <c r="AH14" s="4">
        <f>$AH$4*'NIFTY MEMBS'!AI3</f>
        <v>20285.445593848537</v>
      </c>
      <c r="AI14" s="4">
        <f>$AI$4*'NIFTY MEMBS'!AJ3</f>
        <v>20210.618692408952</v>
      </c>
      <c r="AJ14" s="4">
        <f>$AJ$4*'NIFTY MEMBS'!AK3</f>
        <v>20016.423057973396</v>
      </c>
      <c r="AK14" s="4">
        <f>$AK$4*'NIFTY MEMBS'!AL3</f>
        <v>20833.691624183604</v>
      </c>
      <c r="AL14" s="4">
        <f>$AL$4*'NIFTY MEMBS'!AM3</f>
        <v>21730.907006734487</v>
      </c>
      <c r="AM14" s="4">
        <f>$AM$4*'NIFTY MEMBS'!AN3</f>
        <v>20715.756113779615</v>
      </c>
      <c r="AN14" s="4">
        <f>$AN$4*'NIFTY MEMBS'!AO3</f>
        <v>20312.053698943157</v>
      </c>
      <c r="AO14" s="4">
        <f>$AO$4*'NIFTY MEMBS'!AP3</f>
        <v>20095.593000648085</v>
      </c>
      <c r="AP14" s="4">
        <f>$AP$4*'NIFTY MEMBS'!AQ3</f>
        <v>20204.064423644486</v>
      </c>
      <c r="AQ14" s="4">
        <f>$AQ$4*'NIFTY MEMBS'!AR3</f>
        <v>20271.150629456821</v>
      </c>
      <c r="AR14" s="4">
        <f>$AR$4*'NIFTY MEMBS'!AS3</f>
        <v>20115.100385847887</v>
      </c>
      <c r="AS14" s="4">
        <f>$AS$4*'NIFTY MEMBS'!AT3</f>
        <v>20141.119320456193</v>
      </c>
      <c r="AT14" s="4">
        <f>$AT$4*'NIFTY MEMBS'!AU3</f>
        <v>20968.941120038369</v>
      </c>
      <c r="AU14" s="4">
        <f>$AU$4*'NIFTY MEMBS'!AV3</f>
        <v>20203.194610453113</v>
      </c>
      <c r="AV14" s="4">
        <f>$AV$4*'NIFTY MEMBS'!AW3</f>
        <v>20088.385682980279</v>
      </c>
      <c r="AW14" s="4">
        <f>$AW$4*'NIFTY MEMBS'!AX3</f>
        <v>20607.740748264365</v>
      </c>
      <c r="AX14" s="4">
        <f>$AX$4*'NIFTY MEMBS'!AY3</f>
        <v>20452.857437590264</v>
      </c>
      <c r="AY14" s="4">
        <f t="shared" ref="AY14:AY77" si="8">SUM(B14:AX14)</f>
        <v>1002301.9363482291</v>
      </c>
      <c r="AZ14" s="4">
        <f t="shared" ref="AZ14:AZ77" si="9">AY14/$AY$13*100</f>
        <v>102.27570779063562</v>
      </c>
    </row>
    <row r="15" spans="1:52" ht="14.25" customHeight="1" x14ac:dyDescent="0.3">
      <c r="A15" s="2">
        <v>45660</v>
      </c>
      <c r="B15" s="4">
        <f>$B$4*'NIFTY MEMBS'!C4</f>
        <v>20489.66223132037</v>
      </c>
      <c r="C15" s="4">
        <f>$C$4*'NIFTY MEMBS'!D4</f>
        <v>19623.505126881915</v>
      </c>
      <c r="D15" s="4">
        <f>$D$4*'NIFTY MEMBS'!E4</f>
        <v>20039.48110547095</v>
      </c>
      <c r="E15" s="4">
        <f>$E$4*'NIFTY MEMBS'!F4</f>
        <v>19938.965823292681</v>
      </c>
      <c r="F15" s="4">
        <f>$F$4*'NIFTY MEMBS'!G4</f>
        <v>19710.201378880534</v>
      </c>
      <c r="G15" s="4">
        <f>$G$4*'NIFTY MEMBS'!H4</f>
        <v>20005.042864346946</v>
      </c>
      <c r="H15" s="4">
        <f>$H$4*'NIFTY MEMBS'!I4</f>
        <v>20597.609561752986</v>
      </c>
      <c r="I15" s="4">
        <f>$I$4*'NIFTY MEMBS'!J4</f>
        <v>20724.774988157274</v>
      </c>
      <c r="J15" s="4">
        <f>$J$4*'NIFTY MEMBS'!K4</f>
        <v>21360.863985696364</v>
      </c>
      <c r="K15" s="4">
        <f>$K$4*'NIFTY MEMBS'!L4</f>
        <v>19903.018653619325</v>
      </c>
      <c r="L15" s="4">
        <f>$L$4*'NIFTY MEMBS'!M4</f>
        <v>19958.554873892295</v>
      </c>
      <c r="M15" s="4">
        <f>$M$4*'NIFTY MEMBS'!N4</f>
        <v>21295.379317113213</v>
      </c>
      <c r="N15" s="4">
        <f>$N$4*'NIFTY MEMBS'!O4</f>
        <v>20704.412719013628</v>
      </c>
      <c r="O15" s="4">
        <f>$O$4*'NIFTY MEMBS'!P4</f>
        <v>20561.954819950792</v>
      </c>
      <c r="P15" s="4">
        <f>$P$4*'NIFTY MEMBS'!Q4</f>
        <v>20362.980203457202</v>
      </c>
      <c r="Q15" s="4">
        <f>$Q$4*'NIFTY MEMBS'!R4</f>
        <v>19573.533691367495</v>
      </c>
      <c r="R15" s="4">
        <f>$R$4*'NIFTY MEMBS'!S4</f>
        <v>20592.294924434347</v>
      </c>
      <c r="S15" s="4">
        <f>$S$4*'NIFTY MEMBS'!T4</f>
        <v>20244.448591155069</v>
      </c>
      <c r="T15" s="4">
        <f>$T$4*'NIFTY MEMBS'!U4</f>
        <v>21582.085765034251</v>
      </c>
      <c r="U15" s="4">
        <f>$U$4*'NIFTY MEMBS'!V4</f>
        <v>21215.790525070304</v>
      </c>
      <c r="V15" s="4">
        <f>$V$4*'NIFTY MEMBS'!W4</f>
        <v>20371.646935411361</v>
      </c>
      <c r="W15" s="4">
        <f>$W$4*'NIFTY MEMBS'!X4</f>
        <v>19735.985533453892</v>
      </c>
      <c r="X15" s="4">
        <f>$X$4*'NIFTY MEMBS'!Y4</f>
        <v>19685.730696643961</v>
      </c>
      <c r="Y15" s="4">
        <f>$Y$4*'NIFTY MEMBS'!Z4</f>
        <v>21851.867482591264</v>
      </c>
      <c r="Z15" s="4">
        <f>$Z$4*'NIFTY MEMBS'!AA4</f>
        <v>19867.301803334471</v>
      </c>
      <c r="AA15" s="4">
        <f>$AA$4*'NIFTY MEMBS'!AB4</f>
        <v>20212.049257275386</v>
      </c>
      <c r="AB15" s="4">
        <f>$AB$4*'NIFTY MEMBS'!AC4</f>
        <v>19610.389610389608</v>
      </c>
      <c r="AC15" s="4">
        <f>$AC$4*'NIFTY MEMBS'!AD4</f>
        <v>20364.046391752581</v>
      </c>
      <c r="AD15" s="4">
        <f>$AD$4*'NIFTY MEMBS'!AE4</f>
        <v>21098.43176509843</v>
      </c>
      <c r="AE15" s="4">
        <f>$AE$4*'NIFTY MEMBS'!AF4</f>
        <v>20515.184971197468</v>
      </c>
      <c r="AF15" s="4">
        <f>$AF$4*'NIFTY MEMBS'!AG4</f>
        <v>20271.624758640137</v>
      </c>
      <c r="AG15" s="4">
        <f>$AG$4*'NIFTY MEMBS'!AH4</f>
        <v>20375.258799171843</v>
      </c>
      <c r="AH15" s="4">
        <f>$AH$4*'NIFTY MEMBS'!AI4</f>
        <v>20585.089708838121</v>
      </c>
      <c r="AI15" s="4">
        <f>$AI$4*'NIFTY MEMBS'!AJ4</f>
        <v>20236.946028960072</v>
      </c>
      <c r="AJ15" s="4">
        <f>$AJ$4*'NIFTY MEMBS'!AK4</f>
        <v>20197.076695680738</v>
      </c>
      <c r="AK15" s="4">
        <f>$AK$4*'NIFTY MEMBS'!AL4</f>
        <v>20555.65792436992</v>
      </c>
      <c r="AL15" s="4">
        <f>$AL$4*'NIFTY MEMBS'!AM4</f>
        <v>21741.755879884549</v>
      </c>
      <c r="AM15" s="4">
        <f>$AM$4*'NIFTY MEMBS'!AN4</f>
        <v>20678.121971406541</v>
      </c>
      <c r="AN15" s="4">
        <f>$AN$4*'NIFTY MEMBS'!AO4</f>
        <v>20675.521279634388</v>
      </c>
      <c r="AO15" s="4">
        <f>$AO$4*'NIFTY MEMBS'!AP4</f>
        <v>20187.945560596236</v>
      </c>
      <c r="AP15" s="4">
        <f>$AP$4*'NIFTY MEMBS'!AQ4</f>
        <v>19939.286617758662</v>
      </c>
      <c r="AQ15" s="4">
        <f>$AQ$4*'NIFTY MEMBS'!AR4</f>
        <v>19830.971036182764</v>
      </c>
      <c r="AR15" s="4">
        <f>$AR$4*'NIFTY MEMBS'!AS4</f>
        <v>19766.529330979007</v>
      </c>
      <c r="AS15" s="4">
        <f>$AS$4*'NIFTY MEMBS'!AT4</f>
        <v>19806.50370098987</v>
      </c>
      <c r="AT15" s="4">
        <f>$AT$4*'NIFTY MEMBS'!AU4</f>
        <v>20888.767066965887</v>
      </c>
      <c r="AU15" s="4">
        <f>$AU$4*'NIFTY MEMBS'!AV4</f>
        <v>20416.168640660657</v>
      </c>
      <c r="AV15" s="4">
        <f>$AV$4*'NIFTY MEMBS'!AW4</f>
        <v>19761.139517896278</v>
      </c>
      <c r="AW15" s="4">
        <f>$AW$4*'NIFTY MEMBS'!AX4</f>
        <v>20280.8082497879</v>
      </c>
      <c r="AX15" s="4">
        <f>$AX$4*'NIFTY MEMBS'!AY4</f>
        <v>20587.992572725398</v>
      </c>
      <c r="AY15" s="4">
        <f t="shared" si="8"/>
        <v>998580.36093818536</v>
      </c>
      <c r="AZ15" s="4">
        <f t="shared" si="9"/>
        <v>101.89595519777401</v>
      </c>
    </row>
    <row r="16" spans="1:52" ht="14.25" customHeight="1" x14ac:dyDescent="0.3">
      <c r="A16" s="2">
        <v>45663</v>
      </c>
      <c r="B16" s="4">
        <f>$B$4*'NIFTY MEMBS'!C5</f>
        <v>19946.7758444217</v>
      </c>
      <c r="C16" s="4">
        <f>$C$4*'NIFTY MEMBS'!D5</f>
        <v>19189.346855437638</v>
      </c>
      <c r="D16" s="4">
        <f>$D$4*'NIFTY MEMBS'!E5</f>
        <v>19909.130788995426</v>
      </c>
      <c r="E16" s="4">
        <f>$E$4*'NIFTY MEMBS'!F5</f>
        <v>19915.135746331263</v>
      </c>
      <c r="F16" s="4">
        <f>$F$4*'NIFTY MEMBS'!G5</f>
        <v>19695.399836404002</v>
      </c>
      <c r="G16" s="4">
        <f>$G$4*'NIFTY MEMBS'!H5</f>
        <v>19576.399394856275</v>
      </c>
      <c r="H16" s="4">
        <f>$H$4*'NIFTY MEMBS'!I5</f>
        <v>20588.047808764939</v>
      </c>
      <c r="I16" s="4">
        <f>$I$4*'NIFTY MEMBS'!J5</f>
        <v>20465.957538435039</v>
      </c>
      <c r="J16" s="4">
        <f>$J$4*'NIFTY MEMBS'!K5</f>
        <v>21193.892117139847</v>
      </c>
      <c r="K16" s="4">
        <f>$K$4*'NIFTY MEMBS'!L5</f>
        <v>19337.294133065396</v>
      </c>
      <c r="L16" s="4">
        <f>$L$4*'NIFTY MEMBS'!M5</f>
        <v>19649.352419904564</v>
      </c>
      <c r="M16" s="4">
        <f>$M$4*'NIFTY MEMBS'!N5</f>
        <v>20976.686919515003</v>
      </c>
      <c r="N16" s="4">
        <f>$N$4*'NIFTY MEMBS'!O5</f>
        <v>20153.796236210252</v>
      </c>
      <c r="O16" s="4">
        <f>$O$4*'NIFTY MEMBS'!P5</f>
        <v>19902.147170655335</v>
      </c>
      <c r="P16" s="4">
        <f>$P$4*'NIFTY MEMBS'!Q5</f>
        <v>20429.927560867178</v>
      </c>
      <c r="Q16" s="4">
        <f>$Q$4*'NIFTY MEMBS'!R5</f>
        <v>19549.723537659727</v>
      </c>
      <c r="R16" s="4">
        <f>$R$4*'NIFTY MEMBS'!S5</f>
        <v>20098.890539005853</v>
      </c>
      <c r="S16" s="4">
        <f>$S$4*'NIFTY MEMBS'!T5</f>
        <v>19843.25433849599</v>
      </c>
      <c r="T16" s="4">
        <f>$T$4*'NIFTY MEMBS'!U5</f>
        <v>21372.748033494034</v>
      </c>
      <c r="U16" s="4">
        <f>$U$4*'NIFTY MEMBS'!V5</f>
        <v>21331.038615793601</v>
      </c>
      <c r="V16" s="4">
        <f>$V$4*'NIFTY MEMBS'!W5</f>
        <v>19631.350217293573</v>
      </c>
      <c r="W16" s="4">
        <f>$W$4*'NIFTY MEMBS'!X5</f>
        <v>19157.323688969263</v>
      </c>
      <c r="X16" s="4">
        <f>$X$4*'NIFTY MEMBS'!Y5</f>
        <v>19086.73176335439</v>
      </c>
      <c r="Y16" s="4">
        <f>$Y$4*'NIFTY MEMBS'!Z5</f>
        <v>21469.508335091792</v>
      </c>
      <c r="Z16" s="4">
        <f>$Z$4*'NIFTY MEMBS'!AA5</f>
        <v>19200.408302143587</v>
      </c>
      <c r="AA16" s="4">
        <f>$AA$4*'NIFTY MEMBS'!AB5</f>
        <v>19899.497487437184</v>
      </c>
      <c r="AB16" s="4">
        <f>$AB$4*'NIFTY MEMBS'!AC5</f>
        <v>19600.3996003996</v>
      </c>
      <c r="AC16" s="4">
        <f>$AC$4*'NIFTY MEMBS'!AD5</f>
        <v>19716.494845360827</v>
      </c>
      <c r="AD16" s="4">
        <f>$AD$4*'NIFTY MEMBS'!AE5</f>
        <v>20720.720720720721</v>
      </c>
      <c r="AE16" s="4">
        <f>$AE$4*'NIFTY MEMBS'!AF5</f>
        <v>20190.605854322672</v>
      </c>
      <c r="AF16" s="4">
        <f>$AF$4*'NIFTY MEMBS'!AG5</f>
        <v>19674.570976070117</v>
      </c>
      <c r="AG16" s="4">
        <f>$AG$4*'NIFTY MEMBS'!AH5</f>
        <v>19604.037267080745</v>
      </c>
      <c r="AH16" s="4">
        <f>$AH$4*'NIFTY MEMBS'!AI5</f>
        <v>20145.304346222645</v>
      </c>
      <c r="AI16" s="4">
        <f>$AI$4*'NIFTY MEMBS'!AJ5</f>
        <v>19333.040807371654</v>
      </c>
      <c r="AJ16" s="4">
        <f>$AJ$4*'NIFTY MEMBS'!AK5</f>
        <v>19490.885202824767</v>
      </c>
      <c r="AK16" s="4">
        <f>$AK$4*'NIFTY MEMBS'!AL5</f>
        <v>20150.686894744384</v>
      </c>
      <c r="AL16" s="4">
        <f>$AL$4*'NIFTY MEMBS'!AM5</f>
        <v>21493.459971751989</v>
      </c>
      <c r="AM16" s="4">
        <f>$AM$4*'NIFTY MEMBS'!AN5</f>
        <v>19802.774456886978</v>
      </c>
      <c r="AN16" s="4">
        <f>$AN$4*'NIFTY MEMBS'!AO5</f>
        <v>20489.145958297628</v>
      </c>
      <c r="AO16" s="4">
        <f>$AO$4*'NIFTY MEMBS'!AP5</f>
        <v>19635.45042125729</v>
      </c>
      <c r="AP16" s="4">
        <f>$AP$4*'NIFTY MEMBS'!AQ5</f>
        <v>19364.195969306013</v>
      </c>
      <c r="AQ16" s="4">
        <f>$AQ$4*'NIFTY MEMBS'!AR5</f>
        <v>19793.99595034774</v>
      </c>
      <c r="AR16" s="4">
        <f>$AR$4*'NIFTY MEMBS'!AS5</f>
        <v>19506.899483356225</v>
      </c>
      <c r="AS16" s="4">
        <f>$AS$4*'NIFTY MEMBS'!AT5</f>
        <v>20161.473068598913</v>
      </c>
      <c r="AT16" s="4">
        <f>$AT$4*'NIFTY MEMBS'!AU5</f>
        <v>20348.791393281135</v>
      </c>
      <c r="AU16" s="4">
        <f>$AU$4*'NIFTY MEMBS'!AV5</f>
        <v>20578.072367706183</v>
      </c>
      <c r="AV16" s="4">
        <f>$AV$4*'NIFTY MEMBS'!AW5</f>
        <v>19727.538349159971</v>
      </c>
      <c r="AW16" s="4">
        <f>$AW$4*'NIFTY MEMBS'!AX5</f>
        <v>20088.185739720626</v>
      </c>
      <c r="AX16" s="4">
        <f>$AX$4*'NIFTY MEMBS'!AY5</f>
        <v>20013.41035692181</v>
      </c>
      <c r="AY16" s="4">
        <f t="shared" si="8"/>
        <v>981199.90523145348</v>
      </c>
      <c r="AZ16" s="4">
        <f t="shared" si="9"/>
        <v>100.12243930933198</v>
      </c>
    </row>
    <row r="17" spans="1:52" ht="14.25" customHeight="1" x14ac:dyDescent="0.3">
      <c r="A17" s="2">
        <v>45664</v>
      </c>
      <c r="B17" s="4">
        <f>$B$4*'NIFTY MEMBS'!C6</f>
        <v>20320.98259979529</v>
      </c>
      <c r="C17" s="4">
        <f>$C$4*'NIFTY MEMBS'!D6</f>
        <v>19221.880679395996</v>
      </c>
      <c r="D17" s="4">
        <f>$D$4*'NIFTY MEMBS'!E6</f>
        <v>19939.211631259008</v>
      </c>
      <c r="E17" s="4">
        <f>$E$4*'NIFTY MEMBS'!F6</f>
        <v>19590.754902795172</v>
      </c>
      <c r="F17" s="4">
        <f>$F$4*'NIFTY MEMBS'!G6</f>
        <v>19931.445487477115</v>
      </c>
      <c r="G17" s="4">
        <f>$G$4*'NIFTY MEMBS'!H6</f>
        <v>19635.653050932928</v>
      </c>
      <c r="H17" s="4">
        <f>$H$4*'NIFTY MEMBS'!I6</f>
        <v>20513.678618857899</v>
      </c>
      <c r="I17" s="4">
        <f>$I$4*'NIFTY MEMBS'!J6</f>
        <v>20591.705783557991</v>
      </c>
      <c r="J17" s="4">
        <f>$J$4*'NIFTY MEMBS'!K6</f>
        <v>21207.445964846509</v>
      </c>
      <c r="K17" s="4">
        <f>$K$4*'NIFTY MEMBS'!L6</f>
        <v>19269.581931763576</v>
      </c>
      <c r="L17" s="4">
        <f>$L$4*'NIFTY MEMBS'!M6</f>
        <v>19868.029993183369</v>
      </c>
      <c r="M17" s="4">
        <f>$M$4*'NIFTY MEMBS'!N6</f>
        <v>20915.393056931025</v>
      </c>
      <c r="N17" s="4">
        <f>$N$4*'NIFTY MEMBS'!O6</f>
        <v>20174.237508111615</v>
      </c>
      <c r="O17" s="4">
        <f>$O$4*'NIFTY MEMBS'!P6</f>
        <v>19817.154998881681</v>
      </c>
      <c r="P17" s="4">
        <f>$P$4*'NIFTY MEMBS'!Q6</f>
        <v>20041.319072151469</v>
      </c>
      <c r="Q17" s="4">
        <f>$Q$4*'NIFTY MEMBS'!R6</f>
        <v>19613.217280880446</v>
      </c>
      <c r="R17" s="4">
        <f>$R$4*'NIFTY MEMBS'!S6</f>
        <v>20299.729186686465</v>
      </c>
      <c r="S17" s="4">
        <f>$S$4*'NIFTY MEMBS'!T6</f>
        <v>19919.761149468184</v>
      </c>
      <c r="T17" s="4">
        <f>$T$4*'NIFTY MEMBS'!U6</f>
        <v>21349.276833291042</v>
      </c>
      <c r="U17" s="4">
        <f>$U$4*'NIFTY MEMBS'!V6</f>
        <v>21544.324415692179</v>
      </c>
      <c r="V17" s="4">
        <f>$V$4*'NIFTY MEMBS'!W6</f>
        <v>19697.287576802039</v>
      </c>
      <c r="W17" s="4">
        <f>$W$4*'NIFTY MEMBS'!X6</f>
        <v>18260.397830018082</v>
      </c>
      <c r="X17" s="4">
        <f>$X$4*'NIFTY MEMBS'!Y6</f>
        <v>19266.431443341262</v>
      </c>
      <c r="Y17" s="4">
        <f>$Y$4*'NIFTY MEMBS'!Z6</f>
        <v>22240.135049588524</v>
      </c>
      <c r="Z17" s="4">
        <f>$Z$4*'NIFTY MEMBS'!AA6</f>
        <v>19530.452534875811</v>
      </c>
      <c r="AA17" s="4">
        <f>$AA$4*'NIFTY MEMBS'!AB6</f>
        <v>20140.261748301949</v>
      </c>
      <c r="AB17" s="4">
        <f>$AB$4*'NIFTY MEMBS'!AC6</f>
        <v>19583.749583749584</v>
      </c>
      <c r="AC17" s="4">
        <f>$AC$4*'NIFTY MEMBS'!AD6</f>
        <v>19655.283505154643</v>
      </c>
      <c r="AD17" s="4">
        <f>$AD$4*'NIFTY MEMBS'!AE6</f>
        <v>21174.507841174505</v>
      </c>
      <c r="AE17" s="4">
        <f>$AE$4*'NIFTY MEMBS'!AF6</f>
        <v>20159.600940444252</v>
      </c>
      <c r="AF17" s="4">
        <f>$AF$4*'NIFTY MEMBS'!AG6</f>
        <v>19895.428806977197</v>
      </c>
      <c r="AG17" s="4">
        <f>$AG$4*'NIFTY MEMBS'!AH6</f>
        <v>19658.385093167704</v>
      </c>
      <c r="AH17" s="4">
        <f>$AH$4*'NIFTY MEMBS'!AI6</f>
        <v>20400.140141247626</v>
      </c>
      <c r="AI17" s="4">
        <f>$AI$4*'NIFTY MEMBS'!AJ6</f>
        <v>19508.556384379113</v>
      </c>
      <c r="AJ17" s="4">
        <f>$AJ$4*'NIFTY MEMBS'!AK6</f>
        <v>19651.831170964037</v>
      </c>
      <c r="AK17" s="4">
        <f>$AK$4*'NIFTY MEMBS'!AL6</f>
        <v>20205.556579243697</v>
      </c>
      <c r="AL17" s="4">
        <f>$AL$4*'NIFTY MEMBS'!AM6</f>
        <v>21195.423003704993</v>
      </c>
      <c r="AM17" s="4">
        <f>$AM$4*'NIFTY MEMBS'!AN6</f>
        <v>19451.758264302036</v>
      </c>
      <c r="AN17" s="4">
        <f>$AN$4*'NIFTY MEMBS'!AO6</f>
        <v>21104.684375892601</v>
      </c>
      <c r="AO17" s="4">
        <f>$AO$4*'NIFTY MEMBS'!AP6</f>
        <v>20085.871678548279</v>
      </c>
      <c r="AP17" s="4">
        <f>$AP$4*'NIFTY MEMBS'!AQ6</f>
        <v>19714.984400033729</v>
      </c>
      <c r="AQ17" s="4">
        <f>$AQ$4*'NIFTY MEMBS'!AR6</f>
        <v>19616.163394665025</v>
      </c>
      <c r="AR17" s="4">
        <f>$AR$4*'NIFTY MEMBS'!AS6</f>
        <v>19586.030998626644</v>
      </c>
      <c r="AS17" s="4">
        <f>$AS$4*'NIFTY MEMBS'!AT6</f>
        <v>20182.098200050204</v>
      </c>
      <c r="AT17" s="4">
        <f>$AT$4*'NIFTY MEMBS'!AU6</f>
        <v>20272.386205951378</v>
      </c>
      <c r="AU17" s="4">
        <f>$AU$4*'NIFTY MEMBS'!AV6</f>
        <v>20754.101923285885</v>
      </c>
      <c r="AV17" s="4">
        <f>$AV$4*'NIFTY MEMBS'!AW6</f>
        <v>19745.069393718044</v>
      </c>
      <c r="AW17" s="4">
        <f>$AW$4*'NIFTY MEMBS'!AX6</f>
        <v>19893.412357952846</v>
      </c>
      <c r="AX17" s="4">
        <f>$AX$4*'NIFTY MEMBS'!AY6</f>
        <v>20292.964720445638</v>
      </c>
      <c r="AY17" s="4">
        <f t="shared" si="8"/>
        <v>984687.73929256632</v>
      </c>
      <c r="AZ17" s="4">
        <f t="shared" si="9"/>
        <v>100.47834074413942</v>
      </c>
    </row>
    <row r="18" spans="1:52" ht="14.25" customHeight="1" x14ac:dyDescent="0.3">
      <c r="A18" s="2">
        <v>45665</v>
      </c>
      <c r="B18" s="4">
        <f>$B$4*'NIFTY MEMBS'!C7</f>
        <v>20724.667349027633</v>
      </c>
      <c r="C18" s="4">
        <f>$C$4*'NIFTY MEMBS'!D7</f>
        <v>19007.606183670265</v>
      </c>
      <c r="D18" s="4">
        <f>$D$4*'NIFTY MEMBS'!E7</f>
        <v>20043.867894967727</v>
      </c>
      <c r="E18" s="4">
        <f>$E$4*'NIFTY MEMBS'!F7</f>
        <v>19980.303711899232</v>
      </c>
      <c r="F18" s="4">
        <f>$F$4*'NIFTY MEMBS'!G7</f>
        <v>19689.946636544228</v>
      </c>
      <c r="G18" s="4">
        <f>$G$4*'NIFTY MEMBS'!H7</f>
        <v>19444.024205748861</v>
      </c>
      <c r="H18" s="4">
        <f>$H$4*'NIFTY MEMBS'!I7</f>
        <v>20538.114209827356</v>
      </c>
      <c r="I18" s="4">
        <f>$I$4*'NIFTY MEMBS'!J7</f>
        <v>20679.557297274023</v>
      </c>
      <c r="J18" s="4">
        <f>$J$4*'NIFTY MEMBS'!K7</f>
        <v>21211.483281184661</v>
      </c>
      <c r="K18" s="4">
        <f>$K$4*'NIFTY MEMBS'!L7</f>
        <v>19638.72264208641</v>
      </c>
      <c r="L18" s="4">
        <f>$L$4*'NIFTY MEMBS'!M7</f>
        <v>19611.997273346966</v>
      </c>
      <c r="M18" s="4">
        <f>$M$4*'NIFTY MEMBS'!N7</f>
        <v>21095.081323661932</v>
      </c>
      <c r="N18" s="4">
        <f>$N$4*'NIFTY MEMBS'!O7</f>
        <v>20026.606099935107</v>
      </c>
      <c r="O18" s="4">
        <f>$O$4*'NIFTY MEMBS'!P7</f>
        <v>19779.132185193466</v>
      </c>
      <c r="P18" s="4">
        <f>$P$4*'NIFTY MEMBS'!Q7</f>
        <v>20212.348649284762</v>
      </c>
      <c r="Q18" s="4">
        <f>$Q$4*'NIFTY MEMBS'!R7</f>
        <v>19447.604433979734</v>
      </c>
      <c r="R18" s="4">
        <f>$R$4*'NIFTY MEMBS'!S7</f>
        <v>19924.084913077659</v>
      </c>
      <c r="S18" s="4">
        <f>$S$4*'NIFTY MEMBS'!T7</f>
        <v>20058.779623064005</v>
      </c>
      <c r="T18" s="4">
        <f>$T$4*'NIFTY MEMBS'!U7</f>
        <v>21530.06851053032</v>
      </c>
      <c r="U18" s="4">
        <f>$U$4*'NIFTY MEMBS'!V7</f>
        <v>21414.93922584016</v>
      </c>
      <c r="V18" s="4">
        <f>$V$4*'NIFTY MEMBS'!W7</f>
        <v>19505.469803686497</v>
      </c>
      <c r="W18" s="4">
        <f>$W$4*'NIFTY MEMBS'!X7</f>
        <v>18086.799276672697</v>
      </c>
      <c r="X18" s="4">
        <f>$X$4*'NIFTY MEMBS'!Y7</f>
        <v>18910.314269303351</v>
      </c>
      <c r="Y18" s="4">
        <f>$Y$4*'NIFTY MEMBS'!Z7</f>
        <v>22901.878033340367</v>
      </c>
      <c r="Z18" s="4">
        <f>$Z$4*'NIFTY MEMBS'!AA7</f>
        <v>19197.005784280373</v>
      </c>
      <c r="AA18" s="4">
        <f>$AA$4*'NIFTY MEMBS'!AB7</f>
        <v>19930.421337456512</v>
      </c>
      <c r="AB18" s="4">
        <f>$AB$4*'NIFTY MEMBS'!AC7</f>
        <v>19816.849816849815</v>
      </c>
      <c r="AC18" s="4">
        <f>$AC$4*'NIFTY MEMBS'!AD7</f>
        <v>19758.376288659794</v>
      </c>
      <c r="AD18" s="4">
        <f>$AD$4*'NIFTY MEMBS'!AE7</f>
        <v>21219.886553219887</v>
      </c>
      <c r="AE18" s="4">
        <f>$AE$4*'NIFTY MEMBS'!AF7</f>
        <v>19775.071362786097</v>
      </c>
      <c r="AF18" s="4">
        <f>$AF$4*'NIFTY MEMBS'!AG7</f>
        <v>20257.739786952465</v>
      </c>
      <c r="AG18" s="4">
        <f>$AG$4*'NIFTY MEMBS'!AH7</f>
        <v>19686.853002070395</v>
      </c>
      <c r="AH18" s="4">
        <f>$AH$4*'NIFTY MEMBS'!AI7</f>
        <v>20467.076026626841</v>
      </c>
      <c r="AI18" s="4">
        <f>$AI$4*'NIFTY MEMBS'!AJ7</f>
        <v>19400.321778557842</v>
      </c>
      <c r="AJ18" s="4">
        <f>$AJ$4*'NIFTY MEMBS'!AK7</f>
        <v>19615.700443422571</v>
      </c>
      <c r="AK18" s="4">
        <f>$AK$4*'NIFTY MEMBS'!AL7</f>
        <v>19947.587167045429</v>
      </c>
      <c r="AL18" s="4">
        <f>$AL$4*'NIFTY MEMBS'!AM7</f>
        <v>21137.698810717866</v>
      </c>
      <c r="AM18" s="4">
        <f>$AM$4*'NIFTY MEMBS'!AN7</f>
        <v>18956.006253492833</v>
      </c>
      <c r="AN18" s="4">
        <f>$AN$4*'NIFTY MEMBS'!AO7</f>
        <v>20896.17252213653</v>
      </c>
      <c r="AO18" s="4">
        <f>$AO$4*'NIFTY MEMBS'!AP7</f>
        <v>20025.923525599479</v>
      </c>
      <c r="AP18" s="4">
        <f>$AP$4*'NIFTY MEMBS'!AQ7</f>
        <v>19787.503162155321</v>
      </c>
      <c r="AQ18" s="4">
        <f>$AQ$4*'NIFTY MEMBS'!AR7</f>
        <v>19529.301288258943</v>
      </c>
      <c r="AR18" s="4">
        <f>$AR$4*'NIFTY MEMBS'!AS7</f>
        <v>19552.678045909361</v>
      </c>
      <c r="AS18" s="4">
        <f>$AS$4*'NIFTY MEMBS'!AT7</f>
        <v>19383.959889546994</v>
      </c>
      <c r="AT18" s="4">
        <f>$AT$4*'NIFTY MEMBS'!AU7</f>
        <v>19863.635584945092</v>
      </c>
      <c r="AU18" s="4">
        <f>$AU$4*'NIFTY MEMBS'!AV7</f>
        <v>20897.533413017496</v>
      </c>
      <c r="AV18" s="4">
        <f>$AV$4*'NIFTY MEMBS'!AW7</f>
        <v>20025.566106647188</v>
      </c>
      <c r="AW18" s="4">
        <f>$AW$4*'NIFTY MEMBS'!AX7</f>
        <v>19778.938186337185</v>
      </c>
      <c r="AX18" s="4">
        <f>$AX$4*'NIFTY MEMBS'!AY7</f>
        <v>20240.35485867547</v>
      </c>
      <c r="AY18" s="4">
        <f t="shared" si="8"/>
        <v>982611.55802851531</v>
      </c>
      <c r="AZ18" s="4">
        <f t="shared" si="9"/>
        <v>100.26648551311381</v>
      </c>
    </row>
    <row r="19" spans="1:52" ht="14.25" customHeight="1" x14ac:dyDescent="0.3">
      <c r="A19" s="2">
        <v>45666</v>
      </c>
      <c r="B19" s="4">
        <f>$B$4*'NIFTY MEMBS'!C8</f>
        <v>20548.618219037871</v>
      </c>
      <c r="C19" s="4">
        <f>$C$4*'NIFTY MEMBS'!D8</f>
        <v>18710.314344050799</v>
      </c>
      <c r="D19" s="4">
        <f>$D$4*'NIFTY MEMBS'!E8</f>
        <v>20142.257316538195</v>
      </c>
      <c r="E19" s="4">
        <f>$E$4*'NIFTY MEMBS'!F8</f>
        <v>19642.062517477418</v>
      </c>
      <c r="F19" s="4">
        <f>$F$4*'NIFTY MEMBS'!G8</f>
        <v>19668.912865656526</v>
      </c>
      <c r="G19" s="4">
        <f>$G$4*'NIFTY MEMBS'!H8</f>
        <v>19174.230963187088</v>
      </c>
      <c r="H19" s="4">
        <f>$H$4*'NIFTY MEMBS'!I8</f>
        <v>20369.721115537846</v>
      </c>
      <c r="I19" s="4">
        <f>$I$4*'NIFTY MEMBS'!J8</f>
        <v>20975.840833728093</v>
      </c>
      <c r="J19" s="4">
        <f>$J$4*'NIFTY MEMBS'!K8</f>
        <v>20986.547085201793</v>
      </c>
      <c r="K19" s="4">
        <f>$K$4*'NIFTY MEMBS'!L8</f>
        <v>19662.749552225767</v>
      </c>
      <c r="L19" s="4">
        <f>$L$4*'NIFTY MEMBS'!M8</f>
        <v>19238.718473074303</v>
      </c>
      <c r="M19" s="4">
        <f>$M$4*'NIFTY MEMBS'!N8</f>
        <v>20949.742601464986</v>
      </c>
      <c r="N19" s="4">
        <f>$N$4*'NIFTY MEMBS'!O8</f>
        <v>20288.773523685919</v>
      </c>
      <c r="O19" s="4">
        <f>$O$4*'NIFTY MEMBS'!P8</f>
        <v>20020.129724893759</v>
      </c>
      <c r="P19" s="4">
        <f>$P$4*'NIFTY MEMBS'!Q8</f>
        <v>20239.022987002798</v>
      </c>
      <c r="Q19" s="4">
        <f>$Q$4*'NIFTY MEMBS'!R8</f>
        <v>19326.966321860364</v>
      </c>
      <c r="R19" s="4">
        <f>$R$4*'NIFTY MEMBS'!S8</f>
        <v>19672.927404560145</v>
      </c>
      <c r="S19" s="4">
        <f>$S$4*'NIFTY MEMBS'!T8</f>
        <v>19812.465012129131</v>
      </c>
      <c r="T19" s="4">
        <f>$T$4*'NIFTY MEMBS'!U8</f>
        <v>21445.064704389748</v>
      </c>
      <c r="U19" s="4">
        <f>$U$4*'NIFTY MEMBS'!V8</f>
        <v>21433.378920355888</v>
      </c>
      <c r="V19" s="4">
        <f>$V$4*'NIFTY MEMBS'!W8</f>
        <v>19202.757380488536</v>
      </c>
      <c r="W19" s="4">
        <f>$W$4*'NIFTY MEMBS'!X8</f>
        <v>17746.835443037977</v>
      </c>
      <c r="X19" s="4">
        <f>$X$4*'NIFTY MEMBS'!Y8</f>
        <v>18582.916222203985</v>
      </c>
      <c r="Y19" s="4">
        <f>$Y$4*'NIFTY MEMBS'!Z8</f>
        <v>22213.969191812619</v>
      </c>
      <c r="Z19" s="4">
        <f>$Z$4*'NIFTY MEMBS'!AA8</f>
        <v>19139.162980605652</v>
      </c>
      <c r="AA19" s="4">
        <f>$AA$4*'NIFTY MEMBS'!AB8</f>
        <v>19679.717267656968</v>
      </c>
      <c r="AB19" s="4">
        <f>$AB$4*'NIFTY MEMBS'!AC8</f>
        <v>19467.199467199469</v>
      </c>
      <c r="AC19" s="4">
        <f>$AC$4*'NIFTY MEMBS'!AD8</f>
        <v>19668.170103092783</v>
      </c>
      <c r="AD19" s="4">
        <f>$AD$4*'NIFTY MEMBS'!AE8</f>
        <v>20823.490156823489</v>
      </c>
      <c r="AE19" s="4">
        <f>$AE$4*'NIFTY MEMBS'!AF8</f>
        <v>20218.064080635661</v>
      </c>
      <c r="AF19" s="4">
        <f>$AF$4*'NIFTY MEMBS'!AG8</f>
        <v>20395.28778773349</v>
      </c>
      <c r="AG19" s="4">
        <f>$AG$4*'NIFTY MEMBS'!AH8</f>
        <v>19265.010351966874</v>
      </c>
      <c r="AH19" s="4">
        <f>$AH$4*'NIFTY MEMBS'!AI8</f>
        <v>20800.464678873708</v>
      </c>
      <c r="AI19" s="4">
        <f>$AI$4*'NIFTY MEMBS'!AJ8</f>
        <v>19003.949100482667</v>
      </c>
      <c r="AJ19" s="4">
        <f>$AJ$4*'NIFTY MEMBS'!AK8</f>
        <v>19001.478075217608</v>
      </c>
      <c r="AK19" s="4">
        <f>$AK$4*'NIFTY MEMBS'!AL8</f>
        <v>19739.983211514445</v>
      </c>
      <c r="AL19" s="4">
        <f>$AL$4*'NIFTY MEMBS'!AM8</f>
        <v>21042.310605285238</v>
      </c>
      <c r="AM19" s="4">
        <f>$AM$4*'NIFTY MEMBS'!AN8</f>
        <v>18736.992522690132</v>
      </c>
      <c r="AN19" s="4">
        <f>$AN$4*'NIFTY MEMBS'!AO8</f>
        <v>20971.865181376746</v>
      </c>
      <c r="AO19" s="4">
        <f>$AO$4*'NIFTY MEMBS'!AP8</f>
        <v>19837.97796500324</v>
      </c>
      <c r="AP19" s="4">
        <f>$AP$4*'NIFTY MEMBS'!AQ8</f>
        <v>19875.200269837253</v>
      </c>
      <c r="AQ19" s="4">
        <f>$AQ$4*'NIFTY MEMBS'!AR8</f>
        <v>19283.387622149836</v>
      </c>
      <c r="AR19" s="4">
        <f>$AR$4*'NIFTY MEMBS'!AS8</f>
        <v>19465.044797593357</v>
      </c>
      <c r="AS19" s="4">
        <f>$AS$4*'NIFTY MEMBS'!AT8</f>
        <v>19245.283018867925</v>
      </c>
      <c r="AT19" s="4">
        <f>$AT$4*'NIFTY MEMBS'!AU8</f>
        <v>19254.4498312576</v>
      </c>
      <c r="AU19" s="4">
        <f>$AU$4*'NIFTY MEMBS'!AV8</f>
        <v>21082.255786156689</v>
      </c>
      <c r="AV19" s="4">
        <f>$AV$4*'NIFTY MEMBS'!AW8</f>
        <v>20037.98392987582</v>
      </c>
      <c r="AW19" s="4">
        <f>$AW$4*'NIFTY MEMBS'!AX8</f>
        <v>19793.994288240705</v>
      </c>
      <c r="AX19" s="4">
        <f>$AX$4*'NIFTY MEMBS'!AY8</f>
        <v>20237.260160924285</v>
      </c>
      <c r="AY19" s="4">
        <f t="shared" si="8"/>
        <v>976120.90596466302</v>
      </c>
      <c r="AZ19" s="4">
        <f t="shared" si="9"/>
        <v>99.604174078026844</v>
      </c>
    </row>
    <row r="20" spans="1:52" ht="14.25" customHeight="1" x14ac:dyDescent="0.3">
      <c r="A20" s="2">
        <v>45667</v>
      </c>
      <c r="B20" s="4">
        <f>$B$4*'NIFTY MEMBS'!C9</f>
        <v>20338.178096212898</v>
      </c>
      <c r="C20" s="4">
        <f>$C$4*'NIFTY MEMBS'!D9</f>
        <v>18586.46144180933</v>
      </c>
      <c r="D20" s="4">
        <f>$D$4*'NIFTY MEMBS'!E9</f>
        <v>20253.180422385161</v>
      </c>
      <c r="E20" s="4">
        <f>$E$4*'NIFTY MEMBS'!F9</f>
        <v>20745.054651120376</v>
      </c>
      <c r="F20" s="4">
        <f>$F$4*'NIFTY MEMBS'!G9</f>
        <v>19473.376699256027</v>
      </c>
      <c r="G20" s="4">
        <f>$G$4*'NIFTY MEMBS'!H9</f>
        <v>18740.544629349468</v>
      </c>
      <c r="H20" s="4">
        <f>$H$4*'NIFTY MEMBS'!I9</f>
        <v>20897.211155378485</v>
      </c>
      <c r="I20" s="4">
        <f>$I$4*'NIFTY MEMBS'!J9</f>
        <v>21033.116575513548</v>
      </c>
      <c r="J20" s="4">
        <f>$J$4*'NIFTY MEMBS'!K9</f>
        <v>21017.115337476389</v>
      </c>
      <c r="K20" s="4">
        <f>$K$4*'NIFTY MEMBS'!L9</f>
        <v>19435.586038180943</v>
      </c>
      <c r="L20" s="4">
        <f>$L$4*'NIFTY MEMBS'!M9</f>
        <v>19283.708248125426</v>
      </c>
      <c r="M20" s="4">
        <f>$M$4*'NIFTY MEMBS'!N9</f>
        <v>20754.440905400465</v>
      </c>
      <c r="N20" s="4">
        <f>$N$4*'NIFTY MEMBS'!O9</f>
        <v>20070.408825438026</v>
      </c>
      <c r="O20" s="4">
        <f>$O$4*'NIFTY MEMBS'!P9</f>
        <v>19639.901588011628</v>
      </c>
      <c r="P20" s="4">
        <f>$P$4*'NIFTY MEMBS'!Q9</f>
        <v>20869.792620099895</v>
      </c>
      <c r="Q20" s="4">
        <f>$Q$4*'NIFTY MEMBS'!R9</f>
        <v>18887.272150056877</v>
      </c>
      <c r="R20" s="4">
        <f>$R$4*'NIFTY MEMBS'!S9</f>
        <v>18983.489123787891</v>
      </c>
      <c r="S20" s="4">
        <f>$S$4*'NIFTY MEMBS'!T9</f>
        <v>19419.667848479196</v>
      </c>
      <c r="T20" s="4">
        <f>$T$4*'NIFTY MEMBS'!U9</f>
        <v>21583.988835320983</v>
      </c>
      <c r="U20" s="4">
        <f>$U$4*'NIFTY MEMBS'!V9</f>
        <v>21145.719685910539</v>
      </c>
      <c r="V20" s="4">
        <f>$V$4*'NIFTY MEMBS'!W9</f>
        <v>18477.446425895399</v>
      </c>
      <c r="W20" s="4">
        <f>$W$4*'NIFTY MEMBS'!X9</f>
        <v>17573.236889692587</v>
      </c>
      <c r="X20" s="4">
        <f>$X$4*'NIFTY MEMBS'!Y9</f>
        <v>18252.235989168785</v>
      </c>
      <c r="Y20" s="4">
        <f>$Y$4*'NIFTY MEMBS'!Z9</f>
        <v>22200.464232960541</v>
      </c>
      <c r="Z20" s="4">
        <f>$Z$4*'NIFTY MEMBS'!AA9</f>
        <v>18441.646818645801</v>
      </c>
      <c r="AA20" s="4">
        <f>$AA$4*'NIFTY MEMBS'!AB9</f>
        <v>19881.826715997569</v>
      </c>
      <c r="AB20" s="4">
        <f>$AB$4*'NIFTY MEMBS'!AC9</f>
        <v>20016.650016650015</v>
      </c>
      <c r="AC20" s="4">
        <f>$AC$4*'NIFTY MEMBS'!AD9</f>
        <v>19310.567010309278</v>
      </c>
      <c r="AD20" s="4">
        <f>$AD$4*'NIFTY MEMBS'!AE9</f>
        <v>20678.011344678009</v>
      </c>
      <c r="AE20" s="4">
        <f>$AE$4*'NIFTY MEMBS'!AF9</f>
        <v>20053.657950586636</v>
      </c>
      <c r="AF20" s="4">
        <f>$AF$4*'NIFTY MEMBS'!AG9</f>
        <v>20139.717527607227</v>
      </c>
      <c r="AG20" s="4">
        <f>$AG$4*'NIFTY MEMBS'!AH9</f>
        <v>19073.498964803312</v>
      </c>
      <c r="AH20" s="4">
        <f>$AH$4*'NIFTY MEMBS'!AI9</f>
        <v>20725.23095646402</v>
      </c>
      <c r="AI20" s="4">
        <f>$AI$4*'NIFTY MEMBS'!AJ9</f>
        <v>18638.291648383794</v>
      </c>
      <c r="AJ20" s="4">
        <f>$AJ$4*'NIFTY MEMBS'!AK9</f>
        <v>18429.955657743474</v>
      </c>
      <c r="AK20" s="4">
        <f>$AK$4*'NIFTY MEMBS'!AL9</f>
        <v>19360.809123108735</v>
      </c>
      <c r="AL20" s="4">
        <f>$AL$4*'NIFTY MEMBS'!AM9</f>
        <v>20708.861277710679</v>
      </c>
      <c r="AM20" s="4">
        <f>$AM$4*'NIFTY MEMBS'!AN9</f>
        <v>18630.598255530171</v>
      </c>
      <c r="AN20" s="4">
        <f>$AN$4*'NIFTY MEMBS'!AO9</f>
        <v>21112.539274493</v>
      </c>
      <c r="AO20" s="4">
        <f>$AO$4*'NIFTY MEMBS'!AP9</f>
        <v>19722.942320155536</v>
      </c>
      <c r="AP20" s="4">
        <f>$AP$4*'NIFTY MEMBS'!AQ9</f>
        <v>19376.00134918627</v>
      </c>
      <c r="AQ20" s="4">
        <f>$AQ$4*'NIFTY MEMBS'!AR9</f>
        <v>20020.541714352788</v>
      </c>
      <c r="AR20" s="4">
        <f>$AR$4*'NIFTY MEMBS'!AS9</f>
        <v>19211.300765155975</v>
      </c>
      <c r="AS20" s="4">
        <f>$AS$4*'NIFTY MEMBS'!AT9</f>
        <v>19096.56496577178</v>
      </c>
      <c r="AT20" s="4">
        <f>$AT$4*'NIFTY MEMBS'!AU9</f>
        <v>18227.605228444656</v>
      </c>
      <c r="AU20" s="4">
        <f>$AU$4*'NIFTY MEMBS'!AV9</f>
        <v>21140.932304683254</v>
      </c>
      <c r="AV20" s="4">
        <f>$AV$4*'NIFTY MEMBS'!AW9</f>
        <v>19786.705624543465</v>
      </c>
      <c r="AW20" s="4">
        <f>$AW$4*'NIFTY MEMBS'!AX9</f>
        <v>19702.940719586073</v>
      </c>
      <c r="AX20" s="4">
        <f>$AX$4*'NIFTY MEMBS'!AY9</f>
        <v>19343.924076748506</v>
      </c>
      <c r="AY20" s="4">
        <f t="shared" si="8"/>
        <v>968492.92002637114</v>
      </c>
      <c r="AZ20" s="4">
        <f t="shared" si="9"/>
        <v>98.825808165956246</v>
      </c>
    </row>
    <row r="21" spans="1:52" ht="14.25" customHeight="1" x14ac:dyDescent="0.3">
      <c r="A21" s="2">
        <v>45670</v>
      </c>
      <c r="B21" s="4">
        <f>$B$4*'NIFTY MEMBS'!C10</f>
        <v>20304.605936540429</v>
      </c>
      <c r="C21" s="4">
        <f>$C$4*'NIFTY MEMBS'!D10</f>
        <v>18295.676366981534</v>
      </c>
      <c r="D21" s="4">
        <f>$D$4*'NIFTY MEMBS'!E10</f>
        <v>20018.80052641474</v>
      </c>
      <c r="E21" s="4">
        <f>$E$4*'NIFTY MEMBS'!F10</f>
        <v>20868.8251528894</v>
      </c>
      <c r="F21" s="4">
        <f>$F$4*'NIFTY MEMBS'!G10</f>
        <v>19160.207221594672</v>
      </c>
      <c r="G21" s="4">
        <f>$G$4*'NIFTY MEMBS'!H10</f>
        <v>18393.847705496719</v>
      </c>
      <c r="H21" s="4">
        <f>$H$4*'NIFTY MEMBS'!I10</f>
        <v>20846.746347941567</v>
      </c>
      <c r="I21" s="4">
        <f>$I$4*'NIFTY MEMBS'!J10</f>
        <v>21110.201972352614</v>
      </c>
      <c r="J21" s="4">
        <f>$J$4*'NIFTY MEMBS'!K10</f>
        <v>20621.74671607573</v>
      </c>
      <c r="K21" s="4">
        <f>$K$4*'NIFTY MEMBS'!L10</f>
        <v>19180.027084880519</v>
      </c>
      <c r="L21" s="4">
        <f>$L$4*'NIFTY MEMBS'!M10</f>
        <v>18891.888207225631</v>
      </c>
      <c r="M21" s="4">
        <f>$M$4*'NIFTY MEMBS'!N10</f>
        <v>20516.403022759921</v>
      </c>
      <c r="N21" s="4">
        <f>$N$4*'NIFTY MEMBS'!O10</f>
        <v>19465.606748864375</v>
      </c>
      <c r="O21" s="4">
        <f>$O$4*'NIFTY MEMBS'!P10</f>
        <v>19440.840975173338</v>
      </c>
      <c r="P21" s="4">
        <f>$P$4*'NIFTY MEMBS'!Q10</f>
        <v>20810.167629906638</v>
      </c>
      <c r="Q21" s="4">
        <f>$Q$4*'NIFTY MEMBS'!R10</f>
        <v>18486.203338712665</v>
      </c>
      <c r="R21" s="4">
        <f>$R$4*'NIFTY MEMBS'!S10</f>
        <v>18546.606097667511</v>
      </c>
      <c r="S21" s="4">
        <f>$S$4*'NIFTY MEMBS'!T10</f>
        <v>19580.145549542827</v>
      </c>
      <c r="T21" s="4">
        <f>$T$4*'NIFTY MEMBS'!U10</f>
        <v>21240.167470185232</v>
      </c>
      <c r="U21" s="4">
        <f>$U$4*'NIFTY MEMBS'!V10</f>
        <v>20792.292207692426</v>
      </c>
      <c r="V21" s="4">
        <f>$V$4*'NIFTY MEMBS'!W10</f>
        <v>17875.018732204404</v>
      </c>
      <c r="W21" s="4">
        <f>$W$4*'NIFTY MEMBS'!X10</f>
        <v>16430.379746835446</v>
      </c>
      <c r="X21" s="4">
        <f>$X$4*'NIFTY MEMBS'!Y10</f>
        <v>17504.71814228276</v>
      </c>
      <c r="Y21" s="4">
        <f>$Y$4*'NIFTY MEMBS'!Z10</f>
        <v>21585.144545262712</v>
      </c>
      <c r="Z21" s="4">
        <f>$Z$4*'NIFTY MEMBS'!AA10</f>
        <v>17665.872745831919</v>
      </c>
      <c r="AA21" s="4">
        <f>$AA$4*'NIFTY MEMBS'!AB10</f>
        <v>19520.680324700425</v>
      </c>
      <c r="AB21" s="4">
        <f>$AB$4*'NIFTY MEMBS'!AC10</f>
        <v>19437.229437229438</v>
      </c>
      <c r="AC21" s="4">
        <f>$AC$4*'NIFTY MEMBS'!AD10</f>
        <v>18530.927835051549</v>
      </c>
      <c r="AD21" s="4">
        <f>$AD$4*'NIFTY MEMBS'!AE10</f>
        <v>20046.713380046713</v>
      </c>
      <c r="AE21" s="4">
        <f>$AE$4*'NIFTY MEMBS'!AF10</f>
        <v>19669.814828586303</v>
      </c>
      <c r="AF21" s="4">
        <f>$AF$4*'NIFTY MEMBS'!AG10</f>
        <v>19548.738420150563</v>
      </c>
      <c r="AG21" s="4">
        <f>$AG$4*'NIFTY MEMBS'!AH10</f>
        <v>18783.643892339544</v>
      </c>
      <c r="AH21" s="4">
        <f>$AH$4*'NIFTY MEMBS'!AI10</f>
        <v>20628.054065018168</v>
      </c>
      <c r="AI21" s="4">
        <f>$AI$4*'NIFTY MEMBS'!AJ10</f>
        <v>17980.108234605821</v>
      </c>
      <c r="AJ21" s="4">
        <f>$AJ$4*'NIFTY MEMBS'!AK10</f>
        <v>17483.98751847594</v>
      </c>
      <c r="AK21" s="4">
        <f>$AK$4*'NIFTY MEMBS'!AL10</f>
        <v>18738.81620703069</v>
      </c>
      <c r="AL21" s="4">
        <f>$AL$4*'NIFTY MEMBS'!AM10</f>
        <v>20220.25259451825</v>
      </c>
      <c r="AM21" s="4">
        <f>$AM$4*'NIFTY MEMBS'!AN10</f>
        <v>17612.778630598255</v>
      </c>
      <c r="AN21" s="4">
        <f>$AN$4*'NIFTY MEMBS'!AO10</f>
        <v>20956.869465866894</v>
      </c>
      <c r="AO21" s="4">
        <f>$AO$4*'NIFTY MEMBS'!AP10</f>
        <v>19434.543097861304</v>
      </c>
      <c r="AP21" s="4">
        <f>$AP$4*'NIFTY MEMBS'!AQ10</f>
        <v>19015.094021418328</v>
      </c>
      <c r="AQ21" s="4">
        <f>$AQ$4*'NIFTY MEMBS'!AR10</f>
        <v>19481.174986060982</v>
      </c>
      <c r="AR21" s="4">
        <f>$AR$4*'NIFTY MEMBS'!AS10</f>
        <v>18824.144921849456</v>
      </c>
      <c r="AS21" s="4">
        <f>$AS$4*'NIFTY MEMBS'!AT10</f>
        <v>18561.532772926803</v>
      </c>
      <c r="AT21" s="4">
        <f>$AT$4*'NIFTY MEMBS'!AU10</f>
        <v>17854.144895756599</v>
      </c>
      <c r="AU21" s="4">
        <f>$AU$4*'NIFTY MEMBS'!AV10</f>
        <v>20981.201782027601</v>
      </c>
      <c r="AV21" s="4">
        <f>$AV$4*'NIFTY MEMBS'!AW10</f>
        <v>19504.747991234479</v>
      </c>
      <c r="AW21" s="4">
        <f>$AW$4*'NIFTY MEMBS'!AX10</f>
        <v>19327.494114976042</v>
      </c>
      <c r="AX21" s="4">
        <f>$AX$4*'NIFTY MEMBS'!AY10</f>
        <v>19428.5124819476</v>
      </c>
      <c r="AY21" s="4">
        <f t="shared" si="8"/>
        <v>949203.34609159373</v>
      </c>
      <c r="AZ21" s="4">
        <f t="shared" si="9"/>
        <v>96.857484295060587</v>
      </c>
    </row>
    <row r="22" spans="1:52" ht="14.25" customHeight="1" x14ac:dyDescent="0.3">
      <c r="A22" s="2">
        <v>45671</v>
      </c>
      <c r="B22" s="4">
        <f>$B$4*'NIFTY MEMBS'!C11</f>
        <v>20286.591606960083</v>
      </c>
      <c r="C22" s="4">
        <f>$C$4*'NIFTY MEMBS'!D11</f>
        <v>18472.480872355223</v>
      </c>
      <c r="D22" s="4">
        <f>$D$4*'NIFTY MEMBS'!E11</f>
        <v>20055.148210816569</v>
      </c>
      <c r="E22" s="4">
        <f>$E$4*'NIFTY MEMBS'!F11</f>
        <v>20586.511690111736</v>
      </c>
      <c r="F22" s="4">
        <f>$F$4*'NIFTY MEMBS'!G11</f>
        <v>19324.582245939313</v>
      </c>
      <c r="G22" s="4">
        <f>$G$4*'NIFTY MEMBS'!H11</f>
        <v>18864.09480584972</v>
      </c>
      <c r="H22" s="4">
        <f>$H$4*'NIFTY MEMBS'!I11</f>
        <v>20611.420982735723</v>
      </c>
      <c r="I22" s="4">
        <f>$I$4*'NIFTY MEMBS'!J11</f>
        <v>20394.901167047072</v>
      </c>
      <c r="J22" s="4">
        <f>$J$4*'NIFTY MEMBS'!K11</f>
        <v>21152.653814542991</v>
      </c>
      <c r="K22" s="4">
        <f>$K$4*'NIFTY MEMBS'!L11</f>
        <v>19072.998121532481</v>
      </c>
      <c r="L22" s="4">
        <f>$L$4*'NIFTY MEMBS'!M11</f>
        <v>18882.617586912063</v>
      </c>
      <c r="M22" s="4">
        <f>$M$4*'NIFTY MEMBS'!N11</f>
        <v>20950.813236619291</v>
      </c>
      <c r="N22" s="4">
        <f>$N$4*'NIFTY MEMBS'!O11</f>
        <v>19789.097988319274</v>
      </c>
      <c r="O22" s="4">
        <f>$O$4*'NIFTY MEMBS'!P11</f>
        <v>19577.27577723104</v>
      </c>
      <c r="P22" s="4">
        <f>$P$4*'NIFTY MEMBS'!Q11</f>
        <v>18970.684379821647</v>
      </c>
      <c r="Q22" s="4">
        <f>$Q$4*'NIFTY MEMBS'!R11</f>
        <v>18739.649197068702</v>
      </c>
      <c r="R22" s="4">
        <f>$R$4*'NIFTY MEMBS'!S11</f>
        <v>18317.026295099153</v>
      </c>
      <c r="S22" s="4">
        <f>$S$4*'NIFTY MEMBS'!T11</f>
        <v>19623.997014368357</v>
      </c>
      <c r="T22" s="4">
        <f>$T$4*'NIFTY MEMBS'!U11</f>
        <v>21739.406242070538</v>
      </c>
      <c r="U22" s="4">
        <f>$U$4*'NIFTY MEMBS'!V11</f>
        <v>20421.961676168234</v>
      </c>
      <c r="V22" s="4">
        <f>$V$4*'NIFTY MEMBS'!W11</f>
        <v>18606.323992207403</v>
      </c>
      <c r="W22" s="4">
        <f>$W$4*'NIFTY MEMBS'!X11</f>
        <v>16896.925858951177</v>
      </c>
      <c r="X22" s="4">
        <f>$X$4*'NIFTY MEMBS'!Y11</f>
        <v>18332.649544596698</v>
      </c>
      <c r="Y22" s="4">
        <f>$Y$4*'NIFTY MEMBS'!Z11</f>
        <v>21976.788351972991</v>
      </c>
      <c r="Z22" s="4">
        <f>$Z$4*'NIFTY MEMBS'!AA11</f>
        <v>18366.791425654985</v>
      </c>
      <c r="AA22" s="4">
        <f>$AA$4*'NIFTY MEMBS'!AB11</f>
        <v>20013.25307857971</v>
      </c>
      <c r="AB22" s="4">
        <f>$AB$4*'NIFTY MEMBS'!AC11</f>
        <v>19503.829503829504</v>
      </c>
      <c r="AC22" s="4">
        <f>$AC$4*'NIFTY MEMBS'!AD11</f>
        <v>18701.67525773196</v>
      </c>
      <c r="AD22" s="4">
        <f>$AD$4*'NIFTY MEMBS'!AE11</f>
        <v>20567.233900567233</v>
      </c>
      <c r="AE22" s="4">
        <f>$AE$4*'NIFTY MEMBS'!AF11</f>
        <v>19704.023202201235</v>
      </c>
      <c r="AF22" s="4">
        <f>$AF$4*'NIFTY MEMBS'!AG11</f>
        <v>19438.526457379641</v>
      </c>
      <c r="AG22" s="4">
        <f>$AG$4*'NIFTY MEMBS'!AH11</f>
        <v>19112.318840579712</v>
      </c>
      <c r="AH22" s="4">
        <f>$AH$4*'NIFTY MEMBS'!AI11</f>
        <v>20459.331378731724</v>
      </c>
      <c r="AI22" s="4">
        <f>$AI$4*'NIFTY MEMBS'!AJ11</f>
        <v>18565.160157964019</v>
      </c>
      <c r="AJ22" s="4">
        <f>$AJ$4*'NIFTY MEMBS'!AK11</f>
        <v>17924.125472162919</v>
      </c>
      <c r="AK22" s="4">
        <f>$AK$4*'NIFTY MEMBS'!AL11</f>
        <v>18922.670597629138</v>
      </c>
      <c r="AL22" s="4">
        <f>$AL$4*'NIFTY MEMBS'!AM11</f>
        <v>20590.547151659059</v>
      </c>
      <c r="AM22" s="4">
        <f>$AM$4*'NIFTY MEMBS'!AN11</f>
        <v>17433.80423171879</v>
      </c>
      <c r="AN22" s="4">
        <f>$AN$4*'NIFTY MEMBS'!AO11</f>
        <v>21411.739502999142</v>
      </c>
      <c r="AO22" s="4">
        <f>$AO$4*'NIFTY MEMBS'!AP11</f>
        <v>19457.226182760853</v>
      </c>
      <c r="AP22" s="4">
        <f>$AP$4*'NIFTY MEMBS'!AQ11</f>
        <v>19930.854203558476</v>
      </c>
      <c r="AQ22" s="4">
        <f>$AQ$4*'NIFTY MEMBS'!AR11</f>
        <v>19338.556797840185</v>
      </c>
      <c r="AR22" s="4">
        <f>$AR$4*'NIFTY MEMBS'!AS11</f>
        <v>18935.975410372113</v>
      </c>
      <c r="AS22" s="4">
        <f>$AS$4*'NIFTY MEMBS'!AT11</f>
        <v>18201.271430800651</v>
      </c>
      <c r="AT22" s="4">
        <f>$AT$4*'NIFTY MEMBS'!AU11</f>
        <v>18642.180460144242</v>
      </c>
      <c r="AU22" s="4">
        <f>$AU$4*'NIFTY MEMBS'!AV11</f>
        <v>20931.218081060524</v>
      </c>
      <c r="AV22" s="4">
        <f>$AV$4*'NIFTY MEMBS'!AW11</f>
        <v>19540.54054054054</v>
      </c>
      <c r="AW22" s="4">
        <f>$AW$4*'NIFTY MEMBS'!AX11</f>
        <v>19609.497293486442</v>
      </c>
      <c r="AX22" s="4">
        <f>$AX$4*'NIFTY MEMBS'!AY11</f>
        <v>19849.391376108935</v>
      </c>
      <c r="AY22" s="4">
        <f t="shared" si="8"/>
        <v>956798.34259535966</v>
      </c>
      <c r="AZ22" s="4">
        <f t="shared" si="9"/>
        <v>97.632483938302002</v>
      </c>
    </row>
    <row r="23" spans="1:52" ht="14.25" customHeight="1" x14ac:dyDescent="0.3">
      <c r="A23" s="2">
        <v>45672</v>
      </c>
      <c r="B23" s="4">
        <f>$B$4*'NIFTY MEMBS'!C12</f>
        <v>20506.857727737974</v>
      </c>
      <c r="C23" s="4">
        <f>$C$4*'NIFTY MEMBS'!D12</f>
        <v>18432.76717000606</v>
      </c>
      <c r="D23" s="4">
        <f>$D$4*'NIFTY MEMBS'!E12</f>
        <v>20147.270790248793</v>
      </c>
      <c r="E23" s="4">
        <f>$E$4*'NIFTY MEMBS'!F12</f>
        <v>20666.998990869193</v>
      </c>
      <c r="F23" s="4">
        <f>$F$4*'NIFTY MEMBS'!G12</f>
        <v>19292.64207533206</v>
      </c>
      <c r="G23" s="4">
        <f>$G$4*'NIFTY MEMBS'!H12</f>
        <v>19004.034291477557</v>
      </c>
      <c r="H23" s="4">
        <f>$H$4*'NIFTY MEMBS'!I12</f>
        <v>20713.413014608235</v>
      </c>
      <c r="I23" s="4">
        <f>$I$4*'NIFTY MEMBS'!J12</f>
        <v>20438.396279230008</v>
      </c>
      <c r="J23" s="4">
        <f>$J$4*'NIFTY MEMBS'!K12</f>
        <v>20698.167346762217</v>
      </c>
      <c r="K23" s="4">
        <f>$K$4*'NIFTY MEMBS'!L12</f>
        <v>19105.762089904329</v>
      </c>
      <c r="L23" s="4">
        <f>$L$4*'NIFTY MEMBS'!M12</f>
        <v>19094.205862304021</v>
      </c>
      <c r="M23" s="4">
        <f>$M$4*'NIFTY MEMBS'!N12</f>
        <v>21318.844070911735</v>
      </c>
      <c r="N23" s="4">
        <f>$N$4*'NIFTY MEMBS'!O12</f>
        <v>19209.928617780661</v>
      </c>
      <c r="O23" s="4">
        <f>$O$4*'NIFTY MEMBS'!P12</f>
        <v>20013.419816595837</v>
      </c>
      <c r="P23" s="4">
        <f>$P$4*'NIFTY MEMBS'!Q12</f>
        <v>19097.779753654646</v>
      </c>
      <c r="Q23" s="4">
        <f>$Q$4*'NIFTY MEMBS'!R12</f>
        <v>18591.497129553689</v>
      </c>
      <c r="R23" s="4">
        <f>$R$4*'NIFTY MEMBS'!S12</f>
        <v>18383.244518214378</v>
      </c>
      <c r="S23" s="4">
        <f>$S$4*'NIFTY MEMBS'!T12</f>
        <v>19160.291099085651</v>
      </c>
      <c r="T23" s="4">
        <f>$T$4*'NIFTY MEMBS'!U12</f>
        <v>21208.449632073076</v>
      </c>
      <c r="U23" s="4">
        <f>$U$4*'NIFTY MEMBS'!V12</f>
        <v>20428.108241006808</v>
      </c>
      <c r="V23" s="4">
        <f>$V$4*'NIFTY MEMBS'!W12</f>
        <v>19262.700434587143</v>
      </c>
      <c r="W23" s="4">
        <f>$W$4*'NIFTY MEMBS'!X12</f>
        <v>17641.952983725136</v>
      </c>
      <c r="X23" s="4">
        <f>$X$4*'NIFTY MEMBS'!Y12</f>
        <v>18526.298514810864</v>
      </c>
      <c r="Y23" s="4">
        <f>$Y$4*'NIFTY MEMBS'!Z12</f>
        <v>21791.939227685169</v>
      </c>
      <c r="Z23" s="4">
        <f>$Z$4*'NIFTY MEMBS'!AA12</f>
        <v>18227.288193263019</v>
      </c>
      <c r="AA23" s="4">
        <f>$AA$4*'NIFTY MEMBS'!AB12</f>
        <v>19969.076149980672</v>
      </c>
      <c r="AB23" s="4">
        <f>$AB$4*'NIFTY MEMBS'!AC12</f>
        <v>19490.509490509488</v>
      </c>
      <c r="AC23" s="4">
        <f>$AC$4*'NIFTY MEMBS'!AD12</f>
        <v>19242.912371134022</v>
      </c>
      <c r="AD23" s="4">
        <f>$AD$4*'NIFTY MEMBS'!AE12</f>
        <v>20383.049716383048</v>
      </c>
      <c r="AE23" s="4">
        <f>$AE$4*'NIFTY MEMBS'!AF12</f>
        <v>19628.055442735298</v>
      </c>
      <c r="AF23" s="4">
        <f>$AF$4*'NIFTY MEMBS'!AG12</f>
        <v>19349.575857505475</v>
      </c>
      <c r="AG23" s="4">
        <f>$AG$4*'NIFTY MEMBS'!AH12</f>
        <v>19389.233954451349</v>
      </c>
      <c r="AH23" s="4">
        <f>$AH$4*'NIFTY MEMBS'!AI12</f>
        <v>20280.282495251795</v>
      </c>
      <c r="AI23" s="4">
        <f>$AI$4*'NIFTY MEMBS'!AJ12</f>
        <v>18506.654965628197</v>
      </c>
      <c r="AJ23" s="4">
        <f>$AJ$4*'NIFTY MEMBS'!AK12</f>
        <v>17894.563967810809</v>
      </c>
      <c r="AK23" s="4">
        <f>$AK$4*'NIFTY MEMBS'!AL12</f>
        <v>18979.587658415741</v>
      </c>
      <c r="AL23" s="4">
        <f>$AL$4*'NIFTY MEMBS'!AM12</f>
        <v>20804.863570302743</v>
      </c>
      <c r="AM23" s="4">
        <f>$AM$4*'NIFTY MEMBS'!AN12</f>
        <v>18082.073556355714</v>
      </c>
      <c r="AN23" s="4">
        <f>$AN$4*'NIFTY MEMBS'!AO12</f>
        <v>21033.276206798055</v>
      </c>
      <c r="AO23" s="4">
        <f>$AO$4*'NIFTY MEMBS'!AP12</f>
        <v>19254.698639014903</v>
      </c>
      <c r="AP23" s="4">
        <f>$AP$4*'NIFTY MEMBS'!AQ12</f>
        <v>19952.778480478959</v>
      </c>
      <c r="AQ23" s="4">
        <f>$AQ$4*'NIFTY MEMBS'!AR12</f>
        <v>19672.506382604104</v>
      </c>
      <c r="AR23" s="4">
        <f>$AR$4*'NIFTY MEMBS'!AS12</f>
        <v>18928.781636256623</v>
      </c>
      <c r="AS23" s="4">
        <f>$AS$4*'NIFTY MEMBS'!AT12</f>
        <v>18160.563934515209</v>
      </c>
      <c r="AT23" s="4">
        <f>$AT$4*'NIFTY MEMBS'!AU12</f>
        <v>18268.720127456185</v>
      </c>
      <c r="AU23" s="4">
        <f>$AU$4*'NIFTY MEMBS'!AV12</f>
        <v>20766.054547430187</v>
      </c>
      <c r="AV23" s="4">
        <f>$AV$4*'NIFTY MEMBS'!AW12</f>
        <v>19535.427319211103</v>
      </c>
      <c r="AW23" s="4">
        <f>$AW$4*'NIFTY MEMBS'!AX12</f>
        <v>19653.709656219002</v>
      </c>
      <c r="AX23" s="4">
        <f>$AX$4*'NIFTY MEMBS'!AY12</f>
        <v>19856.612337528371</v>
      </c>
      <c r="AY23" s="4">
        <f t="shared" si="8"/>
        <v>958045.82633540512</v>
      </c>
      <c r="AZ23" s="4">
        <f t="shared" si="9"/>
        <v>97.75977819749032</v>
      </c>
    </row>
    <row r="24" spans="1:52" ht="14.25" customHeight="1" x14ac:dyDescent="0.3">
      <c r="A24" s="2">
        <v>45673</v>
      </c>
      <c r="B24" s="4">
        <f>$B$4*'NIFTY MEMBS'!C13</f>
        <v>20740.225179119756</v>
      </c>
      <c r="C24" s="4">
        <f>$C$4*'NIFTY MEMBS'!D13</f>
        <v>18533.73420987682</v>
      </c>
      <c r="D24" s="4">
        <f>$D$4*'NIFTY MEMBS'!E13</f>
        <v>20432.41210753901</v>
      </c>
      <c r="E24" s="4">
        <f>$E$4*'NIFTY MEMBS'!F13</f>
        <v>20456.41892302642</v>
      </c>
      <c r="F24" s="4">
        <f>$F$4*'NIFTY MEMBS'!G13</f>
        <v>19461.69127098508</v>
      </c>
      <c r="G24" s="4">
        <f>$G$4*'NIFTY MEMBS'!H13</f>
        <v>19321.734745335347</v>
      </c>
      <c r="H24" s="4">
        <f>$H$4*'NIFTY MEMBS'!I13</f>
        <v>20488.180610889773</v>
      </c>
      <c r="I24" s="4">
        <f>$I$4*'NIFTY MEMBS'!J13</f>
        <v>20197.235261185997</v>
      </c>
      <c r="J24" s="4">
        <f>$J$4*'NIFTY MEMBS'!K13</f>
        <v>20935.503871497989</v>
      </c>
      <c r="K24" s="4">
        <f>$K$4*'NIFTY MEMBS'!L13</f>
        <v>18909.178279673233</v>
      </c>
      <c r="L24" s="4">
        <f>$L$4*'NIFTY MEMBS'!M13</f>
        <v>19129.652351738241</v>
      </c>
      <c r="M24" s="4">
        <f>$M$4*'NIFTY MEMBS'!N13</f>
        <v>21577.402460676465</v>
      </c>
      <c r="N24" s="4">
        <f>$N$4*'NIFTY MEMBS'!O13</f>
        <v>19341.985723556132</v>
      </c>
      <c r="O24" s="4">
        <f>$O$4*'NIFTY MEMBS'!P13</f>
        <v>20191.791545515542</v>
      </c>
      <c r="P24" s="4">
        <f>$P$4*'NIFTY MEMBS'!Q13</f>
        <v>18747.875205941578</v>
      </c>
      <c r="Q24" s="4">
        <f>$Q$4*'NIFTY MEMBS'!R13</f>
        <v>18659.752903515964</v>
      </c>
      <c r="R24" s="4">
        <f>$R$4*'NIFTY MEMBS'!S13</f>
        <v>18583.384292827817</v>
      </c>
      <c r="S24" s="4">
        <f>$S$4*'NIFTY MEMBS'!T13</f>
        <v>19369.285314424335</v>
      </c>
      <c r="T24" s="4">
        <f>$T$4*'NIFTY MEMBS'!U13</f>
        <v>21534.509007866021</v>
      </c>
      <c r="U24" s="4">
        <f>$U$4*'NIFTY MEMBS'!V13</f>
        <v>20387.540913072207</v>
      </c>
      <c r="V24" s="4">
        <f>$V$4*'NIFTY MEMBS'!W13</f>
        <v>19511.46410909636</v>
      </c>
      <c r="W24" s="4">
        <f>$W$4*'NIFTY MEMBS'!X13</f>
        <v>17497.28752260398</v>
      </c>
      <c r="X24" s="4">
        <f>$X$4*'NIFTY MEMBS'!Y13</f>
        <v>18884.877328300645</v>
      </c>
      <c r="Y24" s="4">
        <f>$Y$4*'NIFTY MEMBS'!Z13</f>
        <v>22213.969191812619</v>
      </c>
      <c r="Z24" s="4">
        <f>$Z$4*'NIFTY MEMBS'!AA13</f>
        <v>18792.106158557333</v>
      </c>
      <c r="AA24" s="4">
        <f>$AA$4*'NIFTY MEMBS'!AB13</f>
        <v>20029.819426804352</v>
      </c>
      <c r="AB24" s="4">
        <f>$AB$4*'NIFTY MEMBS'!AC13</f>
        <v>19184.149184149184</v>
      </c>
      <c r="AC24" s="4">
        <f>$AC$4*'NIFTY MEMBS'!AD13</f>
        <v>19178.4793814433</v>
      </c>
      <c r="AD24" s="4">
        <f>$AD$4*'NIFTY MEMBS'!AE13</f>
        <v>20670.003336670005</v>
      </c>
      <c r="AE24" s="4">
        <f>$AE$4*'NIFTY MEMBS'!AF13</f>
        <v>19637.093775563324</v>
      </c>
      <c r="AF24" s="4">
        <f>$AF$4*'NIFTY MEMBS'!AG13</f>
        <v>19227.214544507842</v>
      </c>
      <c r="AG24" s="4">
        <f>$AG$4*'NIFTY MEMBS'!AH13</f>
        <v>19609.213250517601</v>
      </c>
      <c r="AH24" s="4">
        <f>$AH$4*'NIFTY MEMBS'!AI13</f>
        <v>20000.553189135371</v>
      </c>
      <c r="AI24" s="4">
        <f>$AI$4*'NIFTY MEMBS'!AJ13</f>
        <v>18693.871581102823</v>
      </c>
      <c r="AJ24" s="4">
        <f>$AJ$4*'NIFTY MEMBS'!AK13</f>
        <v>18183.609788142556</v>
      </c>
      <c r="AK24" s="4">
        <f>$AK$4*'NIFTY MEMBS'!AL13</f>
        <v>19251.069754110104</v>
      </c>
      <c r="AL24" s="4">
        <f>$AL$4*'NIFTY MEMBS'!AM13</f>
        <v>20665.26108939062</v>
      </c>
      <c r="AM24" s="4">
        <f>$AM$4*'NIFTY MEMBS'!AN13</f>
        <v>17576.417823869386</v>
      </c>
      <c r="AN24" s="4">
        <f>$AN$4*'NIFTY MEMBS'!AO13</f>
        <v>21616.68094830048</v>
      </c>
      <c r="AO24" s="4">
        <f>$AO$4*'NIFTY MEMBS'!AP13</f>
        <v>20784.186649384312</v>
      </c>
      <c r="AP24" s="4">
        <f>$AP$4*'NIFTY MEMBS'!AQ13</f>
        <v>20325.491188127158</v>
      </c>
      <c r="AQ24" s="4">
        <f>$AQ$4*'NIFTY MEMBS'!AR13</f>
        <v>19809.842415705611</v>
      </c>
      <c r="AR24" s="4">
        <f>$AR$4*'NIFTY MEMBS'!AS13</f>
        <v>18880.387155843306</v>
      </c>
      <c r="AS24" s="4">
        <f>$AS$4*'NIFTY MEMBS'!AT13</f>
        <v>18425.976810296281</v>
      </c>
      <c r="AT24" s="4">
        <f>$AT$4*'NIFTY MEMBS'!AU13</f>
        <v>18734.688982920183</v>
      </c>
      <c r="AU24" s="4">
        <f>$AU$4*'NIFTY MEMBS'!AV13</f>
        <v>20378.137563837881</v>
      </c>
      <c r="AV24" s="4">
        <f>$AV$4*'NIFTY MEMBS'!AW13</f>
        <v>19032.140248356467</v>
      </c>
      <c r="AW24" s="4">
        <f>$AW$4*'NIFTY MEMBS'!AX13</f>
        <v>19473.036433376747</v>
      </c>
      <c r="AX24" s="4">
        <f>$AX$4*'NIFTY MEMBS'!AY13</f>
        <v>20122.756344130394</v>
      </c>
      <c r="AY24" s="4">
        <f t="shared" si="8"/>
        <v>963389.27935432002</v>
      </c>
      <c r="AZ24" s="4">
        <f t="shared" si="9"/>
        <v>98.30502850554285</v>
      </c>
    </row>
    <row r="25" spans="1:52" ht="14.25" customHeight="1" x14ac:dyDescent="0.3">
      <c r="A25" s="2">
        <v>45674</v>
      </c>
      <c r="B25" s="4">
        <f>$B$4*'NIFTY MEMBS'!C14</f>
        <v>21328.14738996929</v>
      </c>
      <c r="C25" s="4">
        <f>$C$4*'NIFTY MEMBS'!D14</f>
        <v>18362.090242096525</v>
      </c>
      <c r="D25" s="4">
        <f>$D$4*'NIFTY MEMBS'!E14</f>
        <v>20398.57115999248</v>
      </c>
      <c r="E25" s="4">
        <f>$E$4*'NIFTY MEMBS'!F14</f>
        <v>20057.629879998542</v>
      </c>
      <c r="F25" s="4">
        <f>$F$4*'NIFTY MEMBS'!G14</f>
        <v>19093.210766174579</v>
      </c>
      <c r="G25" s="4">
        <f>$G$4*'NIFTY MEMBS'!H14</f>
        <v>19266.26323751891</v>
      </c>
      <c r="H25" s="4">
        <f>$H$4*'NIFTY MEMBS'!I14</f>
        <v>19287.649402390438</v>
      </c>
      <c r="I25" s="4">
        <f>$I$4*'NIFTY MEMBS'!J14</f>
        <v>20274.751302700144</v>
      </c>
      <c r="J25" s="4">
        <f>$J$4*'NIFTY MEMBS'!K14</f>
        <v>20711.721194468879</v>
      </c>
      <c r="K25" s="4">
        <f>$K$4*'NIFTY MEMBS'!L14</f>
        <v>19230.265169717353</v>
      </c>
      <c r="L25" s="4">
        <f>$L$4*'NIFTY MEMBS'!M14</f>
        <v>19460.940695296522</v>
      </c>
      <c r="M25" s="4">
        <f>$M$4*'NIFTY MEMBS'!N14</f>
        <v>21656.004924921712</v>
      </c>
      <c r="N25" s="4">
        <f>$N$4*'NIFTY MEMBS'!O14</f>
        <v>18931.537962362101</v>
      </c>
      <c r="O25" s="4">
        <f>$O$4*'NIFTY MEMBS'!P14</f>
        <v>19666.741221203309</v>
      </c>
      <c r="P25" s="4">
        <f>$P$4*'NIFTY MEMBS'!Q14</f>
        <v>18712.832448547295</v>
      </c>
      <c r="Q25" s="4">
        <f>$Q$4*'NIFTY MEMBS'!R14</f>
        <v>18905.791158496253</v>
      </c>
      <c r="R25" s="4">
        <f>$R$4*'NIFTY MEMBS'!S14</f>
        <v>18485.19262688914</v>
      </c>
      <c r="S25" s="4">
        <f>$S$4*'NIFTY MEMBS'!T14</f>
        <v>18493.189027803695</v>
      </c>
      <c r="T25" s="4">
        <f>$T$4*'NIFTY MEMBS'!U14</f>
        <v>21322.633849276834</v>
      </c>
      <c r="U25" s="4">
        <f>$U$4*'NIFTY MEMBS'!V14</f>
        <v>20636.476789034532</v>
      </c>
      <c r="V25" s="4">
        <f>$V$4*'NIFTY MEMBS'!W14</f>
        <v>19550.427094260453</v>
      </c>
      <c r="W25" s="4">
        <f>$W$4*'NIFTY MEMBS'!X14</f>
        <v>17996.383363471974</v>
      </c>
      <c r="X25" s="4">
        <f>$X$4*'NIFTY MEMBS'!Y14</f>
        <v>19094.116681710017</v>
      </c>
      <c r="Y25" s="4">
        <f>$Y$4*'NIFTY MEMBS'!Z14</f>
        <v>22500.105507491033</v>
      </c>
      <c r="Z25" s="4">
        <f>$Z$4*'NIFTY MEMBS'!AA14</f>
        <v>19200.408302143587</v>
      </c>
      <c r="AA25" s="4">
        <f>$AA$4*'NIFTY MEMBS'!AB14</f>
        <v>20069.578662543488</v>
      </c>
      <c r="AB25" s="4">
        <f>$AB$4*'NIFTY MEMBS'!AC14</f>
        <v>18777.888777888777</v>
      </c>
      <c r="AC25" s="4">
        <f>$AC$4*'NIFTY MEMBS'!AD14</f>
        <v>19497.422680412375</v>
      </c>
      <c r="AD25" s="4">
        <f>$AD$4*'NIFTY MEMBS'!AE14</f>
        <v>20814.147480814147</v>
      </c>
      <c r="AE25" s="4">
        <f>$AE$4*'NIFTY MEMBS'!AF14</f>
        <v>19635.835273523979</v>
      </c>
      <c r="AF25" s="4">
        <f>$AF$4*'NIFTY MEMBS'!AG14</f>
        <v>19621.200616145616</v>
      </c>
      <c r="AG25" s="4">
        <f>$AG$4*'NIFTY MEMBS'!AH14</f>
        <v>20064.699792960662</v>
      </c>
      <c r="AH25" s="4">
        <f>$AH$4*'NIFTY MEMBS'!AI14</f>
        <v>20442.182515535398</v>
      </c>
      <c r="AI25" s="4">
        <f>$AI$4*'NIFTY MEMBS'!AJ14</f>
        <v>19055.141143776509</v>
      </c>
      <c r="AJ25" s="4">
        <f>$AJ$4*'NIFTY MEMBS'!AK14</f>
        <v>18328.132698308429</v>
      </c>
      <c r="AK25" s="4">
        <f>$AK$4*'NIFTY MEMBS'!AL14</f>
        <v>19457.035808611261</v>
      </c>
      <c r="AL25" s="4">
        <f>$AL$4*'NIFTY MEMBS'!AM14</f>
        <v>20519.927128323747</v>
      </c>
      <c r="AM25" s="4">
        <f>$AM$4*'NIFTY MEMBS'!AN14</f>
        <v>17590.565997693848</v>
      </c>
      <c r="AN25" s="4">
        <f>$AN$4*'NIFTY MEMBS'!AO14</f>
        <v>22000.856898029131</v>
      </c>
      <c r="AO25" s="4">
        <f>$AO$4*'NIFTY MEMBS'!AP14</f>
        <v>20810.110174983794</v>
      </c>
      <c r="AP25" s="4">
        <f>$AP$4*'NIFTY MEMBS'!AQ14</f>
        <v>20811.198246057844</v>
      </c>
      <c r="AQ25" s="4">
        <f>$AQ$4*'NIFTY MEMBS'!AR14</f>
        <v>19488.804765677731</v>
      </c>
      <c r="AR25" s="4">
        <f>$AR$4*'NIFTY MEMBS'!AS14</f>
        <v>18864.69164868223</v>
      </c>
      <c r="AS25" s="4">
        <f>$AS$4*'NIFTY MEMBS'!AT14</f>
        <v>18530.323692441296</v>
      </c>
      <c r="AT25" s="4">
        <f>$AT$4*'NIFTY MEMBS'!AU14</f>
        <v>18039.161941308481</v>
      </c>
      <c r="AU25" s="4">
        <f>$AU$4*'NIFTY MEMBS'!AV14</f>
        <v>20742.149299141587</v>
      </c>
      <c r="AV25" s="4">
        <f>$AV$4*'NIFTY MEMBS'!AW14</f>
        <v>19129.29145361578</v>
      </c>
      <c r="AW25" s="4">
        <f>$AW$4*'NIFTY MEMBS'!AX14</f>
        <v>19587.271619247909</v>
      </c>
      <c r="AX25" s="4">
        <f>$AX$4*'NIFTY MEMBS'!AY14</f>
        <v>20031.97854342893</v>
      </c>
      <c r="AY25" s="4">
        <f t="shared" si="8"/>
        <v>964532.67825708841</v>
      </c>
      <c r="AZ25" s="4">
        <f t="shared" si="9"/>
        <v>98.421701862968206</v>
      </c>
    </row>
    <row r="26" spans="1:52" ht="14.25" customHeight="1" x14ac:dyDescent="0.3">
      <c r="A26" s="2">
        <v>45677</v>
      </c>
      <c r="B26" s="4">
        <f>$B$4*'NIFTY MEMBS'!C15</f>
        <v>21378.915046059366</v>
      </c>
      <c r="C26" s="4">
        <f>$C$4*'NIFTY MEMBS'!D15</f>
        <v>18524.534990688597</v>
      </c>
      <c r="D26" s="4">
        <f>$D$4*'NIFTY MEMBS'!E15</f>
        <v>20569.65595036661</v>
      </c>
      <c r="E26" s="4">
        <f>$E$4*'NIFTY MEMBS'!F15</f>
        <v>19831.487312915659</v>
      </c>
      <c r="F26" s="4">
        <f>$F$4*'NIFTY MEMBS'!G15</f>
        <v>19210.06504888404</v>
      </c>
      <c r="G26" s="4">
        <f>$G$4*'NIFTY MEMBS'!H15</f>
        <v>19648.260211800301</v>
      </c>
      <c r="H26" s="4">
        <f>$H$4*'NIFTY MEMBS'!I15</f>
        <v>19264.807436918989</v>
      </c>
      <c r="I26" s="4">
        <f>$I$4*'NIFTY MEMBS'!J15</f>
        <v>20198.957839886309</v>
      </c>
      <c r="J26" s="4">
        <f>$J$4*'NIFTY MEMBS'!K15</f>
        <v>21455.740919642983</v>
      </c>
      <c r="K26" s="4">
        <f>$K$4*'NIFTY MEMBS'!L15</f>
        <v>19121.051941811191</v>
      </c>
      <c r="L26" s="4">
        <f>$L$4*'NIFTY MEMBS'!M15</f>
        <v>19593.728698023177</v>
      </c>
      <c r="M26" s="4">
        <f>$M$4*'NIFTY MEMBS'!N15</f>
        <v>21448.48014417887</v>
      </c>
      <c r="N26" s="4">
        <f>$N$4*'NIFTY MEMBS'!O15</f>
        <v>18741.726151849445</v>
      </c>
      <c r="O26" s="4">
        <f>$O$4*'NIFTY MEMBS'!P15</f>
        <v>21477.298143592034</v>
      </c>
      <c r="P26" s="4">
        <f>$P$4*'NIFTY MEMBS'!Q15</f>
        <v>18789.194278093048</v>
      </c>
      <c r="Q26" s="4">
        <f>$Q$4*'NIFTY MEMBS'!R15</f>
        <v>18817.958147040925</v>
      </c>
      <c r="R26" s="4">
        <f>$R$4*'NIFTY MEMBS'!S15</f>
        <v>18562.854896479428</v>
      </c>
      <c r="S26" s="4">
        <f>$S$4*'NIFTY MEMBS'!T15</f>
        <v>18437.208434409404</v>
      </c>
      <c r="T26" s="4">
        <f>$T$4*'NIFTY MEMBS'!U15</f>
        <v>22014.717076884037</v>
      </c>
      <c r="U26" s="4">
        <f>$U$4*'NIFTY MEMBS'!V15</f>
        <v>20789.21892527314</v>
      </c>
      <c r="V26" s="4">
        <f>$V$4*'NIFTY MEMBS'!W15</f>
        <v>20143.863329836655</v>
      </c>
      <c r="W26" s="4">
        <f>$W$4*'NIFTY MEMBS'!X15</f>
        <v>17341.772151898735</v>
      </c>
      <c r="X26" s="4">
        <f>$X$4*'NIFTY MEMBS'!Y15</f>
        <v>18851.234922458356</v>
      </c>
      <c r="Y26" s="4">
        <f>$Y$4*'NIFTY MEMBS'!Z15</f>
        <v>22735.598227474155</v>
      </c>
      <c r="Z26" s="4">
        <f>$Z$4*'NIFTY MEMBS'!AA15</f>
        <v>19448.792106158562</v>
      </c>
      <c r="AA26" s="4">
        <f>$AA$4*'NIFTY MEMBS'!AB15</f>
        <v>20303.716384118394</v>
      </c>
      <c r="AB26" s="4">
        <f>$AB$4*'NIFTY MEMBS'!AC15</f>
        <v>19996.669996669996</v>
      </c>
      <c r="AC26" s="4">
        <f>$AC$4*'NIFTY MEMBS'!AD15</f>
        <v>19732.603092783505</v>
      </c>
      <c r="AD26" s="4">
        <f>$AD$4*'NIFTY MEMBS'!AE15</f>
        <v>20670.003336670005</v>
      </c>
      <c r="AE26" s="4">
        <f>$AE$4*'NIFTY MEMBS'!AF15</f>
        <v>19551.172409058927</v>
      </c>
      <c r="AF26" s="4">
        <f>$AF$4*'NIFTY MEMBS'!AG15</f>
        <v>19790.857613954395</v>
      </c>
      <c r="AG26" s="4">
        <f>$AG$4*'NIFTY MEMBS'!AH15</f>
        <v>20033.643892339547</v>
      </c>
      <c r="AH26" s="4">
        <f>$AH$4*'NIFTY MEMBS'!AI15</f>
        <v>20412.679094982577</v>
      </c>
      <c r="AI26" s="4">
        <f>$AI$4*'NIFTY MEMBS'!AJ15</f>
        <v>19256.984057335085</v>
      </c>
      <c r="AJ26" s="4">
        <f>$AJ$4*'NIFTY MEMBS'!AK15</f>
        <v>18111.348333059617</v>
      </c>
      <c r="AK26" s="4">
        <f>$AK$4*'NIFTY MEMBS'!AL15</f>
        <v>19671.19136826157</v>
      </c>
      <c r="AL26" s="4">
        <f>$AL$4*'NIFTY MEMBS'!AM15</f>
        <v>20538.145047387057</v>
      </c>
      <c r="AM26" s="4">
        <f>$AM$4*'NIFTY MEMBS'!AN15</f>
        <v>17232.475718196674</v>
      </c>
      <c r="AN26" s="4">
        <f>$AN$4*'NIFTY MEMBS'!AO15</f>
        <v>21418.166238217651</v>
      </c>
      <c r="AO26" s="4">
        <f>$AO$4*'NIFTY MEMBS'!AP15</f>
        <v>20546.014257939074</v>
      </c>
      <c r="AP26" s="4">
        <f>$AP$4*'NIFTY MEMBS'!AQ15</f>
        <v>20849.987351378695</v>
      </c>
      <c r="AQ26" s="4">
        <f>$AQ$4*'NIFTY MEMBS'!AR15</f>
        <v>19656.659917246237</v>
      </c>
      <c r="AR26" s="4">
        <f>$AR$4*'NIFTY MEMBS'!AS15</f>
        <v>18905.892354980053</v>
      </c>
      <c r="AS26" s="4">
        <f>$AS$4*'NIFTY MEMBS'!AT15</f>
        <v>18402.095079142156</v>
      </c>
      <c r="AT26" s="4">
        <f>$AT$4*'NIFTY MEMBS'!AU15</f>
        <v>17703.39026604766</v>
      </c>
      <c r="AU26" s="4">
        <f>$AU$4*'NIFTY MEMBS'!AV15</f>
        <v>20869.281755949149</v>
      </c>
      <c r="AV26" s="4">
        <f>$AV$4*'NIFTY MEMBS'!AW15</f>
        <v>19026.296566837107</v>
      </c>
      <c r="AW26" s="4">
        <f>$AW$4*'NIFTY MEMBS'!AX15</f>
        <v>19559.071301396871</v>
      </c>
      <c r="AX26" s="4">
        <f>$AX$4*'NIFTY MEMBS'!AY15</f>
        <v>20026.820713843619</v>
      </c>
      <c r="AY26" s="4">
        <f t="shared" si="8"/>
        <v>968662.2884804192</v>
      </c>
      <c r="AZ26" s="4">
        <f t="shared" si="9"/>
        <v>98.843090661267269</v>
      </c>
    </row>
    <row r="27" spans="1:52" ht="14.25" customHeight="1" x14ac:dyDescent="0.3">
      <c r="A27" s="2">
        <v>45678</v>
      </c>
      <c r="B27" s="4">
        <f>$B$4*'NIFTY MEMBS'!C16</f>
        <v>20858.955987717502</v>
      </c>
      <c r="C27" s="4">
        <f>$C$4*'NIFTY MEMBS'!D16</f>
        <v>18425.362920415537</v>
      </c>
      <c r="D27" s="4">
        <f>$D$4*'NIFTY MEMBS'!E16</f>
        <v>20381.650686219215</v>
      </c>
      <c r="E27" s="4">
        <f>$E$4*'NIFTY MEMBS'!F16</f>
        <v>19627.47267443981</v>
      </c>
      <c r="F27" s="4">
        <f>$F$4*'NIFTY MEMBS'!G16</f>
        <v>18636.700035056285</v>
      </c>
      <c r="G27" s="4">
        <f>$G$4*'NIFTY MEMBS'!H16</f>
        <v>19138.930912758446</v>
      </c>
      <c r="H27" s="4">
        <f>$H$4*'NIFTY MEMBS'!I16</f>
        <v>19130.942895086322</v>
      </c>
      <c r="I27" s="4">
        <f>$I$4*'NIFTY MEMBS'!J16</f>
        <v>20158.477240428925</v>
      </c>
      <c r="J27" s="4">
        <f>$J$4*'NIFTY MEMBS'!K16</f>
        <v>21027.497008060214</v>
      </c>
      <c r="K27" s="4">
        <f>$K$4*'NIFTY MEMBS'!L16</f>
        <v>19114.499148136823</v>
      </c>
      <c r="L27" s="4">
        <f>$L$4*'NIFTY MEMBS'!M16</f>
        <v>19310.702113156101</v>
      </c>
      <c r="M27" s="4">
        <f>$M$4*'NIFTY MEMBS'!N16</f>
        <v>21205.178305362992</v>
      </c>
      <c r="N27" s="4">
        <f>$N$4*'NIFTY MEMBS'!O16</f>
        <v>18308.241401687217</v>
      </c>
      <c r="O27" s="4">
        <f>$O$4*'NIFTY MEMBS'!P16</f>
        <v>21173.115634086331</v>
      </c>
      <c r="P27" s="4">
        <f>$P$4*'NIFTY MEMBS'!Q16</f>
        <v>18854.049530583958</v>
      </c>
      <c r="Q27" s="4">
        <f>$Q$4*'NIFTY MEMBS'!R16</f>
        <v>18653.403529193893</v>
      </c>
      <c r="R27" s="4">
        <f>$R$4*'NIFTY MEMBS'!S16</f>
        <v>18638.595265134969</v>
      </c>
      <c r="S27" s="4">
        <f>$S$4*'NIFTY MEMBS'!T16</f>
        <v>18104.123903713382</v>
      </c>
      <c r="T27" s="4">
        <f>$T$4*'NIFTY MEMBS'!U16</f>
        <v>21783.811215427555</v>
      </c>
      <c r="U27" s="4">
        <f>$U$4*'NIFTY MEMBS'!V16</f>
        <v>20611.583201438298</v>
      </c>
      <c r="V27" s="4">
        <f>$V$4*'NIFTY MEMBS'!W16</f>
        <v>19439.532444178032</v>
      </c>
      <c r="W27" s="4">
        <f>$W$4*'NIFTY MEMBS'!X16</f>
        <v>15518.987341772154</v>
      </c>
      <c r="X27" s="4">
        <f>$X$4*'NIFTY MEMBS'!Y16</f>
        <v>18153.770411093788</v>
      </c>
      <c r="Y27" s="4">
        <f>$Y$4*'NIFTY MEMBS'!Z16</f>
        <v>22435.112893015405</v>
      </c>
      <c r="Z27" s="4">
        <f>$Z$4*'NIFTY MEMBS'!AA16</f>
        <v>18986.049676760806</v>
      </c>
      <c r="AA27" s="4">
        <f>$AA$4*'NIFTY MEMBS'!AB16</f>
        <v>20472.693136009719</v>
      </c>
      <c r="AB27" s="4">
        <f>$AB$4*'NIFTY MEMBS'!AC16</f>
        <v>19870.129870129869</v>
      </c>
      <c r="AC27" s="4">
        <f>$AC$4*'NIFTY MEMBS'!AD16</f>
        <v>19481.314432989693</v>
      </c>
      <c r="AD27" s="4">
        <f>$AD$4*'NIFTY MEMBS'!AE16</f>
        <v>20306.973640306973</v>
      </c>
      <c r="AE27" s="4">
        <f>$AE$4*'NIFTY MEMBS'!AF16</f>
        <v>19377.61353690557</v>
      </c>
      <c r="AF27" s="4">
        <f>$AF$4*'NIFTY MEMBS'!AG16</f>
        <v>19615.559846397497</v>
      </c>
      <c r="AG27" s="4">
        <f>$AG$4*'NIFTY MEMBS'!AH16</f>
        <v>19748.964803312632</v>
      </c>
      <c r="AH27" s="4">
        <f>$AH$4*'NIFTY MEMBS'!AI16</f>
        <v>20250.779074698978</v>
      </c>
      <c r="AI27" s="4">
        <f>$AI$4*'NIFTY MEMBS'!AJ16</f>
        <v>18970.308614889567</v>
      </c>
      <c r="AJ27" s="4">
        <f>$AJ$4*'NIFTY MEMBS'!AK16</f>
        <v>17086.549515519793</v>
      </c>
      <c r="AK27" s="4">
        <f>$AK$4*'NIFTY MEMBS'!AL16</f>
        <v>19388.65344061585</v>
      </c>
      <c r="AL27" s="4">
        <f>$AL$4*'NIFTY MEMBS'!AM16</f>
        <v>20346.549853642558</v>
      </c>
      <c r="AM27" s="4">
        <f>$AM$4*'NIFTY MEMBS'!AN16</f>
        <v>16233.473164451299</v>
      </c>
      <c r="AN27" s="4">
        <f>$AN$4*'NIFTY MEMBS'!AO16</f>
        <v>20944.730077120821</v>
      </c>
      <c r="AO27" s="4">
        <f>$AO$4*'NIFTY MEMBS'!AP16</f>
        <v>20220.34996759559</v>
      </c>
      <c r="AP27" s="4">
        <f>$AP$4*'NIFTY MEMBS'!AQ16</f>
        <v>20742.052449616323</v>
      </c>
      <c r="AQ27" s="4">
        <f>$AQ$4*'NIFTY MEMBS'!AR16</f>
        <v>19256.389940429028</v>
      </c>
      <c r="AR27" s="4">
        <f>$AR$4*'NIFTY MEMBS'!AS16</f>
        <v>18677.653521679418</v>
      </c>
      <c r="AS27" s="4">
        <f>$AS$4*'NIFTY MEMBS'!AT16</f>
        <v>18777.418194893922</v>
      </c>
      <c r="AT27" s="4">
        <f>$AT$4*'NIFTY MEMBS'!AU16</f>
        <v>17826.734963082243</v>
      </c>
      <c r="AU27" s="4">
        <f>$AU$4*'NIFTY MEMBS'!AV16</f>
        <v>21125.719873954145</v>
      </c>
      <c r="AV27" s="4">
        <f>$AV$4*'NIFTY MEMBS'!AW16</f>
        <v>18818.845872899929</v>
      </c>
      <c r="AW27" s="4">
        <f>$AW$4*'NIFTY MEMBS'!AX16</f>
        <v>19237.396489299412</v>
      </c>
      <c r="AX27" s="4">
        <f>$AX$4*'NIFTY MEMBS'!AY16</f>
        <v>19815.349700845887</v>
      </c>
      <c r="AY27" s="4">
        <f t="shared" si="8"/>
        <v>954268.95035621081</v>
      </c>
      <c r="AZ27" s="4">
        <f t="shared" si="9"/>
        <v>97.374382689409273</v>
      </c>
    </row>
    <row r="28" spans="1:52" ht="14.25" customHeight="1" x14ac:dyDescent="0.3">
      <c r="A28" s="2">
        <v>45679</v>
      </c>
      <c r="B28" s="4">
        <f>$B$4*'NIFTY MEMBS'!C17</f>
        <v>20914.636642784029</v>
      </c>
      <c r="C28" s="4">
        <f>$C$4*'NIFTY MEMBS'!D17</f>
        <v>18690.794049675784</v>
      </c>
      <c r="D28" s="4">
        <f>$D$4*'NIFTY MEMBS'!E17</f>
        <v>20451.839318167575</v>
      </c>
      <c r="E28" s="4">
        <f>$E$4*'NIFTY MEMBS'!F17</f>
        <v>20214.713856703427</v>
      </c>
      <c r="F28" s="4">
        <f>$F$4*'NIFTY MEMBS'!G17</f>
        <v>18703.696490476377</v>
      </c>
      <c r="G28" s="4">
        <f>$G$4*'NIFTY MEMBS'!H17</f>
        <v>18997.730711043871</v>
      </c>
      <c r="H28" s="4">
        <f>$H$4*'NIFTY MEMBS'!I17</f>
        <v>19723.24037184595</v>
      </c>
      <c r="I28" s="4">
        <f>$I$4*'NIFTY MEMBS'!J17</f>
        <v>20179.578829507773</v>
      </c>
      <c r="J28" s="4">
        <f>$J$4*'NIFTY MEMBS'!K17</f>
        <v>21332.026011852409</v>
      </c>
      <c r="K28" s="4">
        <f>$K$4*'NIFTY MEMBS'!L17</f>
        <v>19090.472237997466</v>
      </c>
      <c r="L28" s="4">
        <f>$L$4*'NIFTY MEMBS'!M17</f>
        <v>19185.82140422631</v>
      </c>
      <c r="M28" s="4">
        <f>$M$4*'NIFTY MEMBS'!N17</f>
        <v>21449.015461756022</v>
      </c>
      <c r="N28" s="4">
        <f>$N$4*'NIFTY MEMBS'!O17</f>
        <v>18341.661258922777</v>
      </c>
      <c r="O28" s="4">
        <f>$O$4*'NIFTY MEMBS'!P17</f>
        <v>21443.748602102434</v>
      </c>
      <c r="P28" s="4">
        <f>$P$4*'NIFTY MEMBS'!Q17</f>
        <v>19118.700802845262</v>
      </c>
      <c r="Q28" s="4">
        <f>$Q$4*'NIFTY MEMBS'!R17</f>
        <v>19037.011561152409</v>
      </c>
      <c r="R28" s="4">
        <f>$R$4*'NIFTY MEMBS'!S17</f>
        <v>18683.934655368219</v>
      </c>
      <c r="S28" s="4">
        <f>$S$4*'NIFTY MEMBS'!T17</f>
        <v>17900.727747714125</v>
      </c>
      <c r="T28" s="4">
        <f>$T$4*'NIFTY MEMBS'!U17</f>
        <v>22117.482872367418</v>
      </c>
      <c r="U28" s="4">
        <f>$U$4*'NIFTY MEMBS'!V17</f>
        <v>20630.637552437882</v>
      </c>
      <c r="V28" s="4">
        <f>$V$4*'NIFTY MEMBS'!W17</f>
        <v>19325.640641390677</v>
      </c>
      <c r="W28" s="4">
        <f>$W$4*'NIFTY MEMBS'!X17</f>
        <v>15656.419529837252</v>
      </c>
      <c r="X28" s="4">
        <f>$X$4*'NIFTY MEMBS'!Y17</f>
        <v>18088.947238861077</v>
      </c>
      <c r="Y28" s="4">
        <f>$Y$4*'NIFTY MEMBS'!Z17</f>
        <v>22287.402405570796</v>
      </c>
      <c r="Z28" s="4">
        <f>$Z$4*'NIFTY MEMBS'!AA17</f>
        <v>18397.41408642396</v>
      </c>
      <c r="AA28" s="4">
        <f>$AA$4*'NIFTY MEMBS'!AB17</f>
        <v>20308.134076978298</v>
      </c>
      <c r="AB28" s="4">
        <f>$AB$4*'NIFTY MEMBS'!AC17</f>
        <v>20586.080586080589</v>
      </c>
      <c r="AC28" s="4">
        <f>$AC$4*'NIFTY MEMBS'!AD17</f>
        <v>19172.036082474227</v>
      </c>
      <c r="AD28" s="4">
        <f>$AD$4*'NIFTY MEMBS'!AE17</f>
        <v>19826.493159826492</v>
      </c>
      <c r="AE28" s="4">
        <f>$AE$4*'NIFTY MEMBS'!AF17</f>
        <v>19359.994508354739</v>
      </c>
      <c r="AF28" s="4">
        <f>$AF$4*'NIFTY MEMBS'!AG17</f>
        <v>19630.746534180893</v>
      </c>
      <c r="AG28" s="4">
        <f>$AG$4*'NIFTY MEMBS'!AH17</f>
        <v>19627.329192546586</v>
      </c>
      <c r="AH28" s="4">
        <f>$AH$4*'NIFTY MEMBS'!AI17</f>
        <v>20355.51621766149</v>
      </c>
      <c r="AI28" s="4">
        <f>$AI$4*'NIFTY MEMBS'!AJ17</f>
        <v>18856.22348983472</v>
      </c>
      <c r="AJ28" s="4">
        <f>$AJ$4*'NIFTY MEMBS'!AK17</f>
        <v>17263.918541632454</v>
      </c>
      <c r="AK28" s="4">
        <f>$AK$4*'NIFTY MEMBS'!AL17</f>
        <v>19557.766721945827</v>
      </c>
      <c r="AL28" s="4">
        <f>$AL$4*'NIFTY MEMBS'!AM17</f>
        <v>20509.282950893496</v>
      </c>
      <c r="AM28" s="4">
        <f>$AM$4*'NIFTY MEMBS'!AN17</f>
        <v>15920.515559454165</v>
      </c>
      <c r="AN28" s="4">
        <f>$AN$4*'NIFTY MEMBS'!AO17</f>
        <v>20851.89945729791</v>
      </c>
      <c r="AO28" s="4">
        <f>$AO$4*'NIFTY MEMBS'!AP17</f>
        <v>20032.404406999351</v>
      </c>
      <c r="AP28" s="4">
        <f>$AP$4*'NIFTY MEMBS'!AQ17</f>
        <v>20691.457964415211</v>
      </c>
      <c r="AQ28" s="4">
        <f>$AQ$4*'NIFTY MEMBS'!AR17</f>
        <v>19766.411362502567</v>
      </c>
      <c r="AR28" s="4">
        <f>$AR$4*'NIFTY MEMBS'!AS17</f>
        <v>18826.760839709634</v>
      </c>
      <c r="AS28" s="4">
        <f>$AS$4*'NIFTY MEMBS'!AT17</f>
        <v>18706.180076394401</v>
      </c>
      <c r="AT28" s="4">
        <f>$AT$4*'NIFTY MEMBS'!AU17</f>
        <v>17770.201976941393</v>
      </c>
      <c r="AU28" s="4">
        <f>$AU$4*'NIFTY MEMBS'!AV17</f>
        <v>21023.579267630121</v>
      </c>
      <c r="AV28" s="4">
        <f>$AV$4*'NIFTY MEMBS'!AW17</f>
        <v>18937.180423666912</v>
      </c>
      <c r="AW28" s="4">
        <f>$AW$4*'NIFTY MEMBS'!AX17</f>
        <v>19385.089679400622</v>
      </c>
      <c r="AX28" s="4">
        <f>$AX$4*'NIFTY MEMBS'!AY17</f>
        <v>20031.97854342893</v>
      </c>
      <c r="AY28" s="4">
        <f t="shared" si="8"/>
        <v>956960.47596128238</v>
      </c>
      <c r="AZ28" s="4">
        <f t="shared" si="9"/>
        <v>97.649028159314526</v>
      </c>
    </row>
    <row r="29" spans="1:52" ht="14.25" customHeight="1" x14ac:dyDescent="0.3">
      <c r="A29" s="2">
        <v>45680</v>
      </c>
      <c r="B29" s="4">
        <f>$B$4*'NIFTY MEMBS'!C18</f>
        <v>20694.370522006142</v>
      </c>
      <c r="C29" s="4">
        <f>$C$4*'NIFTY MEMBS'!D18</f>
        <v>18677.780520092445</v>
      </c>
      <c r="D29" s="4">
        <f>$D$4*'NIFTY MEMBS'!E18</f>
        <v>20505.10747634267</v>
      </c>
      <c r="E29" s="4">
        <f>$E$4*'NIFTY MEMBS'!F18</f>
        <v>20160.488273413659</v>
      </c>
      <c r="F29" s="4">
        <f>$F$4*'NIFTY MEMBS'!G18</f>
        <v>18723.95123281268</v>
      </c>
      <c r="G29" s="4">
        <f>$G$4*'NIFTY MEMBS'!H18</f>
        <v>18807.362581946545</v>
      </c>
      <c r="H29" s="4">
        <f>$H$4*'NIFTY MEMBS'!I18</f>
        <v>19818.857901726427</v>
      </c>
      <c r="I29" s="4">
        <f>$I$4*'NIFTY MEMBS'!J18</f>
        <v>19996.554842599373</v>
      </c>
      <c r="J29" s="4">
        <f>$J$4*'NIFTY MEMBS'!K18</f>
        <v>21464.969071273052</v>
      </c>
      <c r="K29" s="4">
        <f>$K$4*'NIFTY MEMBS'!L18</f>
        <v>19230.265169717353</v>
      </c>
      <c r="L29" s="4">
        <f>$L$4*'NIFTY MEMBS'!M18</f>
        <v>19104.294478527605</v>
      </c>
      <c r="M29" s="4">
        <f>$M$4*'NIFTY MEMBS'!N18</f>
        <v>21494.339016621612</v>
      </c>
      <c r="N29" s="4">
        <f>$N$4*'NIFTY MEMBS'!O18</f>
        <v>18731.018818948731</v>
      </c>
      <c r="O29" s="4">
        <f>$O$4*'NIFTY MEMBS'!P18</f>
        <v>21190.449563855957</v>
      </c>
      <c r="P29" s="4">
        <f>$P$4*'NIFTY MEMBS'!Q18</f>
        <v>18902.167943722376</v>
      </c>
      <c r="Q29" s="4">
        <f>$Q$4*'NIFTY MEMBS'!R18</f>
        <v>19403.687928252068</v>
      </c>
      <c r="R29" s="4">
        <f>$R$4*'NIFTY MEMBS'!S18</f>
        <v>19954.398532366558</v>
      </c>
      <c r="S29" s="4">
        <f>$S$4*'NIFTY MEMBS'!T18</f>
        <v>17746.781115879829</v>
      </c>
      <c r="T29" s="4">
        <f>$T$4*'NIFTY MEMBS'!U18</f>
        <v>22153.641207815275</v>
      </c>
      <c r="U29" s="4">
        <f>$U$4*'NIFTY MEMBS'!V18</f>
        <v>20889.407932141927</v>
      </c>
      <c r="V29" s="4">
        <f>$V$4*'NIFTY MEMBS'!W18</f>
        <v>19400.569459013936</v>
      </c>
      <c r="W29" s="4">
        <f>$W$4*'NIFTY MEMBS'!X18</f>
        <v>16054.249547920435</v>
      </c>
      <c r="X29" s="4">
        <f>$X$4*'NIFTY MEMBS'!Y18</f>
        <v>18117.666365799621</v>
      </c>
      <c r="Y29" s="4">
        <f>$Y$4*'NIFTY MEMBS'!Z18</f>
        <v>22202.996412745306</v>
      </c>
      <c r="Z29" s="4">
        <f>$Z$4*'NIFTY MEMBS'!AA18</f>
        <v>18642.395372575709</v>
      </c>
      <c r="AA29" s="4">
        <f>$AA$4*'NIFTY MEMBS'!AB18</f>
        <v>20540.062952123251</v>
      </c>
      <c r="AB29" s="4">
        <f>$AB$4*'NIFTY MEMBS'!AC18</f>
        <v>21158.841158841158</v>
      </c>
      <c r="AC29" s="4">
        <f>$AC$4*'NIFTY MEMBS'!AD18</f>
        <v>18965.850515463921</v>
      </c>
      <c r="AD29" s="4">
        <f>$AD$4*'NIFTY MEMBS'!AE18</f>
        <v>20086.753420086752</v>
      </c>
      <c r="AE29" s="4">
        <f>$AE$4*'NIFTY MEMBS'!AF18</f>
        <v>19220.644009816318</v>
      </c>
      <c r="AF29" s="4">
        <f>$AF$4*'NIFTY MEMBS'!AG18</f>
        <v>19754.409563274246</v>
      </c>
      <c r="AG29" s="4">
        <f>$AG$4*'NIFTY MEMBS'!AH18</f>
        <v>19968.944099378885</v>
      </c>
      <c r="AH29" s="4">
        <f>$AH$4*'NIFTY MEMBS'!AI18</f>
        <v>20273.828622005869</v>
      </c>
      <c r="AI29" s="4">
        <f>$AI$4*'NIFTY MEMBS'!AJ18</f>
        <v>19068.304812052069</v>
      </c>
      <c r="AJ29" s="4">
        <f>$AJ$4*'NIFTY MEMBS'!AK18</f>
        <v>16807.357529972083</v>
      </c>
      <c r="AK29" s="4">
        <f>$AK$4*'NIFTY MEMBS'!AL18</f>
        <v>20155.600597833876</v>
      </c>
      <c r="AL29" s="4">
        <f>$AL$4*'NIFTY MEMBS'!AM18</f>
        <v>20945.284834094116</v>
      </c>
      <c r="AM29" s="4">
        <f>$AM$4*'NIFTY MEMBS'!AN18</f>
        <v>16223.993887988909</v>
      </c>
      <c r="AN29" s="4">
        <f>$AN$4*'NIFTY MEMBS'!AO18</f>
        <v>20706.226792345042</v>
      </c>
      <c r="AO29" s="4">
        <f>$AO$4*'NIFTY MEMBS'!AP18</f>
        <v>20123.136746597535</v>
      </c>
      <c r="AP29" s="4">
        <f>$AP$4*'NIFTY MEMBS'!AQ18</f>
        <v>20516.063749051351</v>
      </c>
      <c r="AQ29" s="4">
        <f>$AQ$4*'NIFTY MEMBS'!AR18</f>
        <v>20112.099069753793</v>
      </c>
      <c r="AR29" s="4">
        <f>$AR$4*'NIFTY MEMBS'!AS18</f>
        <v>18980.446013995163</v>
      </c>
      <c r="AS29" s="4">
        <f>$AS$4*'NIFTY MEMBS'!AT18</f>
        <v>18782.031711139607</v>
      </c>
      <c r="AT29" s="4">
        <f>$AT$4*'NIFTY MEMBS'!AU18</f>
        <v>18152.227913590184</v>
      </c>
      <c r="AU29" s="4">
        <f>$AU$4*'NIFTY MEMBS'!AV18</f>
        <v>21382.157991959146</v>
      </c>
      <c r="AV29" s="4">
        <f>$AV$4*'NIFTY MEMBS'!AW18</f>
        <v>18837.107377647921</v>
      </c>
      <c r="AW29" s="4">
        <f>$AW$4*'NIFTY MEMBS'!AX18</f>
        <v>19598.503949239428</v>
      </c>
      <c r="AX29" s="4">
        <f>$AX$4*'NIFTY MEMBS'!AY18</f>
        <v>20031.97854342893</v>
      </c>
      <c r="AY29" s="4">
        <f t="shared" si="8"/>
        <v>962459.62714979681</v>
      </c>
      <c r="AZ29" s="4">
        <f t="shared" si="9"/>
        <v>98.210166035693547</v>
      </c>
    </row>
    <row r="30" spans="1:52" ht="14.25" customHeight="1" x14ac:dyDescent="0.3">
      <c r="A30" s="2">
        <v>45681</v>
      </c>
      <c r="B30" s="4">
        <f>$B$4*'NIFTY MEMBS'!C19</f>
        <v>20410.235414534287</v>
      </c>
      <c r="C30" s="4">
        <f>$C$4*'NIFTY MEMBS'!D19</f>
        <v>18508.380264309275</v>
      </c>
      <c r="D30" s="4">
        <f>$D$4*'NIFTY MEMBS'!E19</f>
        <v>20615.403897975808</v>
      </c>
      <c r="E30" s="4">
        <f>$E$4*'NIFTY MEMBS'!F19</f>
        <v>20194.044912400153</v>
      </c>
      <c r="F30" s="4">
        <f>$F$4*'NIFTY MEMBS'!G19</f>
        <v>18840.026486970746</v>
      </c>
      <c r="G30" s="4">
        <f>$G$4*'NIFTY MEMBS'!H19</f>
        <v>18763.237518910741</v>
      </c>
      <c r="H30" s="4">
        <f>$H$4*'NIFTY MEMBS'!I19</f>
        <v>19925.099601593625</v>
      </c>
      <c r="I30" s="4">
        <f>$I$4*'NIFTY MEMBS'!J19</f>
        <v>20396.193101072306</v>
      </c>
      <c r="J30" s="4">
        <f>$J$4*'NIFTY MEMBS'!K19</f>
        <v>21451.415223566393</v>
      </c>
      <c r="K30" s="4">
        <f>$K$4*'NIFTY MEMBS'!L19</f>
        <v>19291.424577344809</v>
      </c>
      <c r="L30" s="4">
        <f>$L$4*'NIFTY MEMBS'!M19</f>
        <v>18858.623040218132</v>
      </c>
      <c r="M30" s="4">
        <f>$M$4*'NIFTY MEMBS'!N19</f>
        <v>21355.424105350499</v>
      </c>
      <c r="N30" s="4">
        <f>$N$4*'NIFTY MEMBS'!O19</f>
        <v>18179.104477611942</v>
      </c>
      <c r="O30" s="4">
        <f>$O$4*'NIFTY MEMBS'!P19</f>
        <v>21093.715052560947</v>
      </c>
      <c r="P30" s="4">
        <f>$P$4*'NIFTY MEMBS'!Q19</f>
        <v>18754.151520698761</v>
      </c>
      <c r="Q30" s="4">
        <f>$Q$4*'NIFTY MEMBS'!R19</f>
        <v>19283.049816132701</v>
      </c>
      <c r="R30" s="4">
        <f>$R$4*'NIFTY MEMBS'!S19</f>
        <v>19718.441513060188</v>
      </c>
      <c r="S30" s="4">
        <f>$S$4*'NIFTY MEMBS'!T19</f>
        <v>17699.197611494685</v>
      </c>
      <c r="T30" s="4">
        <f>$T$4*'NIFTY MEMBS'!U19</f>
        <v>21932.250697792439</v>
      </c>
      <c r="U30" s="4">
        <f>$U$4*'NIFTY MEMBS'!V19</f>
        <v>20911.5355655608</v>
      </c>
      <c r="V30" s="4">
        <f>$V$4*'NIFTY MEMBS'!W19</f>
        <v>19400.569459013936</v>
      </c>
      <c r="W30" s="4">
        <f>$W$4*'NIFTY MEMBS'!X19</f>
        <v>15594.93670886076</v>
      </c>
      <c r="X30" s="4">
        <f>$X$4*'NIFTY MEMBS'!Y19</f>
        <v>17956.018708459833</v>
      </c>
      <c r="Y30" s="4">
        <f>$Y$4*'NIFTY MEMBS'!Z19</f>
        <v>21650.981219666595</v>
      </c>
      <c r="Z30" s="4">
        <f>$Z$4*'NIFTY MEMBS'!AA19</f>
        <v>18383.80401497108</v>
      </c>
      <c r="AA30" s="4">
        <f>$AA$4*'NIFTY MEMBS'!AB19</f>
        <v>20596.38853608703</v>
      </c>
      <c r="AB30" s="4">
        <f>$AB$4*'NIFTY MEMBS'!AC19</f>
        <v>21318.68131868132</v>
      </c>
      <c r="AC30" s="4">
        <f>$AC$4*'NIFTY MEMBS'!AD19</f>
        <v>19062.500000000004</v>
      </c>
      <c r="AD30" s="4">
        <f>$AD$4*'NIFTY MEMBS'!AE19</f>
        <v>19595.595595595594</v>
      </c>
      <c r="AE30" s="4">
        <f>$AE$4*'NIFTY MEMBS'!AF19</f>
        <v>19224.190697381746</v>
      </c>
      <c r="AF30" s="4">
        <f>$AF$4*'NIFTY MEMBS'!AG19</f>
        <v>19633.349966372334</v>
      </c>
      <c r="AG30" s="4">
        <f>$AG$4*'NIFTY MEMBS'!AH19</f>
        <v>19826.604554865426</v>
      </c>
      <c r="AH30" s="4">
        <f>$AH$4*'NIFTY MEMBS'!AI19</f>
        <v>20356.438199553766</v>
      </c>
      <c r="AI30" s="4">
        <f>$AI$4*'NIFTY MEMBS'!AJ19</f>
        <v>18976.159134123154</v>
      </c>
      <c r="AJ30" s="4">
        <f>$AJ$4*'NIFTY MEMBS'!AK19</f>
        <v>16058.466086385286</v>
      </c>
      <c r="AK30" s="4">
        <f>$AK$4*'NIFTY MEMBS'!AL19</f>
        <v>20398.009950248754</v>
      </c>
      <c r="AL30" s="4">
        <f>$AL$4*'NIFTY MEMBS'!AM19</f>
        <v>21314.146521196239</v>
      </c>
      <c r="AM30" s="4">
        <f>$AM$4*'NIFTY MEMBS'!AN19</f>
        <v>15535.968194905243</v>
      </c>
      <c r="AN30" s="4">
        <f>$AN$4*'NIFTY MEMBS'!AO19</f>
        <v>20571.265352756353</v>
      </c>
      <c r="AO30" s="4">
        <f>$AO$4*'NIFTY MEMBS'!AP19</f>
        <v>20126.377187297468</v>
      </c>
      <c r="AP30" s="4">
        <f>$AP$4*'NIFTY MEMBS'!AQ19</f>
        <v>20470.528712370349</v>
      </c>
      <c r="AQ30" s="4">
        <f>$AQ$4*'NIFTY MEMBS'!AR19</f>
        <v>20225.371951756315</v>
      </c>
      <c r="AR30" s="4">
        <f>$AR$4*'NIFTY MEMBS'!AS19</f>
        <v>18460.532339284549</v>
      </c>
      <c r="AS30" s="4">
        <f>$AS$4*'NIFTY MEMBS'!AT19</f>
        <v>18304.939854674238</v>
      </c>
      <c r="AT30" s="4">
        <f>$AT$4*'NIFTY MEMBS'!AU19</f>
        <v>18071.711236359275</v>
      </c>
      <c r="AU30" s="4">
        <f>$AU$4*'NIFTY MEMBS'!AV19</f>
        <v>21565.793762903402</v>
      </c>
      <c r="AV30" s="4">
        <f>$AV$4*'NIFTY MEMBS'!AW19</f>
        <v>17887.509130752376</v>
      </c>
      <c r="AW30" s="4">
        <f>$AW$4*'NIFTY MEMBS'!AX19</f>
        <v>19366.926762818595</v>
      </c>
      <c r="AX30" s="4">
        <f>$AX$4*'NIFTY MEMBS'!AY19</f>
        <v>19616.257478852898</v>
      </c>
      <c r="AY30" s="4">
        <f t="shared" si="8"/>
        <v>955730.97703535308</v>
      </c>
      <c r="AZ30" s="4">
        <f t="shared" si="9"/>
        <v>97.523569085240112</v>
      </c>
    </row>
    <row r="31" spans="1:52" ht="14.25" customHeight="1" x14ac:dyDescent="0.3">
      <c r="A31" s="2">
        <v>45684</v>
      </c>
      <c r="B31" s="4">
        <f>$B$4*'NIFTY MEMBS'!C20</f>
        <v>20132.650972364379</v>
      </c>
      <c r="C31" s="4">
        <f>$C$4*'NIFTY MEMBS'!D20</f>
        <v>18284.00906459647</v>
      </c>
      <c r="D31" s="4">
        <f>$D$4*'NIFTY MEMBS'!E20</f>
        <v>20086.482421507801</v>
      </c>
      <c r="E31" s="4">
        <f>$E$4*'NIFTY MEMBS'!F20</f>
        <v>19769.966808107089</v>
      </c>
      <c r="F31" s="4">
        <f>$F$4*'NIFTY MEMBS'!G20</f>
        <v>19132.1621937444</v>
      </c>
      <c r="G31" s="4">
        <f>$G$4*'NIFTY MEMBS'!H20</f>
        <v>18890.569843671205</v>
      </c>
      <c r="H31" s="4">
        <f>$H$4*'NIFTY MEMBS'!I20</f>
        <v>19357.237715803451</v>
      </c>
      <c r="I31" s="4">
        <f>$I$4*'NIFTY MEMBS'!J20</f>
        <v>20609.362215236211</v>
      </c>
      <c r="J31" s="4">
        <f>$J$4*'NIFTY MEMBS'!K20</f>
        <v>21038.455438120916</v>
      </c>
      <c r="K31" s="4">
        <f>$K$4*'NIFTY MEMBS'!L20</f>
        <v>19225.89664060111</v>
      </c>
      <c r="L31" s="4">
        <f>$L$4*'NIFTY MEMBS'!M20</f>
        <v>18855.623721881391</v>
      </c>
      <c r="M31" s="4">
        <f>$M$4*'NIFTY MEMBS'!N20</f>
        <v>21401.729075774205</v>
      </c>
      <c r="N31" s="4">
        <f>$N$4*'NIFTY MEMBS'!O20</f>
        <v>18375.081116158337</v>
      </c>
      <c r="O31" s="4">
        <f>$O$4*'NIFTY MEMBS'!P20</f>
        <v>21040.035786177588</v>
      </c>
      <c r="P31" s="4">
        <f>$P$4*'NIFTY MEMBS'!Q20</f>
        <v>17907.89508093831</v>
      </c>
      <c r="Q31" s="4">
        <f>$Q$4*'NIFTY MEMBS'!R20</f>
        <v>18908.965845657291</v>
      </c>
      <c r="R31" s="4">
        <f>$R$4*'NIFTY MEMBS'!S20</f>
        <v>19637.459596400804</v>
      </c>
      <c r="S31" s="4">
        <f>$S$4*'NIFTY MEMBS'!T20</f>
        <v>17691.733532375445</v>
      </c>
      <c r="T31" s="4">
        <f>$T$4*'NIFTY MEMBS'!U20</f>
        <v>21715.3006851053</v>
      </c>
      <c r="U31" s="4">
        <f>$U$4*'NIFTY MEMBS'!V20</f>
        <v>20402.599996926718</v>
      </c>
      <c r="V31" s="4">
        <f>$V$4*'NIFTY MEMBS'!W20</f>
        <v>19313.652030570956</v>
      </c>
      <c r="W31" s="4">
        <f>$W$4*'NIFTY MEMBS'!X20</f>
        <v>14915.00904159132</v>
      </c>
      <c r="X31" s="4">
        <f>$X$4*'NIFTY MEMBS'!Y20</f>
        <v>17756.625912857962</v>
      </c>
      <c r="Y31" s="4">
        <f>$Y$4*'NIFTY MEMBS'!Z20</f>
        <v>21167.334880776536</v>
      </c>
      <c r="Z31" s="4">
        <f>$Z$4*'NIFTY MEMBS'!AA20</f>
        <v>17893.841442667577</v>
      </c>
      <c r="AA31" s="4">
        <f>$AA$4*'NIFTY MEMBS'!AB20</f>
        <v>20307.029653763322</v>
      </c>
      <c r="AB31" s="4">
        <f>$AB$4*'NIFTY MEMBS'!AC20</f>
        <v>20509.490509490508</v>
      </c>
      <c r="AC31" s="4">
        <f>$AC$4*'NIFTY MEMBS'!AD20</f>
        <v>18492.268041237116</v>
      </c>
      <c r="AD31" s="4">
        <f>$AD$4*'NIFTY MEMBS'!AE20</f>
        <v>19033.7003670337</v>
      </c>
      <c r="AE31" s="4">
        <f>$AE$4*'NIFTY MEMBS'!AF20</f>
        <v>19185.520361990952</v>
      </c>
      <c r="AF31" s="4">
        <f>$AF$4*'NIFTY MEMBS'!AG20</f>
        <v>19538.758596750049</v>
      </c>
      <c r="AG31" s="4">
        <f>$AG$4*'NIFTY MEMBS'!AH20</f>
        <v>19448.757763975154</v>
      </c>
      <c r="AH31" s="4">
        <f>$AH$4*'NIFTY MEMBS'!AI20</f>
        <v>20050.89340045362</v>
      </c>
      <c r="AI31" s="4">
        <f>$AI$4*'NIFTY MEMBS'!AJ20</f>
        <v>18483.252888693871</v>
      </c>
      <c r="AJ31" s="4">
        <f>$AJ$4*'NIFTY MEMBS'!AK20</f>
        <v>15325.997700771886</v>
      </c>
      <c r="AK31" s="4">
        <f>$AK$4*'NIFTY MEMBS'!AL20</f>
        <v>20130.213131871507</v>
      </c>
      <c r="AL31" s="4">
        <f>$AL$4*'NIFTY MEMBS'!AM20</f>
        <v>21061.142611507992</v>
      </c>
      <c r="AM31" s="4">
        <f>$AM$4*'NIFTY MEMBS'!AN20</f>
        <v>15315.681128458345</v>
      </c>
      <c r="AN31" s="4">
        <f>$AN$4*'NIFTY MEMBS'!AO20</f>
        <v>20342.759211653811</v>
      </c>
      <c r="AO31" s="4">
        <f>$AO$4*'NIFTY MEMBS'!AP20</f>
        <v>19773.169151004535</v>
      </c>
      <c r="AP31" s="4">
        <f>$AP$4*'NIFTY MEMBS'!AQ20</f>
        <v>19795.935576355507</v>
      </c>
      <c r="AQ31" s="4">
        <f>$AQ$4*'NIFTY MEMBS'!AR20</f>
        <v>19413.680781758958</v>
      </c>
      <c r="AR31" s="4">
        <f>$AR$4*'NIFTY MEMBS'!AS20</f>
        <v>18260.414622980836</v>
      </c>
      <c r="AS31" s="4">
        <f>$AS$4*'NIFTY MEMBS'!AT20</f>
        <v>18170.333733623713</v>
      </c>
      <c r="AT31" s="4">
        <f>$AT$4*'NIFTY MEMBS'!AU20</f>
        <v>17530.365066040802</v>
      </c>
      <c r="AU31" s="4">
        <f>$AU$4*'NIFTY MEMBS'!AV20</f>
        <v>20988.807997392156</v>
      </c>
      <c r="AV31" s="4">
        <f>$AV$4*'NIFTY MEMBS'!AW20</f>
        <v>17496.712929145364</v>
      </c>
      <c r="AW31" s="4">
        <f>$AW$4*'NIFTY MEMBS'!AX20</f>
        <v>19195.096012522852</v>
      </c>
      <c r="AX31" s="4">
        <f>$AX$4*'NIFTY MEMBS'!AY20</f>
        <v>19113.884877243658</v>
      </c>
      <c r="AY31" s="4">
        <f t="shared" si="8"/>
        <v>940473.54717533302</v>
      </c>
      <c r="AZ31" s="4">
        <f t="shared" si="9"/>
        <v>95.966688487278887</v>
      </c>
    </row>
    <row r="32" spans="1:52" ht="14.25" customHeight="1" x14ac:dyDescent="0.3">
      <c r="A32" s="2">
        <v>45685</v>
      </c>
      <c r="B32" s="4">
        <f>$B$4*'NIFTY MEMBS'!C21</f>
        <v>20215.353121801432</v>
      </c>
      <c r="C32" s="4">
        <f>$C$4*'NIFTY MEMBS'!D21</f>
        <v>18739.482600013464</v>
      </c>
      <c r="D32" s="4">
        <f>$D$4*'NIFTY MEMBS'!E21</f>
        <v>20283.887948862568</v>
      </c>
      <c r="E32" s="4">
        <f>$E$4*'NIFTY MEMBS'!F21</f>
        <v>19649.114274945594</v>
      </c>
      <c r="F32" s="4">
        <f>$F$4*'NIFTY MEMBS'!G21</f>
        <v>19427.414014723639</v>
      </c>
      <c r="G32" s="4">
        <f>$G$4*'NIFTY MEMBS'!H21</f>
        <v>18971.255673222389</v>
      </c>
      <c r="H32" s="4">
        <f>$H$4*'NIFTY MEMBS'!I21</f>
        <v>19439.57503320053</v>
      </c>
      <c r="I32" s="4">
        <f>$I$4*'NIFTY MEMBS'!J21</f>
        <v>20574.910641229922</v>
      </c>
      <c r="J32" s="4">
        <f>$J$4*'NIFTY MEMBS'!K21</f>
        <v>21935.893184144879</v>
      </c>
      <c r="K32" s="4">
        <f>$K$4*'NIFTY MEMBS'!L21</f>
        <v>19022.760036695643</v>
      </c>
      <c r="L32" s="4">
        <f>$L$4*'NIFTY MEMBS'!M21</f>
        <v>18617.041581458758</v>
      </c>
      <c r="M32" s="4">
        <f>$M$4*'NIFTY MEMBS'!N21</f>
        <v>21633.521586681301</v>
      </c>
      <c r="N32" s="4">
        <f>$N$4*'NIFTY MEMBS'!O21</f>
        <v>18628.16353017521</v>
      </c>
      <c r="O32" s="4">
        <f>$O$4*'NIFTY MEMBS'!P21</f>
        <v>21111.048982330572</v>
      </c>
      <c r="P32" s="4">
        <f>$P$4*'NIFTY MEMBS'!Q21</f>
        <v>17712.283271006039</v>
      </c>
      <c r="Q32" s="4">
        <f>$Q$4*'NIFTY MEMBS'!R21</f>
        <v>18048.096510489693</v>
      </c>
      <c r="R32" s="4">
        <f>$R$4*'NIFTY MEMBS'!S21</f>
        <v>19736.786931073642</v>
      </c>
      <c r="S32" s="4">
        <f>$S$4*'NIFTY MEMBS'!T21</f>
        <v>18357.902593767492</v>
      </c>
      <c r="T32" s="4">
        <f>$T$4*'NIFTY MEMBS'!U21</f>
        <v>22442.907891398121</v>
      </c>
      <c r="U32" s="4">
        <f>$U$4*'NIFTY MEMBS'!V21</f>
        <v>20442.859996619391</v>
      </c>
      <c r="V32" s="4">
        <f>$V$4*'NIFTY MEMBS'!W21</f>
        <v>19076.876966881464</v>
      </c>
      <c r="W32" s="4">
        <f>$W$4*'NIFTY MEMBS'!X21</f>
        <v>15059.674502712478</v>
      </c>
      <c r="X32" s="4">
        <f>$X$4*'NIFTY MEMBS'!Y21</f>
        <v>17735.291704275045</v>
      </c>
      <c r="Y32" s="4">
        <f>$Y$4*'NIFTY MEMBS'!Z21</f>
        <v>20990.082295843007</v>
      </c>
      <c r="Z32" s="4">
        <f>$Z$4*'NIFTY MEMBS'!AA21</f>
        <v>17574.004763525012</v>
      </c>
      <c r="AA32" s="4">
        <f>$AA$4*'NIFTY MEMBS'!AB21</f>
        <v>20236.346568004858</v>
      </c>
      <c r="AB32" s="4">
        <f>$AB$4*'NIFTY MEMBS'!AC21</f>
        <v>20219.780219780219</v>
      </c>
      <c r="AC32" s="4">
        <f>$AC$4*'NIFTY MEMBS'!AD21</f>
        <v>18295.747422680412</v>
      </c>
      <c r="AD32" s="4">
        <f>$AD$4*'NIFTY MEMBS'!AE21</f>
        <v>19439.43943943944</v>
      </c>
      <c r="AE32" s="4">
        <f>$AE$4*'NIFTY MEMBS'!AF21</f>
        <v>19217.097322250887</v>
      </c>
      <c r="AF32" s="4">
        <f>$AF$4*'NIFTY MEMBS'!AG21</f>
        <v>19454.580955893518</v>
      </c>
      <c r="AG32" s="4">
        <f>$AG$4*'NIFTY MEMBS'!AH21</f>
        <v>19184.782608695652</v>
      </c>
      <c r="AH32" s="4">
        <f>$AH$4*'NIFTY MEMBS'!AI21</f>
        <v>19880.695543139536</v>
      </c>
      <c r="AI32" s="4">
        <f>$AI$4*'NIFTY MEMBS'!AJ21</f>
        <v>18812.344595582857</v>
      </c>
      <c r="AJ32" s="4">
        <f>$AJ$4*'NIFTY MEMBS'!AK21</f>
        <v>15332.566923961243</v>
      </c>
      <c r="AK32" s="4">
        <f>$AK$4*'NIFTY MEMBS'!AL21</f>
        <v>19747.353766148681</v>
      </c>
      <c r="AL32" s="4">
        <f>$AL$4*'NIFTY MEMBS'!AM21</f>
        <v>20901.070558614614</v>
      </c>
      <c r="AM32" s="4">
        <f>$AM$4*'NIFTY MEMBS'!AN21</f>
        <v>15435.940605966287</v>
      </c>
      <c r="AN32" s="4">
        <f>$AN$4*'NIFTY MEMBS'!AO21</f>
        <v>20272.779205941159</v>
      </c>
      <c r="AO32" s="4">
        <f>$AO$4*'NIFTY MEMBS'!AP21</f>
        <v>19816.915100453658</v>
      </c>
      <c r="AP32" s="4">
        <f>$AP$4*'NIFTY MEMBS'!AQ21</f>
        <v>19355.763555105827</v>
      </c>
      <c r="AQ32" s="4">
        <f>$AQ$4*'NIFTY MEMBS'!AR21</f>
        <v>19348.534201954397</v>
      </c>
      <c r="AR32" s="4">
        <f>$AR$4*'NIFTY MEMBS'!AS21</f>
        <v>18580.864560852788</v>
      </c>
      <c r="AS32" s="4">
        <f>$AS$4*'NIFTY MEMBS'!AT21</f>
        <v>18206.970480280608</v>
      </c>
      <c r="AT32" s="4">
        <f>$AT$4*'NIFTY MEMBS'!AU21</f>
        <v>18162.506638343068</v>
      </c>
      <c r="AU32" s="4">
        <f>$AU$4*'NIFTY MEMBS'!AV21</f>
        <v>20889.927197652942</v>
      </c>
      <c r="AV32" s="4">
        <f>$AV$4*'NIFTY MEMBS'!AW21</f>
        <v>17257.121986851718</v>
      </c>
      <c r="AW32" s="4">
        <f>$AW$4*'NIFTY MEMBS'!AX21</f>
        <v>19244.805047378923</v>
      </c>
      <c r="AX32" s="4">
        <f>$AX$4*'NIFTY MEMBS'!AY21</f>
        <v>19272.746028471222</v>
      </c>
      <c r="AY32" s="4">
        <f t="shared" si="8"/>
        <v>941992.87017052167</v>
      </c>
      <c r="AZ32" s="4">
        <f t="shared" si="9"/>
        <v>96.121721445971602</v>
      </c>
    </row>
    <row r="33" spans="1:52" ht="14.25" customHeight="1" x14ac:dyDescent="0.3">
      <c r="A33" s="2">
        <v>45686</v>
      </c>
      <c r="B33" s="4">
        <f>$B$4*'NIFTY MEMBS'!C22</f>
        <v>20233.367451381779</v>
      </c>
      <c r="C33" s="4">
        <f>$C$4*'NIFTY MEMBS'!D22</f>
        <v>18816.890663914382</v>
      </c>
      <c r="D33" s="4">
        <f>$D$4*'NIFTY MEMBS'!E22</f>
        <v>20059.535000313343</v>
      </c>
      <c r="E33" s="4">
        <f>$E$4*'NIFTY MEMBS'!F22</f>
        <v>19938.479495191434</v>
      </c>
      <c r="F33" s="4">
        <f>$F$4*'NIFTY MEMBS'!G22</f>
        <v>19501.421727106299</v>
      </c>
      <c r="G33" s="4">
        <f>$G$4*'NIFTY MEMBS'!H22</f>
        <v>19123.802319717601</v>
      </c>
      <c r="H33" s="4">
        <f>$H$4*'NIFTY MEMBS'!I22</f>
        <v>19986.719787516598</v>
      </c>
      <c r="I33" s="4">
        <f>$I$4*'NIFTY MEMBS'!J22</f>
        <v>20532.70746307222</v>
      </c>
      <c r="J33" s="4">
        <f>$J$4*'NIFTY MEMBS'!K22</f>
        <v>22377.402563695876</v>
      </c>
      <c r="K33" s="4">
        <f>$K$4*'NIFTY MEMBS'!L22</f>
        <v>18931.020925254466</v>
      </c>
      <c r="L33" s="4">
        <f>$L$4*'NIFTY MEMBS'!M22</f>
        <v>18812.269938650305</v>
      </c>
      <c r="M33" s="4">
        <f>$M$4*'NIFTY MEMBS'!N22</f>
        <v>21373.268024588921</v>
      </c>
      <c r="N33" s="4">
        <f>$N$4*'NIFTY MEMBS'!O22</f>
        <v>18976.963011031796</v>
      </c>
      <c r="O33" s="4">
        <f>$O$4*'NIFTY MEMBS'!P22</f>
        <v>21475.620666517556</v>
      </c>
      <c r="P33" s="4">
        <f>$P$4*'NIFTY MEMBS'!Q22</f>
        <v>17981.641779335234</v>
      </c>
      <c r="Q33" s="4">
        <f>$Q$4*'NIFTY MEMBS'!R22</f>
        <v>18363.977883012776</v>
      </c>
      <c r="R33" s="4">
        <f>$R$4*'NIFTY MEMBS'!S22</f>
        <v>20170.961824058704</v>
      </c>
      <c r="S33" s="4">
        <f>$S$4*'NIFTY MEMBS'!T22</f>
        <v>18350.438514648256</v>
      </c>
      <c r="T33" s="4">
        <f>$T$4*'NIFTY MEMBS'!U22</f>
        <v>22715.046942400404</v>
      </c>
      <c r="U33" s="4">
        <f>$U$4*'NIFTY MEMBS'!V22</f>
        <v>20718.533429629519</v>
      </c>
      <c r="V33" s="4">
        <f>$V$4*'NIFTY MEMBS'!W22</f>
        <v>19256.706129177281</v>
      </c>
      <c r="W33" s="4">
        <f>$W$4*'NIFTY MEMBS'!X22</f>
        <v>16094.032549728754</v>
      </c>
      <c r="X33" s="4">
        <f>$X$4*'NIFTY MEMBS'!Y22</f>
        <v>18001.969311561497</v>
      </c>
      <c r="Y33" s="4">
        <f>$Y$4*'NIFTY MEMBS'!Z22</f>
        <v>21219.666596328341</v>
      </c>
      <c r="Z33" s="4">
        <f>$Z$4*'NIFTY MEMBS'!AA22</f>
        <v>18183.055461041171</v>
      </c>
      <c r="AA33" s="4">
        <f>$AA$4*'NIFTY MEMBS'!AB22</f>
        <v>20710.144127229556</v>
      </c>
      <c r="AB33" s="4">
        <f>$AB$4*'NIFTY MEMBS'!AC22</f>
        <v>20809.190809190808</v>
      </c>
      <c r="AC33" s="4">
        <f>$AC$4*'NIFTY MEMBS'!AD22</f>
        <v>18547.036082474231</v>
      </c>
      <c r="AD33" s="4">
        <f>$AD$4*'NIFTY MEMBS'!AE22</f>
        <v>20086.753420086752</v>
      </c>
      <c r="AE33" s="4">
        <f>$AE$4*'NIFTY MEMBS'!AF22</f>
        <v>19737.545120158346</v>
      </c>
      <c r="AF33" s="4">
        <f>$AF$4*'NIFTY MEMBS'!AG22</f>
        <v>19292.734254659059</v>
      </c>
      <c r="AG33" s="4">
        <f>$AG$4*'NIFTY MEMBS'!AH22</f>
        <v>19640.269151138717</v>
      </c>
      <c r="AH33" s="4">
        <f>$AH$4*'NIFTY MEMBS'!AI22</f>
        <v>20105.659124854788</v>
      </c>
      <c r="AI33" s="4">
        <f>$AI$4*'NIFTY MEMBS'!AJ22</f>
        <v>19131.197893813078</v>
      </c>
      <c r="AJ33" s="4">
        <f>$AJ$4*'NIFTY MEMBS'!AK22</f>
        <v>15654.45886023978</v>
      </c>
      <c r="AK33" s="4">
        <f>$AK$4*'NIFTY MEMBS'!AL22</f>
        <v>20094.17930921524</v>
      </c>
      <c r="AL33" s="4">
        <f>$AL$4*'NIFTY MEMBS'!AM22</f>
        <v>21218.348924323989</v>
      </c>
      <c r="AM33" s="4">
        <f>$AM$4*'NIFTY MEMBS'!AN22</f>
        <v>15837.890224319295</v>
      </c>
      <c r="AN33" s="4">
        <f>$AN$4*'NIFTY MEMBS'!AO22</f>
        <v>20864.038846043986</v>
      </c>
      <c r="AO33" s="4">
        <f>$AO$4*'NIFTY MEMBS'!AP22</f>
        <v>20361.309138042772</v>
      </c>
      <c r="AP33" s="4">
        <f>$AP$4*'NIFTY MEMBS'!AQ22</f>
        <v>19701.492537313432</v>
      </c>
      <c r="AQ33" s="4">
        <f>$AQ$4*'NIFTY MEMBS'!AR22</f>
        <v>19733.544619538105</v>
      </c>
      <c r="AR33" s="4">
        <f>$AR$4*'NIFTY MEMBS'!AS22</f>
        <v>18624.681185010792</v>
      </c>
      <c r="AS33" s="4">
        <f>$AS$4*'NIFTY MEMBS'!AT22</f>
        <v>18411.457803287809</v>
      </c>
      <c r="AT33" s="4">
        <f>$AT$4*'NIFTY MEMBS'!AU22</f>
        <v>18964.247169067887</v>
      </c>
      <c r="AU33" s="4">
        <f>$AU$4*'NIFTY MEMBS'!AV22</f>
        <v>20873.628164728892</v>
      </c>
      <c r="AV33" s="4">
        <f>$AV$4*'NIFTY MEMBS'!AW22</f>
        <v>17256.391526661799</v>
      </c>
      <c r="AW33" s="4">
        <f>$AW$4*'NIFTY MEMBS'!AX22</f>
        <v>19465.149903808237</v>
      </c>
      <c r="AX33" s="4">
        <f>$AX$4*'NIFTY MEMBS'!AY22</f>
        <v>19564.679182999793</v>
      </c>
      <c r="AY33" s="4">
        <f t="shared" si="8"/>
        <v>955881.52683708165</v>
      </c>
      <c r="AZ33" s="4">
        <f t="shared" si="9"/>
        <v>97.538931309906303</v>
      </c>
    </row>
    <row r="34" spans="1:52" ht="14.25" customHeight="1" x14ac:dyDescent="0.3">
      <c r="A34" s="2">
        <v>45687</v>
      </c>
      <c r="B34" s="4">
        <f>$B$4*'NIFTY MEMBS'!C23</f>
        <v>20520.777891504604</v>
      </c>
      <c r="C34" s="4">
        <f>$C$4*'NIFTY MEMBS'!D23</f>
        <v>18976.194215710471</v>
      </c>
      <c r="D34" s="4">
        <f>$D$4*'NIFTY MEMBS'!E23</f>
        <v>20564.642476656012</v>
      </c>
      <c r="E34" s="4">
        <f>$E$4*'NIFTY MEMBS'!F23</f>
        <v>19939.695315444565</v>
      </c>
      <c r="F34" s="4">
        <f>$F$4*'NIFTY MEMBS'!G23</f>
        <v>19562.964982666614</v>
      </c>
      <c r="G34" s="4">
        <f>$G$4*'NIFTY MEMBS'!H23</f>
        <v>19228.441754916792</v>
      </c>
      <c r="H34" s="4">
        <f>$H$4*'NIFTY MEMBS'!I23</f>
        <v>19760.42496679947</v>
      </c>
      <c r="I34" s="4">
        <f>$I$4*'NIFTY MEMBS'!J23</f>
        <v>20746.307221911204</v>
      </c>
      <c r="J34" s="4">
        <f>$J$4*'NIFTY MEMBS'!K23</f>
        <v>22786.613412541632</v>
      </c>
      <c r="K34" s="4">
        <f>$K$4*'NIFTY MEMBS'!L23</f>
        <v>19055.524005067491</v>
      </c>
      <c r="L34" s="4">
        <f>$L$4*'NIFTY MEMBS'!M23</f>
        <v>18655.487389229718</v>
      </c>
      <c r="M34" s="4">
        <f>$M$4*'NIFTY MEMBS'!N23</f>
        <v>21412.703086105834</v>
      </c>
      <c r="N34" s="4">
        <f>$N$4*'NIFTY MEMBS'!O23</f>
        <v>19282.608695652172</v>
      </c>
      <c r="O34" s="4">
        <f>$O$4*'NIFTY MEMBS'!P23</f>
        <v>21264.817714157904</v>
      </c>
      <c r="P34" s="4">
        <f>$P$4*'NIFTY MEMBS'!Q23</f>
        <v>17919.924684222911</v>
      </c>
      <c r="Q34" s="4">
        <f>$Q$4*'NIFTY MEMBS'!R23</f>
        <v>18403.661472525724</v>
      </c>
      <c r="R34" s="4">
        <f>$R$4*'NIFTY MEMBS'!S23</f>
        <v>20056.608718441512</v>
      </c>
      <c r="S34" s="4">
        <f>$S$4*'NIFTY MEMBS'!T23</f>
        <v>18374.696771785784</v>
      </c>
      <c r="T34" s="4">
        <f>$T$4*'NIFTY MEMBS'!U23</f>
        <v>22141.588429332656</v>
      </c>
      <c r="U34" s="4">
        <f>$U$4*'NIFTY MEMBS'!V23</f>
        <v>20704.089002258865</v>
      </c>
      <c r="V34" s="4">
        <f>$V$4*'NIFTY MEMBS'!W23</f>
        <v>19361.606473849843</v>
      </c>
      <c r="W34" s="4">
        <f>$W$4*'NIFTY MEMBS'!X23</f>
        <v>15826.401446654614</v>
      </c>
      <c r="X34" s="4">
        <f>$X$4*'NIFTY MEMBS'!Y23</f>
        <v>17675.391810946086</v>
      </c>
      <c r="Y34" s="4">
        <f>$Y$4*'NIFTY MEMBS'!Z23</f>
        <v>21668.706478159951</v>
      </c>
      <c r="Z34" s="4">
        <f>$Z$4*'NIFTY MEMBS'!AA23</f>
        <v>18969.037087444711</v>
      </c>
      <c r="AA34" s="4">
        <f>$AA$4*'NIFTY MEMBS'!AB23</f>
        <v>21002.816279198189</v>
      </c>
      <c r="AB34" s="4">
        <f>$AB$4*'NIFTY MEMBS'!AC23</f>
        <v>20579.420579420577</v>
      </c>
      <c r="AC34" s="4">
        <f>$AC$4*'NIFTY MEMBS'!AD23</f>
        <v>19030.283505154643</v>
      </c>
      <c r="AD34" s="4">
        <f>$AD$4*'NIFTY MEMBS'!AE23</f>
        <v>18601.267934601266</v>
      </c>
      <c r="AE34" s="4">
        <f>$AE$4*'NIFTY MEMBS'!AF23</f>
        <v>20016.589345064098</v>
      </c>
      <c r="AF34" s="4">
        <f>$AF$4*'NIFTY MEMBS'!AG23</f>
        <v>19524.439719697133</v>
      </c>
      <c r="AG34" s="4">
        <f>$AG$4*'NIFTY MEMBS'!AH23</f>
        <v>19930.124223602485</v>
      </c>
      <c r="AH34" s="4">
        <f>$AH$4*'NIFTY MEMBS'!AI23</f>
        <v>20443.657686563041</v>
      </c>
      <c r="AI34" s="4">
        <f>$AI$4*'NIFTY MEMBS'!AJ23</f>
        <v>19178.00204768173</v>
      </c>
      <c r="AJ34" s="4">
        <f>$AJ$4*'NIFTY MEMBS'!AK23</f>
        <v>15424.536048612255</v>
      </c>
      <c r="AK34" s="4">
        <f>$AK$4*'NIFTY MEMBS'!AL23</f>
        <v>20405.789980140446</v>
      </c>
      <c r="AL34" s="4">
        <f>$AL$4*'NIFTY MEMBS'!AM23</f>
        <v>21142.406812273555</v>
      </c>
      <c r="AM34" s="4">
        <f>$AM$4*'NIFTY MEMBS'!AN23</f>
        <v>15594.683116276767</v>
      </c>
      <c r="AN34" s="4">
        <f>$AN$4*'NIFTY MEMBS'!AO23</f>
        <v>21035.418451870893</v>
      </c>
      <c r="AO34" s="4">
        <f>$AO$4*'NIFTY MEMBS'!AP23</f>
        <v>20549.254698639012</v>
      </c>
      <c r="AP34" s="4">
        <f>$AP$4*'NIFTY MEMBS'!AQ23</f>
        <v>19827.978750316215</v>
      </c>
      <c r="AQ34" s="4">
        <f>$AQ$4*'NIFTY MEMBS'!AR23</f>
        <v>19603.838366053351</v>
      </c>
      <c r="AR34" s="4">
        <f>$AR$4*'NIFTY MEMBS'!AS23</f>
        <v>19062.847426590804</v>
      </c>
      <c r="AS34" s="4">
        <f>$AS$4*'NIFTY MEMBS'!AT23</f>
        <v>18520.960968295643</v>
      </c>
      <c r="AT34" s="4">
        <f>$AT$4*'NIFTY MEMBS'!AU23</f>
        <v>18443.458448255184</v>
      </c>
      <c r="AU34" s="4">
        <f>$AU$4*'NIFTY MEMBS'!AV23</f>
        <v>21008.366836901012</v>
      </c>
      <c r="AV34" s="4">
        <f>$AV$4*'NIFTY MEMBS'!AW23</f>
        <v>17450.693937180426</v>
      </c>
      <c r="AW34" s="4">
        <f>$AW$4*'NIFTY MEMBS'!AX23</f>
        <v>19968.692867470454</v>
      </c>
      <c r="AX34" s="4">
        <f>$AX$4*'NIFTY MEMBS'!AY23</f>
        <v>19745.203218485662</v>
      </c>
      <c r="AY34" s="4">
        <f t="shared" si="8"/>
        <v>958949.64675233199</v>
      </c>
      <c r="AZ34" s="4">
        <f t="shared" si="9"/>
        <v>97.852004770646118</v>
      </c>
    </row>
    <row r="35" spans="1:52" ht="14.25" customHeight="1" x14ac:dyDescent="0.3">
      <c r="A35" s="2">
        <v>45688</v>
      </c>
      <c r="B35" s="4">
        <f>$B$4*'NIFTY MEMBS'!C24</f>
        <v>20718.11668372569</v>
      </c>
      <c r="C35" s="4">
        <f>$C$4*'NIFTY MEMBS'!D24</f>
        <v>19057.64096120622</v>
      </c>
      <c r="D35" s="4">
        <f>$D$4*'NIFTY MEMBS'!E24</f>
        <v>20383.530738860685</v>
      </c>
      <c r="E35" s="4">
        <f>$E$4*'NIFTY MEMBS'!F24</f>
        <v>19999.756835949371</v>
      </c>
      <c r="F35" s="4">
        <f>$F$4*'NIFTY MEMBS'!G24</f>
        <v>19519.339383788414</v>
      </c>
      <c r="G35" s="4">
        <f>$G$4*'NIFTY MEMBS'!H24</f>
        <v>19488.149268784666</v>
      </c>
      <c r="H35" s="4">
        <f>$H$4*'NIFTY MEMBS'!I24</f>
        <v>19971.314741035854</v>
      </c>
      <c r="I35" s="4">
        <f>$I$4*'NIFTY MEMBS'!J24</f>
        <v>21263.511476680596</v>
      </c>
      <c r="J35" s="4">
        <f>$J$4*'NIFTY MEMBS'!K24</f>
        <v>22739.030755699103</v>
      </c>
      <c r="K35" s="4">
        <f>$K$4*'NIFTY MEMBS'!L24</f>
        <v>19549.167795203353</v>
      </c>
      <c r="L35" s="4">
        <f>$L$4*'NIFTY MEMBS'!M24</f>
        <v>19454.124062713021</v>
      </c>
      <c r="M35" s="4">
        <f>$M$4*'NIFTY MEMBS'!N24</f>
        <v>21967.024437247397</v>
      </c>
      <c r="N35" s="4">
        <f>$N$4*'NIFTY MEMBS'!O24</f>
        <v>19402.011680726799</v>
      </c>
      <c r="O35" s="4">
        <f>$O$4*'NIFTY MEMBS'!P24</f>
        <v>21262.581078058596</v>
      </c>
      <c r="P35" s="4">
        <f>$P$4*'NIFTY MEMBS'!Q24</f>
        <v>18049.112162974972</v>
      </c>
      <c r="Q35" s="4">
        <f>$Q$4*'NIFTY MEMBS'!R24</f>
        <v>18454.985581629142</v>
      </c>
      <c r="R35" s="4">
        <f>$R$4*'NIFTY MEMBS'!S24</f>
        <v>20070.673538918494</v>
      </c>
      <c r="S35" s="4">
        <f>$S$4*'NIFTY MEMBS'!T24</f>
        <v>18400.821048703117</v>
      </c>
      <c r="T35" s="4">
        <f>$T$4*'NIFTY MEMBS'!U24</f>
        <v>22026.135498604413</v>
      </c>
      <c r="U35" s="4">
        <f>$U$4*'NIFTY MEMBS'!V24</f>
        <v>21453.047927839329</v>
      </c>
      <c r="V35" s="4">
        <f>$V$4*'NIFTY MEMBS'!W24</f>
        <v>19421.549527948449</v>
      </c>
      <c r="W35" s="4">
        <f>$W$4*'NIFTY MEMBS'!X24</f>
        <v>15938.517179023509</v>
      </c>
      <c r="X35" s="4">
        <f>$X$4*'NIFTY MEMBS'!Y24</f>
        <v>18041.355542791494</v>
      </c>
      <c r="Y35" s="4">
        <f>$Y$4*'NIFTY MEMBS'!Z24</f>
        <v>22165.857775902092</v>
      </c>
      <c r="Z35" s="4">
        <f>$Z$4*'NIFTY MEMBS'!AA24</f>
        <v>19914.937053419533</v>
      </c>
      <c r="AA35" s="4">
        <f>$AA$4*'NIFTY MEMBS'!AB24</f>
        <v>20873.598763046</v>
      </c>
      <c r="AB35" s="4">
        <f>$AB$4*'NIFTY MEMBS'!AC24</f>
        <v>20772.56077256077</v>
      </c>
      <c r="AC35" s="4">
        <f>$AC$4*'NIFTY MEMBS'!AD24</f>
        <v>19436.211340206184</v>
      </c>
      <c r="AD35" s="4">
        <f>$AD$4*'NIFTY MEMBS'!AE24</f>
        <v>19115.115115115113</v>
      </c>
      <c r="AE35" s="4">
        <f>$AE$4*'NIFTY MEMBS'!AF24</f>
        <v>20245.407897672343</v>
      </c>
      <c r="AF35" s="4">
        <f>$AF$4*'NIFTY MEMBS'!AG24</f>
        <v>19966.589286876533</v>
      </c>
      <c r="AG35" s="4">
        <f>$AG$4*'NIFTY MEMBS'!AH24</f>
        <v>20491.718426501033</v>
      </c>
      <c r="AH35" s="4">
        <f>$AH$4*'NIFTY MEMBS'!AI24</f>
        <v>21327.285132120007</v>
      </c>
      <c r="AI35" s="4">
        <f>$AI$4*'NIFTY MEMBS'!AJ24</f>
        <v>19689.922480620153</v>
      </c>
      <c r="AJ35" s="4">
        <f>$AJ$4*'NIFTY MEMBS'!AK24</f>
        <v>15874.527837083268</v>
      </c>
      <c r="AK35" s="4">
        <f>$AK$4*'NIFTY MEMBS'!AL24</f>
        <v>20546.239993448395</v>
      </c>
      <c r="AL35" s="4">
        <f>$AL$4*'NIFTY MEMBS'!AM24</f>
        <v>21265.01954844124</v>
      </c>
      <c r="AM35" s="4">
        <f>$AM$4*'NIFTY MEMBS'!AN24</f>
        <v>16279.454729380805</v>
      </c>
      <c r="AN35" s="4">
        <f>$AN$4*'NIFTY MEMBS'!AO24</f>
        <v>21188.231933733216</v>
      </c>
      <c r="AO35" s="4">
        <f>$AO$4*'NIFTY MEMBS'!AP24</f>
        <v>20675.631885936484</v>
      </c>
      <c r="AP35" s="4">
        <f>$AP$4*'NIFTY MEMBS'!AQ24</f>
        <v>20045.535036680998</v>
      </c>
      <c r="AQ35" s="4">
        <f>$AQ$4*'NIFTY MEMBS'!AR24</f>
        <v>19654.89919887314</v>
      </c>
      <c r="AR35" s="4">
        <f>$AR$4*'NIFTY MEMBS'!AS24</f>
        <v>19349.944411745473</v>
      </c>
      <c r="AS35" s="4">
        <f>$AS$4*'NIFTY MEMBS'!AT24</f>
        <v>18482.560230133044</v>
      </c>
      <c r="AT35" s="4">
        <f>$AT$4*'NIFTY MEMBS'!AU24</f>
        <v>18630.188614599214</v>
      </c>
      <c r="AU35" s="4">
        <f>$AU$4*'NIFTY MEMBS'!AV24</f>
        <v>22267.73878083234</v>
      </c>
      <c r="AV35" s="4">
        <f>$AV$4*'NIFTY MEMBS'!AW24</f>
        <v>17784.514243973703</v>
      </c>
      <c r="AW35" s="4">
        <f>$AW$4*'NIFTY MEMBS'!AX24</f>
        <v>20739.899864973049</v>
      </c>
      <c r="AX35" s="4">
        <f>$AX$4*'NIFTY MEMBS'!AY24</f>
        <v>20449.76273983908</v>
      </c>
      <c r="AY35" s="4">
        <f t="shared" si="8"/>
        <v>973864.85100182565</v>
      </c>
      <c r="AZ35" s="4">
        <f t="shared" si="9"/>
        <v>99.373964387941399</v>
      </c>
    </row>
    <row r="36" spans="1:52" ht="14.25" customHeight="1" x14ac:dyDescent="0.3">
      <c r="A36" s="2">
        <v>45689</v>
      </c>
      <c r="B36" s="4">
        <f>$B$4*'NIFTY MEMBS'!C25</f>
        <v>20709.928352098257</v>
      </c>
      <c r="C36" s="4">
        <f>$C$4*'NIFTY MEMBS'!D25</f>
        <v>18969.911822118516</v>
      </c>
      <c r="D36" s="4">
        <f>$D$4*'NIFTY MEMBS'!E25</f>
        <v>20345.303001817385</v>
      </c>
      <c r="E36" s="4">
        <f>$E$4*'NIFTY MEMBS'!F25</f>
        <v>19808.873056207372</v>
      </c>
      <c r="F36" s="4">
        <f>$F$4*'NIFTY MEMBS'!G25</f>
        <v>19562.185954115215</v>
      </c>
      <c r="G36" s="4">
        <f>$G$4*'NIFTY MEMBS'!H25</f>
        <v>19314.170448814926</v>
      </c>
      <c r="H36" s="4">
        <f>$H$4*'NIFTY MEMBS'!I25</f>
        <v>19669.057104913678</v>
      </c>
      <c r="I36" s="4">
        <f>$I$4*'NIFTY MEMBS'!J25</f>
        <v>21584.341759614144</v>
      </c>
      <c r="J36" s="4">
        <f>$J$4*'NIFTY MEMBS'!K25</f>
        <v>23070.667454904618</v>
      </c>
      <c r="K36" s="4">
        <f>$K$4*'NIFTY MEMBS'!L25</f>
        <v>20206.631427198463</v>
      </c>
      <c r="L36" s="4">
        <f>$L$4*'NIFTY MEMBS'!M25</f>
        <v>18800.272665303339</v>
      </c>
      <c r="M36" s="4">
        <f>$M$4*'NIFTY MEMBS'!N25</f>
        <v>23048.098284307169</v>
      </c>
      <c r="N36" s="4">
        <f>$N$4*'NIFTY MEMBS'!O25</f>
        <v>19965.931213497726</v>
      </c>
      <c r="O36" s="4">
        <f>$O$4*'NIFTY MEMBS'!P25</f>
        <v>21282.710802952355</v>
      </c>
      <c r="P36" s="4">
        <f>$P$4*'NIFTY MEMBS'!Q25</f>
        <v>17720.128664452521</v>
      </c>
      <c r="Q36" s="4">
        <f>$Q$4*'NIFTY MEMBS'!R25</f>
        <v>18436.466573189766</v>
      </c>
      <c r="R36" s="4">
        <f>$R$4*'NIFTY MEMBS'!S25</f>
        <v>19671.79173582598</v>
      </c>
      <c r="S36" s="4">
        <f>$S$4*'NIFTY MEMBS'!T25</f>
        <v>18625.676432170181</v>
      </c>
      <c r="T36" s="4">
        <f>$T$4*'NIFTY MEMBS'!U25</f>
        <v>22253.235219487437</v>
      </c>
      <c r="U36" s="4">
        <f>$U$4*'NIFTY MEMBS'!V25</f>
        <v>21832.598306621388</v>
      </c>
      <c r="V36" s="4">
        <f>$V$4*'NIFTY MEMBS'!W25</f>
        <v>19043.908287127229</v>
      </c>
      <c r="W36" s="4">
        <f>$W$4*'NIFTY MEMBS'!X25</f>
        <v>17093.67088607595</v>
      </c>
      <c r="X36" s="4">
        <f>$X$4*'NIFTY MEMBS'!Y25</f>
        <v>17791.088865184211</v>
      </c>
      <c r="Y36" s="4">
        <f>$Y$4*'NIFTY MEMBS'!Z25</f>
        <v>21738.763452205108</v>
      </c>
      <c r="Z36" s="4">
        <f>$Z$4*'NIFTY MEMBS'!AA25</f>
        <v>19176.59067710106</v>
      </c>
      <c r="AA36" s="4">
        <f>$AA$4*'NIFTY MEMBS'!AB25</f>
        <v>20636.147771826163</v>
      </c>
      <c r="AB36" s="4">
        <f>$AB$4*'NIFTY MEMBS'!AC25</f>
        <v>20299.7002997003</v>
      </c>
      <c r="AC36" s="4">
        <f>$AC$4*'NIFTY MEMBS'!AD25</f>
        <v>18675.902061855671</v>
      </c>
      <c r="AD36" s="4">
        <f>$AD$4*'NIFTY MEMBS'!AE25</f>
        <v>18860.193526860192</v>
      </c>
      <c r="AE36" s="4">
        <f>$AE$4*'NIFTY MEMBS'!AF25</f>
        <v>20949.711402600526</v>
      </c>
      <c r="AF36" s="4">
        <f>$AF$4*'NIFTY MEMBS'!AG25</f>
        <v>20403.531989673051</v>
      </c>
      <c r="AG36" s="4">
        <f>$AG$4*'NIFTY MEMBS'!AH25</f>
        <v>19943.064182194619</v>
      </c>
      <c r="AH36" s="4">
        <f>$AH$4*'NIFTY MEMBS'!AI25</f>
        <v>21456.362597038595</v>
      </c>
      <c r="AI36" s="4">
        <f>$AI$4*'NIFTY MEMBS'!AJ25</f>
        <v>19448.588562234898</v>
      </c>
      <c r="AJ36" s="4">
        <f>$AJ$4*'NIFTY MEMBS'!AK25</f>
        <v>15865.330924618165</v>
      </c>
      <c r="AK36" s="4">
        <f>$AK$4*'NIFTY MEMBS'!AL25</f>
        <v>19988.534692791185</v>
      </c>
      <c r="AL36" s="4">
        <f>$AL$4*'NIFTY MEMBS'!AM25</f>
        <v>22066.812682946795</v>
      </c>
      <c r="AM36" s="4">
        <f>$AM$4*'NIFTY MEMBS'!AN25</f>
        <v>17514.0243773035</v>
      </c>
      <c r="AN36" s="4">
        <f>$AN$4*'NIFTY MEMBS'!AO25</f>
        <v>20770.49414453013</v>
      </c>
      <c r="AO36" s="4">
        <f>$AO$4*'NIFTY MEMBS'!AP25</f>
        <v>20268.956578094618</v>
      </c>
      <c r="AP36" s="4">
        <f>$AP$4*'NIFTY MEMBS'!AQ25</f>
        <v>19780.757230795178</v>
      </c>
      <c r="AQ36" s="4">
        <f>$AQ$4*'NIFTY MEMBS'!AR25</f>
        <v>19325.644863104149</v>
      </c>
      <c r="AR36" s="4">
        <f>$AR$4*'NIFTY MEMBS'!AS25</f>
        <v>18828.068798639724</v>
      </c>
      <c r="AS36" s="4">
        <f>$AS$4*'NIFTY MEMBS'!AT25</f>
        <v>18565.603522555346</v>
      </c>
      <c r="AT36" s="4">
        <f>$AT$4*'NIFTY MEMBS'!AU25</f>
        <v>18220.752745276066</v>
      </c>
      <c r="AU36" s="4">
        <f>$AU$4*'NIFTY MEMBS'!AV25</f>
        <v>23250.027165054871</v>
      </c>
      <c r="AV36" s="4">
        <f>$AV$4*'NIFTY MEMBS'!AW25</f>
        <v>17603.360116873631</v>
      </c>
      <c r="AW36" s="4">
        <f>$AW$4*'NIFTY MEMBS'!AX25</f>
        <v>21041.021903043478</v>
      </c>
      <c r="AX36" s="4">
        <f>$AX$4*'NIFTY MEMBS'!AY25</f>
        <v>20825.252733649682</v>
      </c>
      <c r="AY36" s="4">
        <f t="shared" si="8"/>
        <v>974309.84732056479</v>
      </c>
      <c r="AZ36" s="4">
        <f t="shared" si="9"/>
        <v>99.41937217556783</v>
      </c>
    </row>
    <row r="37" spans="1:52" ht="14.25" customHeight="1" x14ac:dyDescent="0.3">
      <c r="A37" s="2">
        <v>45691</v>
      </c>
      <c r="B37" s="4">
        <f>$B$4*'NIFTY MEMBS'!C26</f>
        <v>20403.684749232343</v>
      </c>
      <c r="C37" s="4">
        <f>$C$4*'NIFTY MEMBS'!D26</f>
        <v>18824.743655904331</v>
      </c>
      <c r="D37" s="4">
        <f>$D$4*'NIFTY MEMBS'!E26</f>
        <v>20710.033214263331</v>
      </c>
      <c r="E37" s="4">
        <f>$E$4*'NIFTY MEMBS'!F26</f>
        <v>19786.988291650963</v>
      </c>
      <c r="F37" s="4">
        <f>$F$4*'NIFTY MEMBS'!G26</f>
        <v>19522.455497994</v>
      </c>
      <c r="G37" s="4">
        <f>$G$4*'NIFTY MEMBS'!H26</f>
        <v>19186.838124054462</v>
      </c>
      <c r="H37" s="4">
        <f>$H$4*'NIFTY MEMBS'!I26</f>
        <v>19796.015936254978</v>
      </c>
      <c r="I37" s="4">
        <f>$I$4*'NIFTY MEMBS'!J26</f>
        <v>21032.255286163389</v>
      </c>
      <c r="J37" s="4">
        <f>$J$4*'NIFTY MEMBS'!K26</f>
        <v>24298.300001441901</v>
      </c>
      <c r="K37" s="4">
        <f>$K$4*'NIFTY MEMBS'!L26</f>
        <v>19848.412039666244</v>
      </c>
      <c r="L37" s="4">
        <f>$L$4*'NIFTY MEMBS'!M26</f>
        <v>17937.014314928423</v>
      </c>
      <c r="M37" s="4">
        <f>$M$4*'NIFTY MEMBS'!N26</f>
        <v>23446.820659689696</v>
      </c>
      <c r="N37" s="4">
        <f>$N$4*'NIFTY MEMBS'!O26</f>
        <v>20592.472420506165</v>
      </c>
      <c r="O37" s="4">
        <f>$O$4*'NIFTY MEMBS'!P26</f>
        <v>21074.70364571684</v>
      </c>
      <c r="P37" s="4">
        <f>$P$4*'NIFTY MEMBS'!Q26</f>
        <v>17699.207615261905</v>
      </c>
      <c r="Q37" s="4">
        <f>$Q$4*'NIFTY MEMBS'!R26</f>
        <v>18419.534908330905</v>
      </c>
      <c r="R37" s="4">
        <f>$R$4*'NIFTY MEMBS'!S26</f>
        <v>19524.154800384378</v>
      </c>
      <c r="S37" s="4">
        <f>$S$4*'NIFTY MEMBS'!T26</f>
        <v>18462.399701436836</v>
      </c>
      <c r="T37" s="4">
        <f>$T$4*'NIFTY MEMBS'!U26</f>
        <v>22771.504694240037</v>
      </c>
      <c r="U37" s="4">
        <f>$U$4*'NIFTY MEMBS'!V26</f>
        <v>22006.546091553086</v>
      </c>
      <c r="V37" s="4">
        <f>$V$4*'NIFTY MEMBS'!W26</f>
        <v>18657.27558819122</v>
      </c>
      <c r="W37" s="4">
        <f>$W$4*'NIFTY MEMBS'!X26</f>
        <v>17229.656419529838</v>
      </c>
      <c r="X37" s="4">
        <f>$X$4*'NIFTY MEMBS'!Y26</f>
        <v>17803.397062443582</v>
      </c>
      <c r="Y37" s="4">
        <f>$Y$4*'NIFTY MEMBS'!Z26</f>
        <v>21017.092213547163</v>
      </c>
      <c r="Z37" s="4">
        <f>$Z$4*'NIFTY MEMBS'!AA26</f>
        <v>18656.005444028582</v>
      </c>
      <c r="AA37" s="4">
        <f>$AA$4*'NIFTY MEMBS'!AB26</f>
        <v>20629.52123253631</v>
      </c>
      <c r="AB37" s="4">
        <f>$AB$4*'NIFTY MEMBS'!AC26</f>
        <v>20885.780885780885</v>
      </c>
      <c r="AC37" s="4">
        <f>$AC$4*'NIFTY MEMBS'!AD26</f>
        <v>18286.082474226805</v>
      </c>
      <c r="AD37" s="4">
        <f>$AD$4*'NIFTY MEMBS'!AE26</f>
        <v>18350.350350350353</v>
      </c>
      <c r="AE37" s="4">
        <f>$AE$4*'NIFTY MEMBS'!AF26</f>
        <v>20425.602507851334</v>
      </c>
      <c r="AF37" s="4">
        <f>$AF$4*'NIFTY MEMBS'!AG26</f>
        <v>19892.39146942052</v>
      </c>
      <c r="AG37" s="4">
        <f>$AG$4*'NIFTY MEMBS'!AH26</f>
        <v>19358.17805383023</v>
      </c>
      <c r="AH37" s="4">
        <f>$AH$4*'NIFTY MEMBS'!AI26</f>
        <v>21363.242425918757</v>
      </c>
      <c r="AI37" s="4">
        <f>$AI$4*'NIFTY MEMBS'!AJ26</f>
        <v>19280.386134269414</v>
      </c>
      <c r="AJ37" s="4">
        <f>$AJ$4*'NIFTY MEMBS'!AK26</f>
        <v>15370.011496140583</v>
      </c>
      <c r="AK37" s="4">
        <f>$AK$4*'NIFTY MEMBS'!AL26</f>
        <v>20257.969412198268</v>
      </c>
      <c r="AL37" s="4">
        <f>$AL$4*'NIFTY MEMBS'!AM26</f>
        <v>22456.143942030169</v>
      </c>
      <c r="AM37" s="4">
        <f>$AM$4*'NIFTY MEMBS'!AN26</f>
        <v>17360.092246093336</v>
      </c>
      <c r="AN37" s="4">
        <f>$AN$4*'NIFTY MEMBS'!AO26</f>
        <v>20850.471293916024</v>
      </c>
      <c r="AO37" s="4">
        <f>$AO$4*'NIFTY MEMBS'!AP26</f>
        <v>20136.098509397274</v>
      </c>
      <c r="AP37" s="4">
        <f>$AP$4*'NIFTY MEMBS'!AQ26</f>
        <v>19362.509486465973</v>
      </c>
      <c r="AQ37" s="4">
        <f>$AQ$4*'NIFTY MEMBS'!AR26</f>
        <v>19423.071279748805</v>
      </c>
      <c r="AR37" s="4">
        <f>$AR$4*'NIFTY MEMBS'!AS26</f>
        <v>18580.210581387742</v>
      </c>
      <c r="AS37" s="4">
        <f>$AS$4*'NIFTY MEMBS'!AT26</f>
        <v>18450.401308067547</v>
      </c>
      <c r="AT37" s="4">
        <f>$AT$4*'NIFTY MEMBS'!AU26</f>
        <v>18712.418412622272</v>
      </c>
      <c r="AU37" s="4">
        <f>$AU$4*'NIFTY MEMBS'!AV26</f>
        <v>22520.917092252526</v>
      </c>
      <c r="AV37" s="4">
        <f>$AV$4*'NIFTY MEMBS'!AW26</f>
        <v>17587.289992695398</v>
      </c>
      <c r="AW37" s="4">
        <f>$AW$4*'NIFTY MEMBS'!AX26</f>
        <v>20488.964833247694</v>
      </c>
      <c r="AX37" s="4">
        <f>$AX$4*'NIFTY MEMBS'!AY26</f>
        <v>20893.336084175782</v>
      </c>
      <c r="AY37" s="4">
        <f t="shared" si="8"/>
        <v>969628.95388103859</v>
      </c>
      <c r="AZ37" s="4">
        <f t="shared" si="9"/>
        <v>98.941729987861081</v>
      </c>
    </row>
    <row r="38" spans="1:52" ht="14.25" customHeight="1" x14ac:dyDescent="0.3">
      <c r="A38" s="2">
        <v>45692</v>
      </c>
      <c r="B38" s="4">
        <f>$B$4*'NIFTY MEMBS'!C27</f>
        <v>21047.287615148412</v>
      </c>
      <c r="C38" s="4">
        <f>$C$4*'NIFTY MEMBS'!D27</f>
        <v>19306.019879288298</v>
      </c>
      <c r="D38" s="4">
        <f>$D$4*'NIFTY MEMBS'!E27</f>
        <v>20824.089741179421</v>
      </c>
      <c r="E38" s="4">
        <f>$E$4*'NIFTY MEMBS'!F27</f>
        <v>19973.738282532311</v>
      </c>
      <c r="F38" s="4">
        <f>$F$4*'NIFTY MEMBS'!G27</f>
        <v>19759.280177618508</v>
      </c>
      <c r="G38" s="4">
        <f>$G$4*'NIFTY MEMBS'!H27</f>
        <v>19646.999495713564</v>
      </c>
      <c r="H38" s="4">
        <f>$H$4*'NIFTY MEMBS'!I27</f>
        <v>20173.17397078353</v>
      </c>
      <c r="I38" s="4">
        <f>$I$4*'NIFTY MEMBS'!J27</f>
        <v>20998.665001507259</v>
      </c>
      <c r="J38" s="4">
        <f>$J$4*'NIFTY MEMBS'!K27</f>
        <v>24441.047971969489</v>
      </c>
      <c r="K38" s="4">
        <f>$K$4*'NIFTY MEMBS'!L27</f>
        <v>19883.360272596216</v>
      </c>
      <c r="L38" s="4">
        <f>$L$4*'NIFTY MEMBS'!M27</f>
        <v>18754.737559645535</v>
      </c>
      <c r="M38" s="4">
        <f>$M$4*'NIFTY MEMBS'!N27</f>
        <v>23393.288901974433</v>
      </c>
      <c r="N38" s="4">
        <f>$N$4*'NIFTY MEMBS'!O27</f>
        <v>20694.678780012979</v>
      </c>
      <c r="O38" s="4">
        <f>$O$4*'NIFTY MEMBS'!P27</f>
        <v>21566.763587564303</v>
      </c>
      <c r="P38" s="4">
        <f>$P$4*'NIFTY MEMBS'!Q27</f>
        <v>18123.381887601663</v>
      </c>
      <c r="Q38" s="4">
        <f>$Q$4*'NIFTY MEMBS'!R27</f>
        <v>18680.388370062698</v>
      </c>
      <c r="R38" s="4">
        <f>$R$4*'NIFTY MEMBS'!S27</f>
        <v>20126.059229492443</v>
      </c>
      <c r="S38" s="4">
        <f>$S$4*'NIFTY MEMBS'!T27</f>
        <v>18945.69882440754</v>
      </c>
      <c r="T38" s="4">
        <f>$T$4*'NIFTY MEMBS'!U27</f>
        <v>23004.947982745492</v>
      </c>
      <c r="U38" s="4">
        <f>$U$4*'NIFTY MEMBS'!V27</f>
        <v>22113.496319744303</v>
      </c>
      <c r="V38" s="4">
        <f>$V$4*'NIFTY MEMBS'!W27</f>
        <v>19127.828562865281</v>
      </c>
      <c r="W38" s="4">
        <f>$W$4*'NIFTY MEMBS'!X27</f>
        <v>16964.918625678121</v>
      </c>
      <c r="X38" s="4">
        <f>$X$4*'NIFTY MEMBS'!Y27</f>
        <v>18463.936982030027</v>
      </c>
      <c r="Y38" s="4">
        <f>$Y$4*'NIFTY MEMBS'!Z27</f>
        <v>21447.562776957166</v>
      </c>
      <c r="Z38" s="4">
        <f>$Z$4*'NIFTY MEMBS'!AA27</f>
        <v>19360.326641714873</v>
      </c>
      <c r="AA38" s="4">
        <f>$AA$4*'NIFTY MEMBS'!AB27</f>
        <v>20857.032414821359</v>
      </c>
      <c r="AB38" s="4">
        <f>$AB$4*'NIFTY MEMBS'!AC27</f>
        <v>21062.271062271062</v>
      </c>
      <c r="AC38" s="4">
        <f>$AC$4*'NIFTY MEMBS'!AD27</f>
        <v>18405.283505154639</v>
      </c>
      <c r="AD38" s="4">
        <f>$AD$4*'NIFTY MEMBS'!AE27</f>
        <v>18966.966966966964</v>
      </c>
      <c r="AE38" s="4">
        <f>$AE$4*'NIFTY MEMBS'!AF27</f>
        <v>20390.936497131188</v>
      </c>
      <c r="AF38" s="4">
        <f>$AF$4*'NIFTY MEMBS'!AG27</f>
        <v>20431.301933048398</v>
      </c>
      <c r="AG38" s="4">
        <f>$AG$4*'NIFTY MEMBS'!AH27</f>
        <v>19490.165631469979</v>
      </c>
      <c r="AH38" s="4">
        <f>$AH$4*'NIFTY MEMBS'!AI27</f>
        <v>21200.420423742882</v>
      </c>
      <c r="AI38" s="4">
        <f>$AI$4*'NIFTY MEMBS'!AJ27</f>
        <v>19514.406903612693</v>
      </c>
      <c r="AJ38" s="4">
        <f>$AJ$4*'NIFTY MEMBS'!AK27</f>
        <v>16101.166037116112</v>
      </c>
      <c r="AK38" s="4">
        <f>$AK$4*'NIFTY MEMBS'!AL27</f>
        <v>20348.463444096389</v>
      </c>
      <c r="AL38" s="4">
        <f>$AL$4*'NIFTY MEMBS'!AM27</f>
        <v>22312.242851001985</v>
      </c>
      <c r="AM38" s="4">
        <f>$AM$4*'NIFTY MEMBS'!AN27</f>
        <v>16271.248788562618</v>
      </c>
      <c r="AN38" s="4">
        <f>$AN$4*'NIFTY MEMBS'!AO27</f>
        <v>21028.27763496144</v>
      </c>
      <c r="AO38" s="4">
        <f>$AO$4*'NIFTY MEMBS'!AP27</f>
        <v>20281.918340894357</v>
      </c>
      <c r="AP38" s="4">
        <f>$AP$4*'NIFTY MEMBS'!AQ27</f>
        <v>19696.433088793321</v>
      </c>
      <c r="AQ38" s="4">
        <f>$AQ$4*'NIFTY MEMBS'!AR27</f>
        <v>19474.132112568594</v>
      </c>
      <c r="AR38" s="4">
        <f>$AR$4*'NIFTY MEMBS'!AS27</f>
        <v>18952.978876463279</v>
      </c>
      <c r="AS38" s="4">
        <f>$AS$4*'NIFTY MEMBS'!AT27</f>
        <v>18432.897084664808</v>
      </c>
      <c r="AT38" s="4">
        <f>$AT$4*'NIFTY MEMBS'!AU27</f>
        <v>19760.848337416268</v>
      </c>
      <c r="AU38" s="4">
        <f>$AU$4*'NIFTY MEMBS'!AV27</f>
        <v>22475.279800065196</v>
      </c>
      <c r="AV38" s="4">
        <f>$AV$4*'NIFTY MEMBS'!AW27</f>
        <v>17822.498173849526</v>
      </c>
      <c r="AW38" s="4">
        <f>$AW$4*'NIFTY MEMBS'!AX27</f>
        <v>20252.129960447859</v>
      </c>
      <c r="AX38" s="4">
        <f>$AX$4*'NIFTY MEMBS'!AY27</f>
        <v>21604.08500103157</v>
      </c>
      <c r="AY38" s="4">
        <f t="shared" si="8"/>
        <v>981955.06231098634</v>
      </c>
      <c r="AZ38" s="4">
        <f t="shared" si="9"/>
        <v>100.19949615418228</v>
      </c>
    </row>
    <row r="39" spans="1:52" ht="14.25" customHeight="1" x14ac:dyDescent="0.3">
      <c r="A39" s="2">
        <v>45693</v>
      </c>
      <c r="B39" s="4">
        <f>$B$4*'NIFTY MEMBS'!C28</f>
        <v>20932.650972364379</v>
      </c>
      <c r="C39" s="4">
        <f>$C$4*'NIFTY MEMBS'!D28</f>
        <v>19495.613543045616</v>
      </c>
      <c r="D39" s="4">
        <f>$D$4*'NIFTY MEMBS'!E28</f>
        <v>20811.556056902926</v>
      </c>
      <c r="E39" s="4">
        <f>$E$4*'NIFTY MEMBS'!F28</f>
        <v>19896.168950382376</v>
      </c>
      <c r="F39" s="4">
        <f>$F$4*'NIFTY MEMBS'!G28</f>
        <v>19751.489892104546</v>
      </c>
      <c r="G39" s="4">
        <f>$G$4*'NIFTY MEMBS'!H28</f>
        <v>19315.43116490166</v>
      </c>
      <c r="H39" s="4">
        <f>$H$4*'NIFTY MEMBS'!I28</f>
        <v>20154.581673306773</v>
      </c>
      <c r="I39" s="4">
        <f>$I$4*'NIFTY MEMBS'!J28</f>
        <v>20593.859006933384</v>
      </c>
      <c r="J39" s="4">
        <f>$J$4*'NIFTY MEMBS'!K28</f>
        <v>24539.673842515826</v>
      </c>
      <c r="K39" s="4">
        <f>$K$4*'NIFTY MEMBS'!L28</f>
        <v>19577.563234458958</v>
      </c>
      <c r="L39" s="4">
        <f>$L$4*'NIFTY MEMBS'!M28</f>
        <v>18449.625085207907</v>
      </c>
      <c r="M39" s="4">
        <f>$M$4*'NIFTY MEMBS'!N28</f>
        <v>23351.980228937486</v>
      </c>
      <c r="N39" s="4">
        <f>$N$4*'NIFTY MEMBS'!O28</f>
        <v>20627.839065541855</v>
      </c>
      <c r="O39" s="4">
        <f>$O$4*'NIFTY MEMBS'!P28</f>
        <v>21379.445314247369</v>
      </c>
      <c r="P39" s="4">
        <f>$P$4*'NIFTY MEMBS'!Q28</f>
        <v>17917.309553074087</v>
      </c>
      <c r="Q39" s="4">
        <f>$Q$4*'NIFTY MEMBS'!R28</f>
        <v>18548.109738352865</v>
      </c>
      <c r="R39" s="4">
        <f>$R$4*'NIFTY MEMBS'!S28</f>
        <v>20242.334236044378</v>
      </c>
      <c r="S39" s="4">
        <f>$S$4*'NIFTY MEMBS'!T28</f>
        <v>18908.378428811346</v>
      </c>
      <c r="T39" s="4">
        <f>$T$4*'NIFTY MEMBS'!U28</f>
        <v>22795.610251205275</v>
      </c>
      <c r="U39" s="4">
        <f>$U$4*'NIFTY MEMBS'!V28</f>
        <v>21457.043194984406</v>
      </c>
      <c r="V39" s="4">
        <f>$V$4*'NIFTY MEMBS'!W28</f>
        <v>19157.800089914585</v>
      </c>
      <c r="W39" s="4">
        <f>$W$4*'NIFTY MEMBS'!X28</f>
        <v>16717.540687160941</v>
      </c>
      <c r="X39" s="4">
        <f>$X$4*'NIFTY MEMBS'!Y28</f>
        <v>18779.847378353981</v>
      </c>
      <c r="Y39" s="4">
        <f>$Y$4*'NIFTY MEMBS'!Z28</f>
        <v>22084.828022789618</v>
      </c>
      <c r="Z39" s="4">
        <f>$Z$4*'NIFTY MEMBS'!AA28</f>
        <v>19663.150731541344</v>
      </c>
      <c r="AA39" s="4">
        <f>$AA$4*'NIFTY MEMBS'!AB28</f>
        <v>20981.832238113646</v>
      </c>
      <c r="AB39" s="4">
        <f>$AB$4*'NIFTY MEMBS'!AC28</f>
        <v>21118.88111888112</v>
      </c>
      <c r="AC39" s="4">
        <f>$AC$4*'NIFTY MEMBS'!AD28</f>
        <v>18376.288659793816</v>
      </c>
      <c r="AD39" s="4">
        <f>$AD$4*'NIFTY MEMBS'!AE28</f>
        <v>19140.473807140472</v>
      </c>
      <c r="AE39" s="4">
        <f>$AE$4*'NIFTY MEMBS'!AF28</f>
        <v>20428.462739758939</v>
      </c>
      <c r="AF39" s="4">
        <f>$AF$4*'NIFTY MEMBS'!AG28</f>
        <v>19744.429739873729</v>
      </c>
      <c r="AG39" s="4">
        <f>$AG$4*'NIFTY MEMBS'!AH28</f>
        <v>19816.252587991719</v>
      </c>
      <c r="AH39" s="4">
        <f>$AH$4*'NIFTY MEMBS'!AI28</f>
        <v>20734.819568143685</v>
      </c>
      <c r="AI39" s="4">
        <f>$AI$4*'NIFTY MEMBS'!AJ28</f>
        <v>19657.744624835454</v>
      </c>
      <c r="AJ39" s="4">
        <f>$AJ$4*'NIFTY MEMBS'!AK28</f>
        <v>16411.233371653805</v>
      </c>
      <c r="AK39" s="4">
        <f>$AK$4*'NIFTY MEMBS'!AL28</f>
        <v>20391.867821386892</v>
      </c>
      <c r="AL39" s="4">
        <f>$AL$4*'NIFTY MEMBS'!AM28</f>
        <v>22177.553067365359</v>
      </c>
      <c r="AM39" s="4">
        <f>$AM$4*'NIFTY MEMBS'!AN28</f>
        <v>16270.258416394903</v>
      </c>
      <c r="AN39" s="4">
        <f>$AN$4*'NIFTY MEMBS'!AO28</f>
        <v>20981.862325049984</v>
      </c>
      <c r="AO39" s="4">
        <f>$AO$4*'NIFTY MEMBS'!AP28</f>
        <v>20345.106934543095</v>
      </c>
      <c r="AP39" s="4">
        <f>$AP$4*'NIFTY MEMBS'!AQ28</f>
        <v>20258.031874525674</v>
      </c>
      <c r="AQ39" s="4">
        <f>$AQ$4*'NIFTY MEMBS'!AR28</f>
        <v>19497.021451418845</v>
      </c>
      <c r="AR39" s="4">
        <f>$AR$4*'NIFTY MEMBS'!AS28</f>
        <v>18792.753907527302</v>
      </c>
      <c r="AS39" s="4">
        <f>$AS$4*'NIFTY MEMBS'!AT28</f>
        <v>18846.62093857917</v>
      </c>
      <c r="AT39" s="4">
        <f>$AT$4*'NIFTY MEMBS'!AU28</f>
        <v>19574.118171072238</v>
      </c>
      <c r="AU39" s="4">
        <f>$AU$4*'NIFTY MEMBS'!AV28</f>
        <v>22064.544170379224</v>
      </c>
      <c r="AV39" s="4">
        <f>$AV$4*'NIFTY MEMBS'!AW28</f>
        <v>17933.528122717311</v>
      </c>
      <c r="AW39" s="4">
        <f>$AW$4*'NIFTY MEMBS'!AX28</f>
        <v>20411.294466285082</v>
      </c>
      <c r="AX39" s="4">
        <f>$AX$4*'NIFTY MEMBS'!AY28</f>
        <v>21893.955023726019</v>
      </c>
      <c r="AY39" s="4">
        <f t="shared" si="8"/>
        <v>980998.36549024121</v>
      </c>
      <c r="AZ39" s="4">
        <f t="shared" si="9"/>
        <v>100.10187402961645</v>
      </c>
    </row>
    <row r="40" spans="1:52" ht="14.25" customHeight="1" x14ac:dyDescent="0.3">
      <c r="A40" s="2">
        <v>45694</v>
      </c>
      <c r="B40" s="4">
        <f>$B$4*'NIFTY MEMBS'!C29</f>
        <v>20987.512794268165</v>
      </c>
      <c r="C40" s="4">
        <f>$C$4*'NIFTY MEMBS'!D29</f>
        <v>19563.373645358883</v>
      </c>
      <c r="D40" s="4">
        <f>$D$4*'NIFTY MEMBS'!E29</f>
        <v>20301.435106849658</v>
      </c>
      <c r="E40" s="4">
        <f>$E$4*'NIFTY MEMBS'!F29</f>
        <v>19855.560553927709</v>
      </c>
      <c r="F40" s="4">
        <f>$F$4*'NIFTY MEMBS'!G29</f>
        <v>19824.718575935807</v>
      </c>
      <c r="G40" s="4">
        <f>$G$4*'NIFTY MEMBS'!H29</f>
        <v>18967.473524962177</v>
      </c>
      <c r="H40" s="4">
        <f>$H$4*'NIFTY MEMBS'!I29</f>
        <v>20352.191235059759</v>
      </c>
      <c r="I40" s="4">
        <f>$I$4*'NIFTY MEMBS'!J29</f>
        <v>20435.812411179537</v>
      </c>
      <c r="J40" s="4">
        <f>$J$4*'NIFTY MEMBS'!K29</f>
        <v>24533.329488270156</v>
      </c>
      <c r="K40" s="4">
        <f>$K$4*'NIFTY MEMBS'!L29</f>
        <v>19269.581931763576</v>
      </c>
      <c r="L40" s="4">
        <f>$L$4*'NIFTY MEMBS'!M29</f>
        <v>18283.571915473756</v>
      </c>
      <c r="M40" s="4">
        <f>$M$4*'NIFTY MEMBS'!N29</f>
        <v>23329.140012312306</v>
      </c>
      <c r="N40" s="4">
        <f>$N$4*'NIFTY MEMBS'!O29</f>
        <v>20376.054510058402</v>
      </c>
      <c r="O40" s="4">
        <f>$O$4*'NIFTY MEMBS'!P29</f>
        <v>21426.414672332809</v>
      </c>
      <c r="P40" s="4">
        <f>$P$4*'NIFTY MEMBS'!Q29</f>
        <v>18028.714140014123</v>
      </c>
      <c r="Q40" s="4">
        <f>$Q$4*'NIFTY MEMBS'!R29</f>
        <v>18434.350115082409</v>
      </c>
      <c r="R40" s="4">
        <f>$R$4*'NIFTY MEMBS'!S29</f>
        <v>20053.02699397222</v>
      </c>
      <c r="S40" s="4">
        <f>$S$4*'NIFTY MEMBS'!T29</f>
        <v>19046.463892517262</v>
      </c>
      <c r="T40" s="4">
        <f>$T$4*'NIFTY MEMBS'!U29</f>
        <v>22684.597817812737</v>
      </c>
      <c r="U40" s="4">
        <f>$U$4*'NIFTY MEMBS'!V29</f>
        <v>20964.39602317255</v>
      </c>
      <c r="V40" s="4">
        <f>$V$4*'NIFTY MEMBS'!W29</f>
        <v>18750.187322044058</v>
      </c>
      <c r="W40" s="4">
        <f>$W$4*'NIFTY MEMBS'!X29</f>
        <v>16567.811934900543</v>
      </c>
      <c r="X40" s="4">
        <f>$X$4*'NIFTY MEMBS'!Y29</f>
        <v>19103.142693033558</v>
      </c>
      <c r="Y40" s="4">
        <f>$Y$4*'NIFTY MEMBS'!Z29</f>
        <v>21620.59506224942</v>
      </c>
      <c r="Z40" s="4">
        <f>$Z$4*'NIFTY MEMBS'!AA29</f>
        <v>19037.087444709086</v>
      </c>
      <c r="AA40" s="4">
        <f>$AA$4*'NIFTY MEMBS'!AB29</f>
        <v>20948.699541664366</v>
      </c>
      <c r="AB40" s="4">
        <f>$AB$4*'NIFTY MEMBS'!AC29</f>
        <v>21175.491175491174</v>
      </c>
      <c r="AC40" s="4">
        <f>$AC$4*'NIFTY MEMBS'!AD29</f>
        <v>18115.335051546394</v>
      </c>
      <c r="AD40" s="4">
        <f>$AD$4*'NIFTY MEMBS'!AE29</f>
        <v>18942.94294294294</v>
      </c>
      <c r="AE40" s="4">
        <f>$AE$4*'NIFTY MEMBS'!AF29</f>
        <v>20242.090028659524</v>
      </c>
      <c r="AF40" s="4">
        <f>$AF$4*'NIFTY MEMBS'!AG29</f>
        <v>19642.028073677131</v>
      </c>
      <c r="AG40" s="4">
        <f>$AG$4*'NIFTY MEMBS'!AH29</f>
        <v>19648.033126293998</v>
      </c>
      <c r="AH40" s="4">
        <f>$AH$4*'NIFTY MEMBS'!AI29</f>
        <v>20647.231288377501</v>
      </c>
      <c r="AI40" s="4">
        <f>$AI$4*'NIFTY MEMBS'!AJ29</f>
        <v>19385.695480473889</v>
      </c>
      <c r="AJ40" s="4">
        <f>$AJ$4*'NIFTY MEMBS'!AK29</f>
        <v>16454.590244703566</v>
      </c>
      <c r="AK40" s="4">
        <f>$AK$4*'NIFTY MEMBS'!AL29</f>
        <v>20465.573367729252</v>
      </c>
      <c r="AL40" s="4">
        <f>$AL$4*'NIFTY MEMBS'!AM29</f>
        <v>21869.690704767359</v>
      </c>
      <c r="AM40" s="4">
        <f>$AM$4*'NIFTY MEMBS'!AN29</f>
        <v>14932.265617815383</v>
      </c>
      <c r="AN40" s="4">
        <f>$AN$4*'NIFTY MEMBS'!AO29</f>
        <v>20924.021708083401</v>
      </c>
      <c r="AO40" s="4">
        <f>$AO$4*'NIFTY MEMBS'!AP29</f>
        <v>20477.965003240439</v>
      </c>
      <c r="AP40" s="4">
        <f>$AP$4*'NIFTY MEMBS'!AQ29</f>
        <v>20084.324142001853</v>
      </c>
      <c r="AQ40" s="4">
        <f>$AQ$4*'NIFTY MEMBS'!AR29</f>
        <v>19597.969304809696</v>
      </c>
      <c r="AR40" s="4">
        <f>$AR$4*'NIFTY MEMBS'!AS29</f>
        <v>19246.615656268394</v>
      </c>
      <c r="AS40" s="4">
        <f>$AS$4*'NIFTY MEMBS'!AT29</f>
        <v>18655.567089346168</v>
      </c>
      <c r="AT40" s="4">
        <f>$AT$4*'NIFTY MEMBS'!AU29</f>
        <v>19404.51921264968</v>
      </c>
      <c r="AU40" s="4">
        <f>$AU$4*'NIFTY MEMBS'!AV29</f>
        <v>22239.487123763993</v>
      </c>
      <c r="AV40" s="4">
        <f>$AV$4*'NIFTY MEMBS'!AW29</f>
        <v>18066.471877282689</v>
      </c>
      <c r="AW40" s="4">
        <f>$AW$4*'NIFTY MEMBS'!AX29</f>
        <v>20218.43297047331</v>
      </c>
      <c r="AX40" s="4">
        <f>$AX$4*'NIFTY MEMBS'!AY29</f>
        <v>21983.70125851042</v>
      </c>
      <c r="AY40" s="4">
        <f t="shared" si="8"/>
        <v>975165.28580783331</v>
      </c>
      <c r="AZ40" s="4">
        <f t="shared" si="9"/>
        <v>99.506661817125845</v>
      </c>
    </row>
    <row r="41" spans="1:52" ht="14.25" customHeight="1" x14ac:dyDescent="0.3">
      <c r="A41" s="2">
        <v>45695</v>
      </c>
      <c r="B41" s="4">
        <f>$B$4*'NIFTY MEMBS'!C30</f>
        <v>20744.319344933469</v>
      </c>
      <c r="C41" s="4">
        <f>$C$4*'NIFTY MEMBS'!D30</f>
        <v>19439.072000717988</v>
      </c>
      <c r="D41" s="4">
        <f>$D$4*'NIFTY MEMBS'!E30</f>
        <v>21015.855110609762</v>
      </c>
      <c r="E41" s="4">
        <f>$E$4*'NIFTY MEMBS'!F30</f>
        <v>19596.104511908961</v>
      </c>
      <c r="F41" s="4">
        <f>$F$4*'NIFTY MEMBS'!G30</f>
        <v>19583.21972500292</v>
      </c>
      <c r="G41" s="4">
        <f>$G$4*'NIFTY MEMBS'!H30</f>
        <v>18587.99798285426</v>
      </c>
      <c r="H41" s="4">
        <f>$H$4*'NIFTY MEMBS'!I30</f>
        <v>20224.701195219124</v>
      </c>
      <c r="I41" s="4">
        <f>$I$4*'NIFTY MEMBS'!J30</f>
        <v>20359.588303690627</v>
      </c>
      <c r="J41" s="4">
        <f>$J$4*'NIFTY MEMBS'!K30</f>
        <v>24437.875794846652</v>
      </c>
      <c r="K41" s="4">
        <f>$K$4*'NIFTY MEMBS'!L30</f>
        <v>18821.807697348304</v>
      </c>
      <c r="L41" s="4">
        <f>$L$4*'NIFTY MEMBS'!M30</f>
        <v>18197.137014314929</v>
      </c>
      <c r="M41" s="4">
        <f>$M$4*'NIFTY MEMBS'!N30</f>
        <v>23285.422410178173</v>
      </c>
      <c r="N41" s="4">
        <f>$N$4*'NIFTY MEMBS'!O30</f>
        <v>20755.67813108371</v>
      </c>
      <c r="O41" s="4">
        <f>$O$4*'NIFTY MEMBS'!P30</f>
        <v>21575.150972936703</v>
      </c>
      <c r="P41" s="4">
        <f>$P$4*'NIFTY MEMBS'!Q30</f>
        <v>18051.204267894034</v>
      </c>
      <c r="Q41" s="4">
        <f>$Q$4*'NIFTY MEMBS'!R30</f>
        <v>18516.891981269342</v>
      </c>
      <c r="R41" s="4">
        <f>$R$4*'NIFTY MEMBS'!S30</f>
        <v>20338.254564514718</v>
      </c>
      <c r="S41" s="4">
        <f>$S$4*'NIFTY MEMBS'!T30</f>
        <v>19109.90856503079</v>
      </c>
      <c r="T41" s="4">
        <f>$T$4*'NIFTY MEMBS'!U30</f>
        <v>22815.909667597054</v>
      </c>
      <c r="U41" s="4">
        <f>$U$4*'NIFTY MEMBS'!V30</f>
        <v>21050.755259154543</v>
      </c>
      <c r="V41" s="4">
        <f>$V$4*'NIFTY MEMBS'!W30</f>
        <v>18998.950996553274</v>
      </c>
      <c r="W41" s="4">
        <f>$W$4*'NIFTY MEMBS'!X30</f>
        <v>16918.625678119352</v>
      </c>
      <c r="X41" s="4">
        <f>$X$4*'NIFTY MEMBS'!Y30</f>
        <v>18808.566505292521</v>
      </c>
      <c r="Y41" s="4">
        <f>$Y$4*'NIFTY MEMBS'!Z30</f>
        <v>21008.651614264614</v>
      </c>
      <c r="Z41" s="4">
        <f>$Z$4*'NIFTY MEMBS'!AA30</f>
        <v>18853.351480095273</v>
      </c>
      <c r="AA41" s="4">
        <f>$AA$4*'NIFTY MEMBS'!AB30</f>
        <v>21663.261361753823</v>
      </c>
      <c r="AB41" s="4">
        <f>$AB$4*'NIFTY MEMBS'!AC30</f>
        <v>21178.821178821177</v>
      </c>
      <c r="AC41" s="4">
        <f>$AC$4*'NIFTY MEMBS'!AD30</f>
        <v>17922.036082474227</v>
      </c>
      <c r="AD41" s="4">
        <f>$AD$4*'NIFTY MEMBS'!AE30</f>
        <v>18865.532198865531</v>
      </c>
      <c r="AE41" s="4">
        <f>$AE$4*'NIFTY MEMBS'!AF30</f>
        <v>20569.41496816562</v>
      </c>
      <c r="AF41" s="4">
        <f>$AF$4*'NIFTY MEMBS'!AG30</f>
        <v>19707.981689193584</v>
      </c>
      <c r="AG41" s="4">
        <f>$AG$4*'NIFTY MEMBS'!AH30</f>
        <v>19578.157349896483</v>
      </c>
      <c r="AH41" s="4">
        <f>$AH$4*'NIFTY MEMBS'!AI30</f>
        <v>20515.019085025171</v>
      </c>
      <c r="AI41" s="4">
        <f>$AI$4*'NIFTY MEMBS'!AJ30</f>
        <v>20229.632879918092</v>
      </c>
      <c r="AJ41" s="4">
        <f>$AJ$4*'NIFTY MEMBS'!AK30</f>
        <v>16386.927245853178</v>
      </c>
      <c r="AK41" s="4">
        <f>$AK$4*'NIFTY MEMBS'!AL30</f>
        <v>20372.213009028928</v>
      </c>
      <c r="AL41" s="4">
        <f>$AL$4*'NIFTY MEMBS'!AM30</f>
        <v>21994.759789572799</v>
      </c>
      <c r="AM41" s="4">
        <f>$AM$4*'NIFTY MEMBS'!AN30</f>
        <v>15433.959861630859</v>
      </c>
      <c r="AN41" s="4">
        <f>$AN$4*'NIFTY MEMBS'!AO30</f>
        <v>21007.569265924019</v>
      </c>
      <c r="AO41" s="4">
        <f>$AO$4*'NIFTY MEMBS'!AP30</f>
        <v>20599.481529488006</v>
      </c>
      <c r="AP41" s="4">
        <f>$AP$4*'NIFTY MEMBS'!AQ30</f>
        <v>20487.393540770721</v>
      </c>
      <c r="AQ41" s="4">
        <f>$AQ$4*'NIFTY MEMBS'!AR30</f>
        <v>19862.077060774129</v>
      </c>
      <c r="AR41" s="4">
        <f>$AR$4*'NIFTY MEMBS'!AS30</f>
        <v>19256.425348244065</v>
      </c>
      <c r="AS41" s="4">
        <f>$AS$4*'NIFTY MEMBS'!AT30</f>
        <v>18428.41926007341</v>
      </c>
      <c r="AT41" s="4">
        <f>$AT$4*'NIFTY MEMBS'!AU30</f>
        <v>19171.53478491768</v>
      </c>
      <c r="AU41" s="4">
        <f>$AU$4*'NIFTY MEMBS'!AV30</f>
        <v>22192.763229381726</v>
      </c>
      <c r="AV41" s="4">
        <f>$AV$4*'NIFTY MEMBS'!AW30</f>
        <v>18121.256391526666</v>
      </c>
      <c r="AW41" s="4">
        <f>$AW$4*'NIFTY MEMBS'!AX30</f>
        <v>20431.608254567611</v>
      </c>
      <c r="AX41" s="4">
        <f>$AX$4*'NIFTY MEMBS'!AY30</f>
        <v>22263.255622034249</v>
      </c>
      <c r="AY41" s="4">
        <f t="shared" si="8"/>
        <v>977334.50176333287</v>
      </c>
      <c r="AZ41" s="4">
        <f t="shared" si="9"/>
        <v>99.728010384013558</v>
      </c>
    </row>
    <row r="42" spans="1:52" ht="14.25" customHeight="1" x14ac:dyDescent="0.3">
      <c r="A42" s="2">
        <v>45698</v>
      </c>
      <c r="B42" s="4">
        <f>$B$4*'NIFTY MEMBS'!C31</f>
        <v>20530.603889457525</v>
      </c>
      <c r="C42" s="4">
        <f>$C$4*'NIFTY MEMBS'!D31</f>
        <v>19248.356480962106</v>
      </c>
      <c r="D42" s="4">
        <f>$D$4*'NIFTY MEMBS'!E31</f>
        <v>21220.154164316598</v>
      </c>
      <c r="E42" s="4">
        <f>$E$4*'NIFTY MEMBS'!F31</f>
        <v>19632.8222835536</v>
      </c>
      <c r="F42" s="4">
        <f>$F$4*'NIFTY MEMBS'!G31</f>
        <v>19672.028979862109</v>
      </c>
      <c r="G42" s="4">
        <f>$G$4*'NIFTY MEMBS'!H31</f>
        <v>18577.912254160361</v>
      </c>
      <c r="H42" s="4">
        <f>$H$4*'NIFTY MEMBS'!I31</f>
        <v>19976.626826029216</v>
      </c>
      <c r="I42" s="4">
        <f>$I$4*'NIFTY MEMBS'!J31</f>
        <v>20338.917359286854</v>
      </c>
      <c r="J42" s="4">
        <f>$J$4*'NIFTY MEMBS'!K31</f>
        <v>23897.452165010884</v>
      </c>
      <c r="K42" s="4">
        <f>$K$4*'NIFTY MEMBS'!L31</f>
        <v>18662.356384605304</v>
      </c>
      <c r="L42" s="4">
        <f>$L$4*'NIFTY MEMBS'!M31</f>
        <v>18152.147239263802</v>
      </c>
      <c r="M42" s="4">
        <f>$M$4*'NIFTY MEMBS'!N31</f>
        <v>23019.994111506654</v>
      </c>
      <c r="N42" s="4">
        <f>$N$4*'NIFTY MEMBS'!O31</f>
        <v>20358.533419857235</v>
      </c>
      <c r="O42" s="4">
        <f>$O$4*'NIFTY MEMBS'!P31</f>
        <v>21920.711250279579</v>
      </c>
      <c r="P42" s="4">
        <f>$P$4*'NIFTY MEMBS'!Q31</f>
        <v>18136.980569575564</v>
      </c>
      <c r="Q42" s="4">
        <f>$Q$4*'NIFTY MEMBS'!R31</f>
        <v>18329.585438768219</v>
      </c>
      <c r="R42" s="4">
        <f>$R$4*'NIFTY MEMBS'!S31</f>
        <v>20149.034681575955</v>
      </c>
      <c r="S42" s="4">
        <f>$S$4*'NIFTY MEMBS'!T31</f>
        <v>18879.455122224295</v>
      </c>
      <c r="T42" s="4">
        <f>$T$4*'NIFTY MEMBS'!U31</f>
        <v>22740.421212890127</v>
      </c>
      <c r="U42" s="4">
        <f>$U$4*'NIFTY MEMBS'!V31</f>
        <v>20452.387172119183</v>
      </c>
      <c r="V42" s="4">
        <f>$V$4*'NIFTY MEMBS'!W31</f>
        <v>18612.318297617265</v>
      </c>
      <c r="W42" s="4">
        <f>$W$4*'NIFTY MEMBS'!X31</f>
        <v>16437.613019891502</v>
      </c>
      <c r="X42" s="4">
        <f>$X$4*'NIFTY MEMBS'!Y31</f>
        <v>18777.385738902107</v>
      </c>
      <c r="Y42" s="4">
        <f>$Y$4*'NIFTY MEMBS'!Z31</f>
        <v>20464.232960540197</v>
      </c>
      <c r="Z42" s="4">
        <f>$Z$4*'NIFTY MEMBS'!AA31</f>
        <v>18608.37019394352</v>
      </c>
      <c r="AA42" s="4">
        <f>$AA$4*'NIFTY MEMBS'!AB31</f>
        <v>21186.150532884199</v>
      </c>
      <c r="AB42" s="4">
        <f>$AB$4*'NIFTY MEMBS'!AC31</f>
        <v>21248.75124875125</v>
      </c>
      <c r="AC42" s="4">
        <f>$AC$4*'NIFTY MEMBS'!AD31</f>
        <v>17313.14432989691</v>
      </c>
      <c r="AD42" s="4">
        <f>$AD$4*'NIFTY MEMBS'!AE31</f>
        <v>18578.578578578577</v>
      </c>
      <c r="AE42" s="4">
        <f>$AE$4*'NIFTY MEMBS'!AF31</f>
        <v>20320.345973651543</v>
      </c>
      <c r="AF42" s="4">
        <f>$AF$4*'NIFTY MEMBS'!AG31</f>
        <v>19700.605297984508</v>
      </c>
      <c r="AG42" s="4">
        <f>$AG$4*'NIFTY MEMBS'!AH31</f>
        <v>19177.018633540374</v>
      </c>
      <c r="AH42" s="4">
        <f>$AH$4*'NIFTY MEMBS'!AI31</f>
        <v>20477.771016577237</v>
      </c>
      <c r="AI42" s="4">
        <f>$AI$4*'NIFTY MEMBS'!AJ31</f>
        <v>19605.089951733215</v>
      </c>
      <c r="AJ42" s="4">
        <f>$AJ$4*'NIFTY MEMBS'!AK31</f>
        <v>15960.584660863855</v>
      </c>
      <c r="AK42" s="4">
        <f>$AK$4*'NIFTY MEMBS'!AL31</f>
        <v>20254.693610138605</v>
      </c>
      <c r="AL42" s="4">
        <f>$AL$4*'NIFTY MEMBS'!AM31</f>
        <v>21842.466174032299</v>
      </c>
      <c r="AM42" s="4">
        <f>$AM$4*'NIFTY MEMBS'!AN31</f>
        <v>14704.904464456251</v>
      </c>
      <c r="AN42" s="4">
        <f>$AN$4*'NIFTY MEMBS'!AO31</f>
        <v>20682.662096543841</v>
      </c>
      <c r="AO42" s="4">
        <f>$AO$4*'NIFTY MEMBS'!AP31</f>
        <v>20599.481529488006</v>
      </c>
      <c r="AP42" s="4">
        <f>$AP$4*'NIFTY MEMBS'!AQ31</f>
        <v>20102.875453242261</v>
      </c>
      <c r="AQ42" s="4">
        <f>$AQ$4*'NIFTY MEMBS'!AR31</f>
        <v>19943.657012060921</v>
      </c>
      <c r="AR42" s="4">
        <f>$AR$4*'NIFTY MEMBS'!AS31</f>
        <v>19081.158851612057</v>
      </c>
      <c r="AS42" s="4">
        <f>$AS$4*'NIFTY MEMBS'!AT31</f>
        <v>18348.903950662512</v>
      </c>
      <c r="AT42" s="4">
        <f>$AT$4*'NIFTY MEMBS'!AU31</f>
        <v>19214.362804721357</v>
      </c>
      <c r="AU42" s="4">
        <f>$AU$4*'NIFTY MEMBS'!AV31</f>
        <v>22329.675105943716</v>
      </c>
      <c r="AV42" s="4">
        <f>$AV$4*'NIFTY MEMBS'!AW31</f>
        <v>17837.107377647921</v>
      </c>
      <c r="AW42" s="4">
        <f>$AW$4*'NIFTY MEMBS'!AX31</f>
        <v>20057.834550169078</v>
      </c>
      <c r="AX42" s="4">
        <f>$AX$4*'NIFTY MEMBS'!AY31</f>
        <v>22034.247988446463</v>
      </c>
      <c r="AY42" s="4">
        <f t="shared" si="8"/>
        <v>967398.47240982635</v>
      </c>
      <c r="AZ42" s="4">
        <f t="shared" si="9"/>
        <v>98.714129837737389</v>
      </c>
    </row>
    <row r="43" spans="1:52" ht="14.25" customHeight="1" x14ac:dyDescent="0.3">
      <c r="A43" s="2">
        <v>45699</v>
      </c>
      <c r="B43" s="4">
        <f>$B$4*'NIFTY MEMBS'!C32</f>
        <v>20222.722620266119</v>
      </c>
      <c r="C43" s="4">
        <f>$C$4*'NIFTY MEMBS'!D32</f>
        <v>19087.257959568313</v>
      </c>
      <c r="D43" s="4">
        <f>$D$4*'NIFTY MEMBS'!E32</f>
        <v>21266.528796139624</v>
      </c>
      <c r="E43" s="4">
        <f>$E$4*'NIFTY MEMBS'!F32</f>
        <v>19275.857457233524</v>
      </c>
      <c r="F43" s="4">
        <f>$F$4*'NIFTY MEMBS'!G32</f>
        <v>19518.560355237019</v>
      </c>
      <c r="G43" s="4">
        <f>$G$4*'NIFTY MEMBS'!H32</f>
        <v>18434.190620272315</v>
      </c>
      <c r="H43" s="4">
        <f>$H$4*'NIFTY MEMBS'!I32</f>
        <v>19927.224435590968</v>
      </c>
      <c r="I43" s="4">
        <f>$I$4*'NIFTY MEMBS'!J32</f>
        <v>19941.001679514236</v>
      </c>
      <c r="J43" s="4">
        <f>$J$4*'NIFTY MEMBS'!K32</f>
        <v>23621.76113506265</v>
      </c>
      <c r="K43" s="4">
        <f>$K$4*'NIFTY MEMBS'!L32</f>
        <v>18273.55729325936</v>
      </c>
      <c r="L43" s="4">
        <f>$L$4*'NIFTY MEMBS'!M32</f>
        <v>17666.802999318337</v>
      </c>
      <c r="M43" s="4">
        <f>$M$4*'NIFTY MEMBS'!N32</f>
        <v>22705.227376140898</v>
      </c>
      <c r="N43" s="4">
        <f>$N$4*'NIFTY MEMBS'!O32</f>
        <v>20025.632706035041</v>
      </c>
      <c r="O43" s="4">
        <f>$O$4*'NIFTY MEMBS'!P32</f>
        <v>21456.050100648623</v>
      </c>
      <c r="P43" s="4">
        <f>$P$4*'NIFTY MEMBS'!Q32</f>
        <v>18025.575982635528</v>
      </c>
      <c r="Q43" s="4">
        <f>$Q$4*'NIFTY MEMBS'!R32</f>
        <v>17987.24833990317</v>
      </c>
      <c r="R43" s="4">
        <f>$R$4*'NIFTY MEMBS'!S32</f>
        <v>19743.513584345244</v>
      </c>
      <c r="S43" s="4">
        <f>$S$4*'NIFTY MEMBS'!T32</f>
        <v>18798.283261802575</v>
      </c>
      <c r="T43" s="4">
        <f>$T$4*'NIFTY MEMBS'!U32</f>
        <v>22137.147931996951</v>
      </c>
      <c r="U43" s="4">
        <f>$U$4*'NIFTY MEMBS'!V32</f>
        <v>20171.796487238196</v>
      </c>
      <c r="V43" s="4">
        <f>$V$4*'NIFTY MEMBS'!W32</f>
        <v>18318.597332534093</v>
      </c>
      <c r="W43" s="4">
        <f>$W$4*'NIFTY MEMBS'!X32</f>
        <v>15584.086799276673</v>
      </c>
      <c r="X43" s="4">
        <f>$X$4*'NIFTY MEMBS'!Y32</f>
        <v>18710.100927217522</v>
      </c>
      <c r="Y43" s="4">
        <f>$Y$4*'NIFTY MEMBS'!Z32</f>
        <v>20168.81198565098</v>
      </c>
      <c r="Z43" s="4">
        <f>$Z$4*'NIFTY MEMBS'!AA32</f>
        <v>18036.747192922765</v>
      </c>
      <c r="AA43" s="4">
        <f>$AA$4*'NIFTY MEMBS'!AB32</f>
        <v>21083.439173891435</v>
      </c>
      <c r="AB43" s="4">
        <f>$AB$4*'NIFTY MEMBS'!AC32</f>
        <v>20845.820845820846</v>
      </c>
      <c r="AC43" s="4">
        <f>$AC$4*'NIFTY MEMBS'!AD32</f>
        <v>16846.005154639177</v>
      </c>
      <c r="AD43" s="4">
        <f>$AD$4*'NIFTY MEMBS'!AE32</f>
        <v>18091.424758091423</v>
      </c>
      <c r="AE43" s="4">
        <f>$AE$4*'NIFTY MEMBS'!AF32</f>
        <v>20049.081579534468</v>
      </c>
      <c r="AF43" s="4">
        <f>$AF$4*'NIFTY MEMBS'!AG32</f>
        <v>19446.336753953961</v>
      </c>
      <c r="AG43" s="4">
        <f>$AG$4*'NIFTY MEMBS'!AH32</f>
        <v>18581.780538302279</v>
      </c>
      <c r="AH43" s="4">
        <f>$AH$4*'NIFTY MEMBS'!AI32</f>
        <v>20242.112444911585</v>
      </c>
      <c r="AI43" s="4">
        <f>$AI$4*'NIFTY MEMBS'!AJ32</f>
        <v>19030.276437033786</v>
      </c>
      <c r="AJ43" s="4">
        <f>$AJ$4*'NIFTY MEMBS'!AK32</f>
        <v>15499.425192970933</v>
      </c>
      <c r="AK43" s="4">
        <f>$AK$4*'NIFTY MEMBS'!AL32</f>
        <v>20403.742603853159</v>
      </c>
      <c r="AL43" s="4">
        <f>$AL$4*'NIFTY MEMBS'!AM32</f>
        <v>20356.375248193559</v>
      </c>
      <c r="AM43" s="4">
        <f>$AM$4*'NIFTY MEMBS'!AN32</f>
        <v>14794.320923026862</v>
      </c>
      <c r="AN43" s="4">
        <f>$AN$4*'NIFTY MEMBS'!AO32</f>
        <v>20265.638389031701</v>
      </c>
      <c r="AO43" s="4">
        <f>$AO$4*'NIFTY MEMBS'!AP32</f>
        <v>20045.36616979909</v>
      </c>
      <c r="AP43" s="4">
        <f>$AP$4*'NIFTY MEMBS'!AQ32</f>
        <v>20097.81600472215</v>
      </c>
      <c r="AQ43" s="4">
        <f>$AQ$4*'NIFTY MEMBS'!AR32</f>
        <v>19592.100243566041</v>
      </c>
      <c r="AR43" s="4">
        <f>$AR$4*'NIFTY MEMBS'!AS32</f>
        <v>19006.605192596955</v>
      </c>
      <c r="AS43" s="4">
        <f>$AS$4*'NIFTY MEMBS'!AT32</f>
        <v>17144.233443922032</v>
      </c>
      <c r="AT43" s="4">
        <f>$AT$4*'NIFTY MEMBS'!AU32</f>
        <v>18452.024052215918</v>
      </c>
      <c r="AU43" s="4">
        <f>$AU$4*'NIFTY MEMBS'!AV32</f>
        <v>22031.946104531133</v>
      </c>
      <c r="AV43" s="4">
        <f>$AV$4*'NIFTY MEMBS'!AW32</f>
        <v>17674.214755295838</v>
      </c>
      <c r="AW43" s="4">
        <f>$AW$4*'NIFTY MEMBS'!AX32</f>
        <v>19527.764168867325</v>
      </c>
      <c r="AX43" s="4">
        <f>$AX$4*'NIFTY MEMBS'!AY32</f>
        <v>21748.504229420265</v>
      </c>
      <c r="AY43" s="4">
        <f t="shared" si="8"/>
        <v>949960.63976800279</v>
      </c>
      <c r="AZ43" s="4">
        <f t="shared" si="9"/>
        <v>96.934759160000283</v>
      </c>
    </row>
    <row r="44" spans="1:52" ht="14.25" customHeight="1" x14ac:dyDescent="0.3">
      <c r="A44" s="2">
        <v>45700</v>
      </c>
      <c r="B44" s="4">
        <f>$B$4*'NIFTY MEMBS'!C33</f>
        <v>19923.029682702148</v>
      </c>
      <c r="C44" s="4">
        <f>$C$4*'NIFTY MEMBS'!D33</f>
        <v>19147.838183490767</v>
      </c>
      <c r="D44" s="4">
        <f>$D$4*'NIFTY MEMBS'!E33</f>
        <v>21452.027323431721</v>
      </c>
      <c r="E44" s="4">
        <f>$E$4*'NIFTY MEMBS'!F33</f>
        <v>19210.689491665555</v>
      </c>
      <c r="F44" s="4">
        <f>$F$4*'NIFTY MEMBS'!G33</f>
        <v>19503.758812760487</v>
      </c>
      <c r="G44" s="4">
        <f>$G$4*'NIFTY MEMBS'!H33</f>
        <v>18485.87997982854</v>
      </c>
      <c r="H44" s="4">
        <f>$H$4*'NIFTY MEMBS'!I33</f>
        <v>19794.422310756971</v>
      </c>
      <c r="I44" s="4">
        <f>$I$4*'NIFTY MEMBS'!J33</f>
        <v>20089.574092416351</v>
      </c>
      <c r="J44" s="4">
        <f>$J$4*'NIFTY MEMBS'!K33</f>
        <v>23687.800095165312</v>
      </c>
      <c r="K44" s="4">
        <f>$K$4*'NIFTY MEMBS'!L33</f>
        <v>17906.600847494647</v>
      </c>
      <c r="L44" s="4">
        <f>$L$4*'NIFTY MEMBS'!M33</f>
        <v>17939.468302658486</v>
      </c>
      <c r="M44" s="4">
        <f>$M$4*'NIFTY MEMBS'!N33</f>
        <v>22582.461211780555</v>
      </c>
      <c r="N44" s="4">
        <f>$N$4*'NIFTY MEMBS'!O33</f>
        <v>19384.815055158986</v>
      </c>
      <c r="O44" s="4">
        <f>$O$4*'NIFTY MEMBS'!P33</f>
        <v>21739.543726235741</v>
      </c>
      <c r="P44" s="4">
        <f>$P$4*'NIFTY MEMBS'!Q33</f>
        <v>17963.858887523209</v>
      </c>
      <c r="Q44" s="4">
        <f>$Q$4*'NIFTY MEMBS'!R33</f>
        <v>17924.812825736128</v>
      </c>
      <c r="R44" s="4">
        <f>$R$4*'NIFTY MEMBS'!S33</f>
        <v>20055.036254040358</v>
      </c>
      <c r="S44" s="4">
        <f>$S$4*'NIFTY MEMBS'!T33</f>
        <v>18788.953162903526</v>
      </c>
      <c r="T44" s="4">
        <f>$T$4*'NIFTY MEMBS'!U33</f>
        <v>22693.47881248414</v>
      </c>
      <c r="U44" s="4">
        <f>$U$4*'NIFTY MEMBS'!V33</f>
        <v>20009.83450374172</v>
      </c>
      <c r="V44" s="4">
        <f>$V$4*'NIFTY MEMBS'!W33</f>
        <v>18357.560317698186</v>
      </c>
      <c r="W44" s="4">
        <f>$W$4*'NIFTY MEMBS'!X33</f>
        <v>15529.837251356239</v>
      </c>
      <c r="X44" s="4">
        <f>$X$4*'NIFTY MEMBS'!Y33</f>
        <v>18527.119061294819</v>
      </c>
      <c r="Y44" s="4">
        <f>$Y$4*'NIFTY MEMBS'!Z33</f>
        <v>20037.982696771473</v>
      </c>
      <c r="Z44" s="4">
        <f>$Z$4*'NIFTY MEMBS'!AA33</f>
        <v>17635.250085062948</v>
      </c>
      <c r="AA44" s="4">
        <f>$AA$4*'NIFTY MEMBS'!AB33</f>
        <v>21125.40725606052</v>
      </c>
      <c r="AB44" s="4">
        <f>$AB$4*'NIFTY MEMBS'!AC33</f>
        <v>20659.340659340658</v>
      </c>
      <c r="AC44" s="4">
        <f>$AC$4*'NIFTY MEMBS'!AD33</f>
        <v>16562.500000000004</v>
      </c>
      <c r="AD44" s="4">
        <f>$AD$4*'NIFTY MEMBS'!AE33</f>
        <v>18267.600934267601</v>
      </c>
      <c r="AE44" s="4">
        <f>$AE$4*'NIFTY MEMBS'!AF33</f>
        <v>19933.757029019915</v>
      </c>
      <c r="AF44" s="4">
        <f>$AF$4*'NIFTY MEMBS'!AG33</f>
        <v>19336.99260191352</v>
      </c>
      <c r="AG44" s="4">
        <f>$AG$4*'NIFTY MEMBS'!AH33</f>
        <v>18651.656314699794</v>
      </c>
      <c r="AH44" s="4">
        <f>$AH$4*'NIFTY MEMBS'!AI33</f>
        <v>20226.069959985991</v>
      </c>
      <c r="AI44" s="4">
        <f>$AI$4*'NIFTY MEMBS'!AJ33</f>
        <v>19347.667105455606</v>
      </c>
      <c r="AJ44" s="4">
        <f>$AJ$4*'NIFTY MEMBS'!AK33</f>
        <v>14952.865823616359</v>
      </c>
      <c r="AK44" s="4">
        <f>$AK$4*'NIFTY MEMBS'!AL33</f>
        <v>20350.510820383675</v>
      </c>
      <c r="AL44" s="4">
        <f>$AL$4*'NIFTY MEMBS'!AM33</f>
        <v>19853.233168894436</v>
      </c>
      <c r="AM44" s="4">
        <f>$AM$4*'NIFTY MEMBS'!AN33</f>
        <v>14819.646154172651</v>
      </c>
      <c r="AN44" s="4">
        <f>$AN$4*'NIFTY MEMBS'!AO33</f>
        <v>20739.074550128535</v>
      </c>
      <c r="AO44" s="4">
        <f>$AO$4*'NIFTY MEMBS'!AP33</f>
        <v>20387.232663642251</v>
      </c>
      <c r="AP44" s="4">
        <f>$AP$4*'NIFTY MEMBS'!AQ33</f>
        <v>20200.691457964411</v>
      </c>
      <c r="AQ44" s="4">
        <f>$AQ$4*'NIFTY MEMBS'!AR33</f>
        <v>19722.393403175163</v>
      </c>
      <c r="AR44" s="4">
        <f>$AR$4*'NIFTY MEMBS'!AS33</f>
        <v>18954.940814858415</v>
      </c>
      <c r="AS44" s="4">
        <f>$AS$4*'NIFTY MEMBS'!AT33</f>
        <v>17299.464696423845</v>
      </c>
      <c r="AT44" s="4">
        <f>$AT$4*'NIFTY MEMBS'!AU33</f>
        <v>18746.680828465211</v>
      </c>
      <c r="AU44" s="4">
        <f>$AU$4*'NIFTY MEMBS'!AV33</f>
        <v>22378.572204715856</v>
      </c>
      <c r="AV44" s="4">
        <f>$AV$4*'NIFTY MEMBS'!AW33</f>
        <v>17762.600438276113</v>
      </c>
      <c r="AW44" s="4">
        <f>$AW$4*'NIFTY MEMBS'!AX33</f>
        <v>19194.14006954485</v>
      </c>
      <c r="AX44" s="4">
        <f>$AX$4*'NIFTY MEMBS'!AY33</f>
        <v>21449.350113472254</v>
      </c>
      <c r="AY44" s="4">
        <f t="shared" si="8"/>
        <v>949294.02204263653</v>
      </c>
      <c r="AZ44" s="4">
        <f t="shared" si="9"/>
        <v>96.86673694312617</v>
      </c>
    </row>
    <row r="45" spans="1:52" ht="14.25" customHeight="1" x14ac:dyDescent="0.3">
      <c r="A45" s="2">
        <v>45701</v>
      </c>
      <c r="B45" s="4">
        <f>$B$4*'NIFTY MEMBS'!C34</f>
        <v>19915.660184237458</v>
      </c>
      <c r="C45" s="4">
        <f>$C$4*'NIFTY MEMBS'!D34</f>
        <v>19045.749287621442</v>
      </c>
      <c r="D45" s="4">
        <f>$D$4*'NIFTY MEMBS'!E34</f>
        <v>21490.255060475025</v>
      </c>
      <c r="E45" s="4">
        <f>$E$4*'NIFTY MEMBS'!F34</f>
        <v>19016.15825116415</v>
      </c>
      <c r="F45" s="4">
        <f>$F$4*'NIFTY MEMBS'!G34</f>
        <v>19458.575156779498</v>
      </c>
      <c r="G45" s="4">
        <f>$G$4*'NIFTY MEMBS'!H34</f>
        <v>18347.20121028744</v>
      </c>
      <c r="H45" s="4">
        <f>$H$4*'NIFTY MEMBS'!I34</f>
        <v>19583.001328021248</v>
      </c>
      <c r="I45" s="4">
        <f>$I$4*'NIFTY MEMBS'!J34</f>
        <v>19994.832263899058</v>
      </c>
      <c r="J45" s="4">
        <f>$J$4*'NIFTY MEMBS'!K34</f>
        <v>24249.85220538405</v>
      </c>
      <c r="K45" s="4">
        <f>$K$4*'NIFTY MEMBS'!L34</f>
        <v>17897.863789262155</v>
      </c>
      <c r="L45" s="4">
        <f>$L$4*'NIFTY MEMBS'!M34</f>
        <v>17797.68234492161</v>
      </c>
      <c r="M45" s="4">
        <f>$M$4*'NIFTY MEMBS'!N34</f>
        <v>22610.56538458107</v>
      </c>
      <c r="N45" s="4">
        <f>$N$4*'NIFTY MEMBS'!O34</f>
        <v>19325.113562621675</v>
      </c>
      <c r="O45" s="4">
        <f>$O$4*'NIFTY MEMBS'!P34</f>
        <v>22062.178483560721</v>
      </c>
      <c r="P45" s="4">
        <f>$P$4*'NIFTY MEMBS'!Q34</f>
        <v>17815.319438269828</v>
      </c>
      <c r="Q45" s="4">
        <f>$Q$4*'NIFTY MEMBS'!R34</f>
        <v>18480.383078917428</v>
      </c>
      <c r="R45" s="4">
        <f>$R$4*'NIFTY MEMBS'!S34</f>
        <v>20173.757316327421</v>
      </c>
      <c r="S45" s="4">
        <f>$S$4*'NIFTY MEMBS'!T34</f>
        <v>18813.211420041054</v>
      </c>
      <c r="T45" s="4">
        <f>$T$4*'NIFTY MEMBS'!U34</f>
        <v>23461.684851560516</v>
      </c>
      <c r="U45" s="4">
        <f>$U$4*'NIFTY MEMBS'!V34</f>
        <v>19862.62427585783</v>
      </c>
      <c r="V45" s="4">
        <f>$V$4*'NIFTY MEMBS'!W34</f>
        <v>18384.534692042558</v>
      </c>
      <c r="W45" s="4">
        <f>$W$4*'NIFTY MEMBS'!X34</f>
        <v>15759.132007233275</v>
      </c>
      <c r="X45" s="4">
        <f>$X$4*'NIFTY MEMBS'!Y34</f>
        <v>18241.568884877324</v>
      </c>
      <c r="Y45" s="4">
        <f>$Y$4*'NIFTY MEMBS'!Z34</f>
        <v>19831.18801434902</v>
      </c>
      <c r="Z45" s="4">
        <f>$Z$4*'NIFTY MEMBS'!AA34</f>
        <v>17798.570942497452</v>
      </c>
      <c r="AA45" s="4">
        <f>$AA$4*'NIFTY MEMBS'!AB34</f>
        <v>21421.392677674085</v>
      </c>
      <c r="AB45" s="4">
        <f>$AB$4*'NIFTY MEMBS'!AC34</f>
        <v>20549.45054945055</v>
      </c>
      <c r="AC45" s="4">
        <f>$AC$4*'NIFTY MEMBS'!AD34</f>
        <v>16697.809278350516</v>
      </c>
      <c r="AD45" s="4">
        <f>$AD$4*'NIFTY MEMBS'!AE34</f>
        <v>18254.254254254254</v>
      </c>
      <c r="AE45" s="4">
        <f>$AE$4*'NIFTY MEMBS'!AF34</f>
        <v>19887.421272116746</v>
      </c>
      <c r="AF45" s="4">
        <f>$AF$4*'NIFTY MEMBS'!AG34</f>
        <v>19407.719176447616</v>
      </c>
      <c r="AG45" s="4">
        <f>$AG$4*'NIFTY MEMBS'!AH34</f>
        <v>18718.944099378881</v>
      </c>
      <c r="AH45" s="4">
        <f>$AH$4*'NIFTY MEMBS'!AI34</f>
        <v>20076.708893437335</v>
      </c>
      <c r="AI45" s="4">
        <f>$AI$4*'NIFTY MEMBS'!AJ34</f>
        <v>19928.331139388618</v>
      </c>
      <c r="AJ45" s="4">
        <f>$AJ$4*'NIFTY MEMBS'!AK34</f>
        <v>14981.770405649535</v>
      </c>
      <c r="AK45" s="4">
        <f>$AK$4*'NIFTY MEMBS'!AL34</f>
        <v>20392.686771901805</v>
      </c>
      <c r="AL45" s="4">
        <f>$AL$4*'NIFTY MEMBS'!AM34</f>
        <v>19734.304955683372</v>
      </c>
      <c r="AM45" s="4">
        <f>$AM$4*'NIFTY MEMBS'!AN34</f>
        <v>14874.82403208806</v>
      </c>
      <c r="AN45" s="4">
        <f>$AN$4*'NIFTY MEMBS'!AO34</f>
        <v>21001.142530705511</v>
      </c>
      <c r="AO45" s="4">
        <f>$AO$4*'NIFTY MEMBS'!AP34</f>
        <v>20401.814646791961</v>
      </c>
      <c r="AP45" s="4">
        <f>$AP$4*'NIFTY MEMBS'!AQ34</f>
        <v>20322.118222447083</v>
      </c>
      <c r="AQ45" s="4">
        <f>$AQ$4*'NIFTY MEMBS'!AR34</f>
        <v>19664.876602987351</v>
      </c>
      <c r="AR45" s="4">
        <f>$AR$4*'NIFTY MEMBS'!AS34</f>
        <v>19255.117389313978</v>
      </c>
      <c r="AS45" s="4">
        <f>$AS$4*'NIFTY MEMBS'!AT34</f>
        <v>17293.08718867246</v>
      </c>
      <c r="AT45" s="4">
        <f>$AT$4*'NIFTY MEMBS'!AU34</f>
        <v>18798.074452229623</v>
      </c>
      <c r="AU45" s="4">
        <f>$AU$4*'NIFTY MEMBS'!AV34</f>
        <v>22227.534499619691</v>
      </c>
      <c r="AV45" s="4">
        <f>$AV$4*'NIFTY MEMBS'!AW34</f>
        <v>17875.82176771366</v>
      </c>
      <c r="AW45" s="4">
        <f>$AW$4*'NIFTY MEMBS'!AX34</f>
        <v>18911.180948056448</v>
      </c>
      <c r="AX45" s="4">
        <f>$AX$4*'NIFTY MEMBS'!AY34</f>
        <v>21606.148132865692</v>
      </c>
      <c r="AY45" s="4">
        <f t="shared" si="8"/>
        <v>951699.1973220153</v>
      </c>
      <c r="AZ45" s="4">
        <f t="shared" si="9"/>
        <v>97.112162992042371</v>
      </c>
    </row>
    <row r="46" spans="1:52" ht="14.25" customHeight="1" x14ac:dyDescent="0.3">
      <c r="A46" s="2">
        <v>45702</v>
      </c>
      <c r="B46" s="4">
        <f>$B$4*'NIFTY MEMBS'!C35</f>
        <v>19934.493346980551</v>
      </c>
      <c r="C46" s="4">
        <f>$C$4*'NIFTY MEMBS'!D35</f>
        <v>19013.664206062509</v>
      </c>
      <c r="D46" s="4">
        <f>$D$4*'NIFTY MEMBS'!E35</f>
        <v>21520.962586952432</v>
      </c>
      <c r="E46" s="4">
        <f>$E$4*'NIFTY MEMBS'!F35</f>
        <v>19136.281292173764</v>
      </c>
      <c r="F46" s="4">
        <f>$F$4*'NIFTY MEMBS'!G35</f>
        <v>19633.077552292289</v>
      </c>
      <c r="G46" s="4">
        <f>$G$4*'NIFTY MEMBS'!H35</f>
        <v>18208.522440746343</v>
      </c>
      <c r="H46" s="4">
        <f>$H$4*'NIFTY MEMBS'!I35</f>
        <v>19722.709163346615</v>
      </c>
      <c r="I46" s="4">
        <f>$I$4*'NIFTY MEMBS'!J35</f>
        <v>19967.701649369108</v>
      </c>
      <c r="J46" s="4">
        <f>$J$4*'NIFTY MEMBS'!K35</f>
        <v>24201.69278906464</v>
      </c>
      <c r="K46" s="4">
        <f>$K$4*'NIFTY MEMBS'!L35</f>
        <v>17921.890699401512</v>
      </c>
      <c r="L46" s="4">
        <f>$L$4*'NIFTY MEMBS'!M35</f>
        <v>17655.89638718473</v>
      </c>
      <c r="M46" s="4">
        <f>$M$4*'NIFTY MEMBS'!N35</f>
        <v>22626.535692299458</v>
      </c>
      <c r="N46" s="4">
        <f>$N$4*'NIFTY MEMBS'!O35</f>
        <v>19095.392602206357</v>
      </c>
      <c r="O46" s="4">
        <f>$O$4*'NIFTY MEMBS'!P35</f>
        <v>21834.041601431447</v>
      </c>
      <c r="P46" s="4">
        <f>$P$4*'NIFTY MEMBS'!Q35</f>
        <v>17900.572713721594</v>
      </c>
      <c r="Q46" s="4">
        <f>$Q$4*'NIFTY MEMBS'!R35</f>
        <v>17995.18505780576</v>
      </c>
      <c r="R46" s="4">
        <f>$R$4*'NIFTY MEMBS'!S35</f>
        <v>19680.003494365337</v>
      </c>
      <c r="S46" s="4">
        <f>$S$4*'NIFTY MEMBS'!T35</f>
        <v>18613.547303601419</v>
      </c>
      <c r="T46" s="4">
        <f>$T$4*'NIFTY MEMBS'!U35</f>
        <v>23360.822126363866</v>
      </c>
      <c r="U46" s="4">
        <f>$U$4*'NIFTY MEMBS'!V35</f>
        <v>19750.449467553823</v>
      </c>
      <c r="V46" s="4">
        <f>$V$4*'NIFTY MEMBS'!W35</f>
        <v>18003.896298516411</v>
      </c>
      <c r="W46" s="4">
        <f>$W$4*'NIFTY MEMBS'!X35</f>
        <v>15623.146473779387</v>
      </c>
      <c r="X46" s="4">
        <f>$X$4*'NIFTY MEMBS'!Y35</f>
        <v>17439.894970050053</v>
      </c>
      <c r="Y46" s="4">
        <f>$Y$4*'NIFTY MEMBS'!Z35</f>
        <v>19455.581346275587</v>
      </c>
      <c r="Z46" s="4">
        <f>$Z$4*'NIFTY MEMBS'!AA35</f>
        <v>17036.406941136443</v>
      </c>
      <c r="AA46" s="4">
        <f>$AA$4*'NIFTY MEMBS'!AB35</f>
        <v>21306.532663316582</v>
      </c>
      <c r="AB46" s="4">
        <f>$AB$4*'NIFTY MEMBS'!AC35</f>
        <v>20519.480519480519</v>
      </c>
      <c r="AC46" s="4">
        <f>$AC$4*'NIFTY MEMBS'!AD35</f>
        <v>16581.82989690722</v>
      </c>
      <c r="AD46" s="4">
        <f>$AD$4*'NIFTY MEMBS'!AE35</f>
        <v>18168.835502168833</v>
      </c>
      <c r="AE46" s="4">
        <f>$AE$4*'NIFTY MEMBS'!AF35</f>
        <v>19464.450177620402</v>
      </c>
      <c r="AF46" s="4">
        <f>$AF$4*'NIFTY MEMBS'!AG35</f>
        <v>19363.460829193154</v>
      </c>
      <c r="AG46" s="4">
        <f>$AG$4*'NIFTY MEMBS'!AH35</f>
        <v>18333.333333333332</v>
      </c>
      <c r="AH46" s="4">
        <f>$AH$4*'NIFTY MEMBS'!AI35</f>
        <v>20245.43157972378</v>
      </c>
      <c r="AI46" s="4">
        <f>$AI$4*'NIFTY MEMBS'!AJ35</f>
        <v>19667.98303349422</v>
      </c>
      <c r="AJ46" s="4">
        <f>$AJ$4*'NIFTY MEMBS'!AK35</f>
        <v>14602.726227623585</v>
      </c>
      <c r="AK46" s="4">
        <f>$AK$4*'NIFTY MEMBS'!AL35</f>
        <v>19911.143869131709</v>
      </c>
      <c r="AL46" s="4">
        <f>$AL$4*'NIFTY MEMBS'!AM35</f>
        <v>19255.112275602318</v>
      </c>
      <c r="AM46" s="4">
        <f>$AM$4*'NIFTY MEMBS'!AN35</f>
        <v>14480.23146412377</v>
      </c>
      <c r="AN46" s="4">
        <f>$AN$4*'NIFTY MEMBS'!AO35</f>
        <v>20929.02027992002</v>
      </c>
      <c r="AO46" s="4">
        <f>$AO$4*'NIFTY MEMBS'!AP35</f>
        <v>20291.639662994166</v>
      </c>
      <c r="AP46" s="4">
        <f>$AP$4*'NIFTY MEMBS'!AQ35</f>
        <v>20446.917952609831</v>
      </c>
      <c r="AQ46" s="4">
        <f>$AQ$4*'NIFTY MEMBS'!AR35</f>
        <v>19474.719018692958</v>
      </c>
      <c r="AR46" s="4">
        <f>$AR$4*'NIFTY MEMBS'!AS35</f>
        <v>19089.006605192597</v>
      </c>
      <c r="AS46" s="4">
        <f>$AS$4*'NIFTY MEMBS'!AT35</f>
        <v>17017.090363857169</v>
      </c>
      <c r="AT46" s="4">
        <f>$AT$4*'NIFTY MEMBS'!AU35</f>
        <v>18472.581501721685</v>
      </c>
      <c r="AU46" s="4">
        <f>$AU$4*'NIFTY MEMBS'!AV35</f>
        <v>22222.101488645007</v>
      </c>
      <c r="AV46" s="4">
        <f>$AV$4*'NIFTY MEMBS'!AW35</f>
        <v>17487.947406866326</v>
      </c>
      <c r="AW46" s="4">
        <f>$AW$4*'NIFTY MEMBS'!AX35</f>
        <v>18461.170791162305</v>
      </c>
      <c r="AX46" s="4">
        <f>$AX$4*'NIFTY MEMBS'!AY35</f>
        <v>21134.722508768315</v>
      </c>
      <c r="AY46" s="4">
        <f t="shared" si="8"/>
        <v>942259.83715483116</v>
      </c>
      <c r="AZ46" s="4">
        <f t="shared" si="9"/>
        <v>96.148962974982766</v>
      </c>
    </row>
    <row r="47" spans="1:52" ht="14.25" customHeight="1" x14ac:dyDescent="0.3">
      <c r="A47" s="2">
        <v>45705</v>
      </c>
      <c r="B47" s="4">
        <f>$B$4*'NIFTY MEMBS'!C36</f>
        <v>20059.774820880248</v>
      </c>
      <c r="C47" s="4">
        <f>$C$4*'NIFTY MEMBS'!D36</f>
        <v>19266.081805739417</v>
      </c>
      <c r="D47" s="4">
        <f>$D$4*'NIFTY MEMBS'!E36</f>
        <v>21000.814689477971</v>
      </c>
      <c r="E47" s="4">
        <f>$E$4*'NIFTY MEMBS'!F36</f>
        <v>18988.680713443326</v>
      </c>
      <c r="F47" s="4">
        <f>$F$4*'NIFTY MEMBS'!G36</f>
        <v>19493.631441592333</v>
      </c>
      <c r="G47" s="4">
        <f>$G$4*'NIFTY MEMBS'!H36</f>
        <v>18348.461926374181</v>
      </c>
      <c r="H47" s="4">
        <f>$H$4*'NIFTY MEMBS'!I36</f>
        <v>19572.908366533862</v>
      </c>
      <c r="I47" s="4">
        <f>$I$4*'NIFTY MEMBS'!J36</f>
        <v>20062.874122561476</v>
      </c>
      <c r="J47" s="4">
        <f>$J$4*'NIFTY MEMBS'!K36</f>
        <v>24300.607039349416</v>
      </c>
      <c r="K47" s="4">
        <f>$K$4*'NIFTY MEMBS'!L36</f>
        <v>17849.809968983445</v>
      </c>
      <c r="L47" s="4">
        <f>$L$4*'NIFTY MEMBS'!M36</f>
        <v>17569.734151329241</v>
      </c>
      <c r="M47" s="4">
        <f>$M$4*'NIFTY MEMBS'!N36</f>
        <v>22774.01568480501</v>
      </c>
      <c r="N47" s="4">
        <f>$N$4*'NIFTY MEMBS'!O36</f>
        <v>18377.352368591823</v>
      </c>
      <c r="O47" s="4">
        <f>$O$4*'NIFTY MEMBS'!P36</f>
        <v>21754.641019906059</v>
      </c>
      <c r="P47" s="4">
        <f>$P$4*'NIFTY MEMBS'!Q36</f>
        <v>17886.451005517927</v>
      </c>
      <c r="Q47" s="4">
        <f>$Q$4*'NIFTY MEMBS'!R36</f>
        <v>18140.162438159739</v>
      </c>
      <c r="R47" s="4">
        <f>$R$4*'NIFTY MEMBS'!S36</f>
        <v>20075.303572988556</v>
      </c>
      <c r="S47" s="4">
        <f>$S$4*'NIFTY MEMBS'!T36</f>
        <v>18528.643403620081</v>
      </c>
      <c r="T47" s="4">
        <f>$T$4*'NIFTY MEMBS'!U36</f>
        <v>24040.218218726208</v>
      </c>
      <c r="U47" s="4">
        <f>$U$4*'NIFTY MEMBS'!V36</f>
        <v>19873.07343608341</v>
      </c>
      <c r="V47" s="4">
        <f>$V$4*'NIFTY MEMBS'!W36</f>
        <v>18123.782406713624</v>
      </c>
      <c r="W47" s="4">
        <f>$W$4*'NIFTY MEMBS'!X36</f>
        <v>15806.871609403257</v>
      </c>
      <c r="X47" s="4">
        <f>$X$4*'NIFTY MEMBS'!Y36</f>
        <v>17771.395749569212</v>
      </c>
      <c r="Y47" s="4">
        <f>$Y$4*'NIFTY MEMBS'!Z36</f>
        <v>19721.460223675884</v>
      </c>
      <c r="Z47" s="4">
        <f>$Z$4*'NIFTY MEMBS'!AA36</f>
        <v>16910.513780197347</v>
      </c>
      <c r="AA47" s="4">
        <f>$AA$4*'NIFTY MEMBS'!AB36</f>
        <v>21504.224418797283</v>
      </c>
      <c r="AB47" s="4">
        <f>$AB$4*'NIFTY MEMBS'!AC36</f>
        <v>20336.330336330338</v>
      </c>
      <c r="AC47" s="4">
        <f>$AC$4*'NIFTY MEMBS'!AD36</f>
        <v>16958.762886597939</v>
      </c>
      <c r="AD47" s="4">
        <f>$AD$4*'NIFTY MEMBS'!AE36</f>
        <v>18327.66099432766</v>
      </c>
      <c r="AE47" s="4">
        <f>$AE$4*'NIFTY MEMBS'!AF36</f>
        <v>19534.583063994829</v>
      </c>
      <c r="AF47" s="4">
        <f>$AF$4*'NIFTY MEMBS'!AG36</f>
        <v>19533.11782700193</v>
      </c>
      <c r="AG47" s="4">
        <f>$AG$4*'NIFTY MEMBS'!AH36</f>
        <v>18638.716356107663</v>
      </c>
      <c r="AH47" s="4">
        <f>$AH$4*'NIFTY MEMBS'!AI36</f>
        <v>20435.728642289469</v>
      </c>
      <c r="AI47" s="4">
        <f>$AI$4*'NIFTY MEMBS'!AJ36</f>
        <v>19641.6556969431</v>
      </c>
      <c r="AJ47" s="4">
        <f>$AJ$4*'NIFTY MEMBS'!AK36</f>
        <v>14613.236984726558</v>
      </c>
      <c r="AK47" s="4">
        <f>$AK$4*'NIFTY MEMBS'!AL36</f>
        <v>20177.712261736582</v>
      </c>
      <c r="AL47" s="4">
        <f>$AL$4*'NIFTY MEMBS'!AM36</f>
        <v>19426.442593085376</v>
      </c>
      <c r="AM47" s="4">
        <f>$AM$4*'NIFTY MEMBS'!AN36</f>
        <v>14421.09209753751</v>
      </c>
      <c r="AN47" s="4">
        <f>$AN$4*'NIFTY MEMBS'!AO36</f>
        <v>21082.54784347329</v>
      </c>
      <c r="AO47" s="4">
        <f>$AO$4*'NIFTY MEMBS'!AP36</f>
        <v>20196.046662346074</v>
      </c>
      <c r="AP47" s="4">
        <f>$AP$4*'NIFTY MEMBS'!AQ36</f>
        <v>20603.760856733283</v>
      </c>
      <c r="AQ47" s="4">
        <f>$AQ$4*'NIFTY MEMBS'!AR36</f>
        <v>19543.387035243715</v>
      </c>
      <c r="AR47" s="4">
        <f>$AR$4*'NIFTY MEMBS'!AS36</f>
        <v>19287.816362566216</v>
      </c>
      <c r="AS47" s="4">
        <f>$AS$4*'NIFTY MEMBS'!AT36</f>
        <v>17097.691206502343</v>
      </c>
      <c r="AT47" s="4">
        <f>$AT$4*'NIFTY MEMBS'!AU36</f>
        <v>18856.320559162625</v>
      </c>
      <c r="AU47" s="4">
        <f>$AU$4*'NIFTY MEMBS'!AV36</f>
        <v>22237.313919374119</v>
      </c>
      <c r="AV47" s="4">
        <f>$AV$4*'NIFTY MEMBS'!AW36</f>
        <v>17515.704894083272</v>
      </c>
      <c r="AW47" s="4">
        <f>$AW$4*'NIFTY MEMBS'!AX36</f>
        <v>18528.325785366902</v>
      </c>
      <c r="AX47" s="4">
        <f>$AX$4*'NIFTY MEMBS'!AY36</f>
        <v>21626.779451206934</v>
      </c>
      <c r="AY47" s="4">
        <f t="shared" si="8"/>
        <v>946422.22269975801</v>
      </c>
      <c r="AZ47" s="4">
        <f t="shared" si="9"/>
        <v>96.573696193852854</v>
      </c>
    </row>
    <row r="48" spans="1:52" ht="14.25" customHeight="1" x14ac:dyDescent="0.3">
      <c r="A48" s="2">
        <v>45706</v>
      </c>
      <c r="B48" s="4">
        <f>$B$4*'NIFTY MEMBS'!C37</f>
        <v>20067.963152507677</v>
      </c>
      <c r="C48" s="4">
        <f>$C$4*'NIFTY MEMBS'!D37</f>
        <v>19330.251968857279</v>
      </c>
      <c r="D48" s="4">
        <f>$D$4*'NIFTY MEMBS'!E37</f>
        <v>20917.465689039294</v>
      </c>
      <c r="E48" s="4">
        <f>$E$4*'NIFTY MEMBS'!F37</f>
        <v>18836.460017750975</v>
      </c>
      <c r="F48" s="4">
        <f>$F$4*'NIFTY MEMBS'!G37</f>
        <v>19367.428816266114</v>
      </c>
      <c r="G48" s="4">
        <f>$G$4*'NIFTY MEMBS'!H37</f>
        <v>18300.55471507816</v>
      </c>
      <c r="H48" s="4">
        <f>$H$4*'NIFTY MEMBS'!I37</f>
        <v>19675.431606905709</v>
      </c>
      <c r="I48" s="4">
        <f>$I$4*'NIFTY MEMBS'!J37</f>
        <v>19775.203479608976</v>
      </c>
      <c r="J48" s="4">
        <f>$J$4*'NIFTY MEMBS'!K37</f>
        <v>24413.940276556168</v>
      </c>
      <c r="K48" s="4">
        <f>$K$4*'NIFTY MEMBS'!L37</f>
        <v>17703.464243589184</v>
      </c>
      <c r="L48" s="4">
        <f>$L$4*'NIFTY MEMBS'!M37</f>
        <v>17560.463531015677</v>
      </c>
      <c r="M48" s="4">
        <f>$M$4*'NIFTY MEMBS'!N37</f>
        <v>22815.592016630537</v>
      </c>
      <c r="N48" s="4">
        <f>$N$4*'NIFTY MEMBS'!O37</f>
        <v>18105.451005840365</v>
      </c>
      <c r="O48" s="4">
        <f>$O$4*'NIFTY MEMBS'!P37</f>
        <v>21956.497427868482</v>
      </c>
      <c r="P48" s="4">
        <f>$P$4*'NIFTY MEMBS'!Q37</f>
        <v>18049.635189204739</v>
      </c>
      <c r="Q48" s="4">
        <f>$Q$4*'NIFTY MEMBS'!R37</f>
        <v>18006.825577396226</v>
      </c>
      <c r="R48" s="4">
        <f>$R$4*'NIFTY MEMBS'!S37</f>
        <v>19758.714073556388</v>
      </c>
      <c r="S48" s="4">
        <f>$S$4*'NIFTY MEMBS'!T37</f>
        <v>18551.035640977796</v>
      </c>
      <c r="T48" s="4">
        <f>$T$4*'NIFTY MEMBS'!U37</f>
        <v>24025.628013194619</v>
      </c>
      <c r="U48" s="4">
        <f>$U$4*'NIFTY MEMBS'!V37</f>
        <v>19803.309925165573</v>
      </c>
      <c r="V48" s="4">
        <f>$V$4*'NIFTY MEMBS'!W37</f>
        <v>18654.278435486289</v>
      </c>
      <c r="W48" s="4">
        <f>$W$4*'NIFTY MEMBS'!X37</f>
        <v>16152.622061482822</v>
      </c>
      <c r="X48" s="4">
        <f>$X$4*'NIFTY MEMBS'!Y37</f>
        <v>17808.320341347335</v>
      </c>
      <c r="Y48" s="4">
        <f>$Y$4*'NIFTY MEMBS'!Z37</f>
        <v>19970.45790251108</v>
      </c>
      <c r="Z48" s="4">
        <f>$Z$4*'NIFTY MEMBS'!AA37</f>
        <v>16645.117386866285</v>
      </c>
      <c r="AA48" s="4">
        <f>$AA$4*'NIFTY MEMBS'!AB37</f>
        <v>21620.188856369761</v>
      </c>
      <c r="AB48" s="4">
        <f>$AB$4*'NIFTY MEMBS'!AC37</f>
        <v>20792.540792540793</v>
      </c>
      <c r="AC48" s="4">
        <f>$AC$4*'NIFTY MEMBS'!AD37</f>
        <v>17200.386597938144</v>
      </c>
      <c r="AD48" s="4">
        <f>$AD$4*'NIFTY MEMBS'!AE37</f>
        <v>18215.548882215546</v>
      </c>
      <c r="AE48" s="4">
        <f>$AE$4*'NIFTY MEMBS'!AF37</f>
        <v>19327.387864608063</v>
      </c>
      <c r="AF48" s="4">
        <f>$AF$4*'NIFTY MEMBS'!AG37</f>
        <v>19418.13290521337</v>
      </c>
      <c r="AG48" s="4">
        <f>$AG$4*'NIFTY MEMBS'!AH37</f>
        <v>18690.476190476191</v>
      </c>
      <c r="AH48" s="4">
        <f>$AH$4*'NIFTY MEMBS'!AI37</f>
        <v>20490.125573933732</v>
      </c>
      <c r="AI48" s="4">
        <f>$AI$4*'NIFTY MEMBS'!AJ37</f>
        <v>19678.22144215299</v>
      </c>
      <c r="AJ48" s="4">
        <f>$AJ$4*'NIFTY MEMBS'!AK37</f>
        <v>14519.297093118741</v>
      </c>
      <c r="AK48" s="4">
        <f>$AK$4*'NIFTY MEMBS'!AL37</f>
        <v>20172.389083389633</v>
      </c>
      <c r="AL48" s="4">
        <f>$AL$4*'NIFTY MEMBS'!AM37</f>
        <v>19320.819601662126</v>
      </c>
      <c r="AM48" s="4">
        <f>$AM$4*'NIFTY MEMBS'!AN37</f>
        <v>14141.8071462426</v>
      </c>
      <c r="AN48" s="4">
        <f>$AN$4*'NIFTY MEMBS'!AO37</f>
        <v>21070.408454727218</v>
      </c>
      <c r="AO48" s="4">
        <f>$AO$4*'NIFTY MEMBS'!AP37</f>
        <v>20056.707712248863</v>
      </c>
      <c r="AP48" s="4">
        <f>$AP$4*'NIFTY MEMBS'!AQ37</f>
        <v>20623.998650813726</v>
      </c>
      <c r="AQ48" s="4">
        <f>$AQ$4*'NIFTY MEMBS'!AR37</f>
        <v>20013.498840860404</v>
      </c>
      <c r="AR48" s="4">
        <f>$AR$4*'NIFTY MEMBS'!AS37</f>
        <v>19385.259302857889</v>
      </c>
      <c r="AS48" s="4">
        <f>$AS$4*'NIFTY MEMBS'!AT37</f>
        <v>17305.706512520948</v>
      </c>
      <c r="AT48" s="4">
        <f>$AT$4*'NIFTY MEMBS'!AU37</f>
        <v>18959.107806691449</v>
      </c>
      <c r="AU48" s="4">
        <f>$AU$4*'NIFTY MEMBS'!AV37</f>
        <v>22317.722481799414</v>
      </c>
      <c r="AV48" s="4">
        <f>$AV$4*'NIFTY MEMBS'!AW37</f>
        <v>17493.060628195766</v>
      </c>
      <c r="AW48" s="4">
        <f>$AW$4*'NIFTY MEMBS'!AX37</f>
        <v>18356.495035071155</v>
      </c>
      <c r="AX48" s="4">
        <f>$AX$4*'NIFTY MEMBS'!AY37</f>
        <v>21128.533113265938</v>
      </c>
      <c r="AY48" s="4">
        <f t="shared" si="8"/>
        <v>946549.93306361814</v>
      </c>
      <c r="AZ48" s="4">
        <f t="shared" si="9"/>
        <v>96.586727863634508</v>
      </c>
    </row>
    <row r="49" spans="1:52" ht="14.25" customHeight="1" x14ac:dyDescent="0.3">
      <c r="A49" s="2">
        <v>45707</v>
      </c>
      <c r="B49" s="4">
        <f>$B$4*'NIFTY MEMBS'!C38</f>
        <v>20101.535312180142</v>
      </c>
      <c r="C49" s="4">
        <f>$C$4*'NIFTY MEMBS'!D38</f>
        <v>19376.69680719783</v>
      </c>
      <c r="D49" s="4">
        <f>$D$4*'NIFTY MEMBS'!E38</f>
        <v>20620.417371686406</v>
      </c>
      <c r="E49" s="4">
        <f>$E$4*'NIFTY MEMBS'!F38</f>
        <v>18403.141679534099</v>
      </c>
      <c r="F49" s="4">
        <f>$F$4*'NIFTY MEMBS'!G38</f>
        <v>19657.22743738558</v>
      </c>
      <c r="G49" s="4">
        <f>$G$4*'NIFTY MEMBS'!H38</f>
        <v>18338.376197680278</v>
      </c>
      <c r="H49" s="4">
        <f>$H$4*'NIFTY MEMBS'!I38</f>
        <v>19238.247011952189</v>
      </c>
      <c r="I49" s="4">
        <f>$I$4*'NIFTY MEMBS'!J38</f>
        <v>19382.455535937301</v>
      </c>
      <c r="J49" s="4">
        <f>$J$4*'NIFTY MEMBS'!K38</f>
        <v>24337.808025608123</v>
      </c>
      <c r="K49" s="4">
        <f>$K$4*'NIFTY MEMBS'!L38</f>
        <v>17753.702328426018</v>
      </c>
      <c r="L49" s="4">
        <f>$L$4*'NIFTY MEMBS'!M38</f>
        <v>17864.485344239944</v>
      </c>
      <c r="M49" s="4">
        <f>$M$4*'NIFTY MEMBS'!N38</f>
        <v>22637.063604650128</v>
      </c>
      <c r="N49" s="4">
        <f>$N$4*'NIFTY MEMBS'!O38</f>
        <v>17893.57560025957</v>
      </c>
      <c r="O49" s="4">
        <f>$O$4*'NIFTY MEMBS'!P38</f>
        <v>22198.613285618427</v>
      </c>
      <c r="P49" s="4">
        <f>$P$4*'NIFTY MEMBS'!Q38</f>
        <v>17911.556264546667</v>
      </c>
      <c r="Q49" s="4">
        <f>$Q$4*'NIFTY MEMBS'!R38</f>
        <v>17742.268313976558</v>
      </c>
      <c r="R49" s="4">
        <f>$R$4*'NIFTY MEMBS'!S38</f>
        <v>19728.400454267492</v>
      </c>
      <c r="S49" s="4">
        <f>$S$4*'NIFTY MEMBS'!T38</f>
        <v>18871.991043105059</v>
      </c>
      <c r="T49" s="4">
        <f>$T$4*'NIFTY MEMBS'!U38</f>
        <v>23792.819081451406</v>
      </c>
      <c r="U49" s="4">
        <f>$U$4*'NIFTY MEMBS'!V38</f>
        <v>19732.317101280023</v>
      </c>
      <c r="V49" s="4">
        <f>$V$4*'NIFTY MEMBS'!W38</f>
        <v>18870.073430241271</v>
      </c>
      <c r="W49" s="4">
        <f>$W$4*'NIFTY MEMBS'!X38</f>
        <v>16933.092224231466</v>
      </c>
      <c r="X49" s="4">
        <f>$X$4*'NIFTY MEMBS'!Y38</f>
        <v>17770.575203085253</v>
      </c>
      <c r="Y49" s="4">
        <f>$Y$4*'NIFTY MEMBS'!Z38</f>
        <v>20113.948090314414</v>
      </c>
      <c r="Z49" s="4">
        <f>$Z$4*'NIFTY MEMBS'!AA38</f>
        <v>17243.960530792789</v>
      </c>
      <c r="AA49" s="4">
        <f>$AA$4*'NIFTY MEMBS'!AB38</f>
        <v>21588.160583135457</v>
      </c>
      <c r="AB49" s="4">
        <f>$AB$4*'NIFTY MEMBS'!AC38</f>
        <v>20919.08091908092</v>
      </c>
      <c r="AC49" s="4">
        <f>$AC$4*'NIFTY MEMBS'!AD38</f>
        <v>16949.097938144332</v>
      </c>
      <c r="AD49" s="4">
        <f>$AD$4*'NIFTY MEMBS'!AE38</f>
        <v>18178.178178178176</v>
      </c>
      <c r="AE49" s="4">
        <f>$AE$4*'NIFTY MEMBS'!AF38</f>
        <v>19402.669168416174</v>
      </c>
      <c r="AF49" s="4">
        <f>$AF$4*'NIFTY MEMBS'!AG38</f>
        <v>19431.150066170565</v>
      </c>
      <c r="AG49" s="4">
        <f>$AG$4*'NIFTY MEMBS'!AH38</f>
        <v>18752.587991718428</v>
      </c>
      <c r="AH49" s="4">
        <f>$AH$4*'NIFTY MEMBS'!AI38</f>
        <v>20329.147535542405</v>
      </c>
      <c r="AI49" s="4">
        <f>$AI$4*'NIFTY MEMBS'!AJ38</f>
        <v>19856.662278777239</v>
      </c>
      <c r="AJ49" s="4">
        <f>$AJ$4*'NIFTY MEMBS'!AK38</f>
        <v>15038.26572507801</v>
      </c>
      <c r="AK49" s="4">
        <f>$AK$4*'NIFTY MEMBS'!AL38</f>
        <v>20172.389083389633</v>
      </c>
      <c r="AL49" s="4">
        <f>$AL$4*'NIFTY MEMBS'!AM38</f>
        <v>19694.184594600127</v>
      </c>
      <c r="AM49" s="4">
        <f>$AM$4*'NIFTY MEMBS'!AN38</f>
        <v>14123.980447223774</v>
      </c>
      <c r="AN49" s="4">
        <f>$AN$4*'NIFTY MEMBS'!AO38</f>
        <v>21073.978863181943</v>
      </c>
      <c r="AO49" s="4">
        <f>$AO$4*'NIFTY MEMBS'!AP38</f>
        <v>20183.084899546335</v>
      </c>
      <c r="AP49" s="4">
        <f>$AP$4*'NIFTY MEMBS'!AQ38</f>
        <v>21124.884054304744</v>
      </c>
      <c r="AQ49" s="4">
        <f>$AQ$4*'NIFTY MEMBS'!AR38</f>
        <v>19788.126889104089</v>
      </c>
      <c r="AR49" s="4">
        <f>$AR$4*'NIFTY MEMBS'!AS38</f>
        <v>19150.480674906808</v>
      </c>
      <c r="AS49" s="4">
        <f>$AS$4*'NIFTY MEMBS'!AT38</f>
        <v>17430.000067845827</v>
      </c>
      <c r="AT49" s="4">
        <f>$AT$4*'NIFTY MEMBS'!AU38</f>
        <v>19111.575557192533</v>
      </c>
      <c r="AU49" s="4">
        <f>$AU$4*'NIFTY MEMBS'!AV38</f>
        <v>22281.864609366512</v>
      </c>
      <c r="AV49" s="4">
        <f>$AV$4*'NIFTY MEMBS'!AW38</f>
        <v>17032.140248356463</v>
      </c>
      <c r="AW49" s="4">
        <f>$AW$4*'NIFTY MEMBS'!AX38</f>
        <v>18541.23101556992</v>
      </c>
      <c r="AX49" s="4">
        <f>$AX$4*'NIFTY MEMBS'!AY38</f>
        <v>21369.91953785847</v>
      </c>
      <c r="AY49" s="4">
        <f t="shared" si="8"/>
        <v>948037.18820633739</v>
      </c>
      <c r="AZ49" s="4">
        <f t="shared" si="9"/>
        <v>96.738488592483407</v>
      </c>
    </row>
    <row r="50" spans="1:52" ht="14.25" customHeight="1" x14ac:dyDescent="0.3">
      <c r="A50" s="2">
        <v>45708</v>
      </c>
      <c r="B50" s="4">
        <f>$B$4*'NIFTY MEMBS'!C39</f>
        <v>20192.425793244627</v>
      </c>
      <c r="C50" s="4">
        <f>$C$4*'NIFTY MEMBS'!D39</f>
        <v>18926.832551773656</v>
      </c>
      <c r="D50" s="4">
        <f>$D$4*'NIFTY MEMBS'!E39</f>
        <v>20599.110108416367</v>
      </c>
      <c r="E50" s="4">
        <f>$E$4*'NIFTY MEMBS'!F39</f>
        <v>18380.284258775184</v>
      </c>
      <c r="F50" s="4">
        <f>$F$4*'NIFTY MEMBS'!G39</f>
        <v>19474.93475635882</v>
      </c>
      <c r="G50" s="4">
        <f>$G$4*'NIFTY MEMBS'!H39</f>
        <v>18398.890569843672</v>
      </c>
      <c r="H50" s="4">
        <f>$H$4*'NIFTY MEMBS'!I39</f>
        <v>19390.70385126162</v>
      </c>
      <c r="I50" s="4">
        <f>$I$4*'NIFTY MEMBS'!J39</f>
        <v>19362.215236208609</v>
      </c>
      <c r="J50" s="4">
        <f>$J$4*'NIFTY MEMBS'!K39</f>
        <v>24222.456130232291</v>
      </c>
      <c r="K50" s="4">
        <f>$K$4*'NIFTY MEMBS'!L39</f>
        <v>17563.671311869293</v>
      </c>
      <c r="L50" s="4">
        <f>$L$4*'NIFTY MEMBS'!M39</f>
        <v>17863.940013633266</v>
      </c>
      <c r="M50" s="4">
        <f>$M$4*'NIFTY MEMBS'!N39</f>
        <v>22198.995387346877</v>
      </c>
      <c r="N50" s="4">
        <f>$N$4*'NIFTY MEMBS'!O39</f>
        <v>18426.022063595065</v>
      </c>
      <c r="O50" s="4">
        <f>$O$4*'NIFTY MEMBS'!P39</f>
        <v>22037.016327443522</v>
      </c>
      <c r="P50" s="4">
        <f>$P$4*'NIFTY MEMBS'!Q39</f>
        <v>17652.658280812782</v>
      </c>
      <c r="Q50" s="4">
        <f>$Q$4*'NIFTY MEMBS'!R39</f>
        <v>17665.017593058015</v>
      </c>
      <c r="R50" s="4">
        <f>$R$4*'NIFTY MEMBS'!S39</f>
        <v>19721.4990827291</v>
      </c>
      <c r="S50" s="4">
        <f>$S$4*'NIFTY MEMBS'!T39</f>
        <v>18981.153200223926</v>
      </c>
      <c r="T50" s="4">
        <f>$T$4*'NIFTY MEMBS'!U39</f>
        <v>23867.67317939609</v>
      </c>
      <c r="U50" s="4">
        <f>$U$4*'NIFTY MEMBS'!V39</f>
        <v>19616.454354072866</v>
      </c>
      <c r="V50" s="4">
        <f>$V$4*'NIFTY MEMBS'!W39</f>
        <v>19490.484040161846</v>
      </c>
      <c r="W50" s="4">
        <f>$W$4*'NIFTY MEMBS'!X39</f>
        <v>16920.795660036169</v>
      </c>
      <c r="X50" s="4">
        <f>$X$4*'NIFTY MEMBS'!Y39</f>
        <v>18244.030524329202</v>
      </c>
      <c r="Y50" s="4">
        <f>$Y$4*'NIFTY MEMBS'!Z39</f>
        <v>20417.80966448618</v>
      </c>
      <c r="Z50" s="4">
        <f>$Z$4*'NIFTY MEMBS'!AA39</f>
        <v>17710.105478053763</v>
      </c>
      <c r="AA50" s="4">
        <f>$AA$4*'NIFTY MEMBS'!AB39</f>
        <v>21672.096747473632</v>
      </c>
      <c r="AB50" s="4">
        <f>$AB$4*'NIFTY MEMBS'!AC39</f>
        <v>20865.800865800866</v>
      </c>
      <c r="AC50" s="4">
        <f>$AC$4*'NIFTY MEMBS'!AD39</f>
        <v>17123.067010309282</v>
      </c>
      <c r="AD50" s="4">
        <f>$AD$4*'NIFTY MEMBS'!AE39</f>
        <v>18413.079746413077</v>
      </c>
      <c r="AE50" s="4">
        <f>$AE$4*'NIFTY MEMBS'!AF39</f>
        <v>19747.498727196802</v>
      </c>
      <c r="AF50" s="4">
        <f>$AF$4*'NIFTY MEMBS'!AG39</f>
        <v>19517.497233853297</v>
      </c>
      <c r="AG50" s="4">
        <f>$AG$4*'NIFTY MEMBS'!AH39</f>
        <v>19045.031055900621</v>
      </c>
      <c r="AH50" s="4">
        <f>$AH$4*'NIFTY MEMBS'!AI39</f>
        <v>20345.927605981822</v>
      </c>
      <c r="AI50" s="4">
        <f>$AI$4*'NIFTY MEMBS'!AJ39</f>
        <v>20190.141875091413</v>
      </c>
      <c r="AJ50" s="4">
        <f>$AJ$4*'NIFTY MEMBS'!AK39</f>
        <v>15455.411397602236</v>
      </c>
      <c r="AK50" s="4">
        <f>$AK$4*'NIFTY MEMBS'!AL39</f>
        <v>20094.588784472697</v>
      </c>
      <c r="AL50" s="4">
        <f>$AL$4*'NIFTY MEMBS'!AM39</f>
        <v>20012.69113462837</v>
      </c>
      <c r="AM50" s="4">
        <f>$AM$4*'NIFTY MEMBS'!AN39</f>
        <v>14429.722483570435</v>
      </c>
      <c r="AN50" s="4">
        <f>$AN$4*'NIFTY MEMBS'!AO39</f>
        <v>20991.145387032273</v>
      </c>
      <c r="AO50" s="4">
        <f>$AO$4*'NIFTY MEMBS'!AP39</f>
        <v>20090.73233959818</v>
      </c>
      <c r="AP50" s="4">
        <f>$AP$4*'NIFTY MEMBS'!AQ39</f>
        <v>21546.504764314021</v>
      </c>
      <c r="AQ50" s="4">
        <f>$AQ$4*'NIFTY MEMBS'!AR39</f>
        <v>19460.046365583825</v>
      </c>
      <c r="AR50" s="4">
        <f>$AR$4*'NIFTY MEMBS'!AS39</f>
        <v>19353.868288535741</v>
      </c>
      <c r="AS50" s="4">
        <f>$AS$4*'NIFTY MEMBS'!AT39</f>
        <v>17343.971559029262</v>
      </c>
      <c r="AT50" s="4">
        <f>$AT$4*'NIFTY MEMBS'!AU39</f>
        <v>19901.324242372328</v>
      </c>
      <c r="AU50" s="4">
        <f>$AU$4*'NIFTY MEMBS'!AV39</f>
        <v>21925.459089427361</v>
      </c>
      <c r="AV50" s="4">
        <f>$AV$4*'NIFTY MEMBS'!AW39</f>
        <v>17106.647187728271</v>
      </c>
      <c r="AW50" s="4">
        <f>$AW$4*'NIFTY MEMBS'!AX39</f>
        <v>18684.383476525622</v>
      </c>
      <c r="AX50" s="4">
        <f>$AX$4*'NIFTY MEMBS'!AY39</f>
        <v>21614.400660202191</v>
      </c>
      <c r="AY50" s="4">
        <f t="shared" si="8"/>
        <v>952256.21744600637</v>
      </c>
      <c r="AZ50" s="4">
        <f t="shared" si="9"/>
        <v>97.169001780204738</v>
      </c>
    </row>
    <row r="51" spans="1:52" ht="14.25" customHeight="1" x14ac:dyDescent="0.3">
      <c r="A51" s="2">
        <v>45709</v>
      </c>
      <c r="B51" s="4">
        <f>$B$4*'NIFTY MEMBS'!C40</f>
        <v>20112.998976458548</v>
      </c>
      <c r="C51" s="4">
        <f>$C$4*'NIFTY MEMBS'!D40</f>
        <v>18987.412775696113</v>
      </c>
      <c r="D51" s="4">
        <f>$D$4*'NIFTY MEMBS'!E40</f>
        <v>20545.841950241273</v>
      </c>
      <c r="E51" s="4">
        <f>$E$4*'NIFTY MEMBS'!F40</f>
        <v>18412.381913457913</v>
      </c>
      <c r="F51" s="4">
        <f>$F$4*'NIFTY MEMBS'!G40</f>
        <v>19210.06504888404</v>
      </c>
      <c r="G51" s="4">
        <f>$G$4*'NIFTY MEMBS'!H40</f>
        <v>18204.740292486131</v>
      </c>
      <c r="H51" s="4">
        <f>$H$4*'NIFTY MEMBS'!I40</f>
        <v>19282.868525896414</v>
      </c>
      <c r="I51" s="4">
        <f>$I$4*'NIFTY MEMBS'!J40</f>
        <v>19307.092717798547</v>
      </c>
      <c r="J51" s="4">
        <f>$J$4*'NIFTY MEMBS'!K40</f>
        <v>24214.38149755598</v>
      </c>
      <c r="K51" s="4">
        <f>$K$4*'NIFTY MEMBS'!L40</f>
        <v>17513.433227032456</v>
      </c>
      <c r="L51" s="4">
        <f>$L$4*'NIFTY MEMBS'!M40</f>
        <v>18078.254942058622</v>
      </c>
      <c r="M51" s="4">
        <f>$M$4*'NIFTY MEMBS'!N40</f>
        <v>21989.864653872581</v>
      </c>
      <c r="N51" s="4">
        <f>$N$4*'NIFTY MEMBS'!O40</f>
        <v>17322.193380921479</v>
      </c>
      <c r="O51" s="4">
        <f>$O$4*'NIFTY MEMBS'!P40</f>
        <v>21841.310668754191</v>
      </c>
      <c r="P51" s="4">
        <f>$P$4*'NIFTY MEMBS'!Q40</f>
        <v>17790.214179241088</v>
      </c>
      <c r="Q51" s="4">
        <f>$Q$4*'NIFTY MEMBS'!R40</f>
        <v>17394.640069843117</v>
      </c>
      <c r="R51" s="4">
        <f>$R$4*'NIFTY MEMBS'!S40</f>
        <v>19493.753821962084</v>
      </c>
      <c r="S51" s="4">
        <f>$S$4*'NIFTY MEMBS'!T40</f>
        <v>18827.206568389625</v>
      </c>
      <c r="T51" s="4">
        <f>$T$4*'NIFTY MEMBS'!U40</f>
        <v>23843.567622430852</v>
      </c>
      <c r="U51" s="4">
        <f>$U$4*'NIFTY MEMBS'!V40</f>
        <v>19545.46153018732</v>
      </c>
      <c r="V51" s="4">
        <f>$V$4*'NIFTY MEMBS'!W40</f>
        <v>19556.421399670315</v>
      </c>
      <c r="W51" s="4">
        <f>$W$4*'NIFTY MEMBS'!X40</f>
        <v>16662.567811934903</v>
      </c>
      <c r="X51" s="4">
        <f>$X$4*'NIFTY MEMBS'!Y40</f>
        <v>17777.13957495692</v>
      </c>
      <c r="Y51" s="4">
        <f>$Y$4*'NIFTY MEMBS'!Z40</f>
        <v>20248.9976788352</v>
      </c>
      <c r="Z51" s="4">
        <f>$Z$4*'NIFTY MEMBS'!AA40</f>
        <v>17427.696495406606</v>
      </c>
      <c r="AA51" s="4">
        <f>$AA$4*'NIFTY MEMBS'!AB40</f>
        <v>21688.66309569827</v>
      </c>
      <c r="AB51" s="4">
        <f>$AB$4*'NIFTY MEMBS'!AC40</f>
        <v>20402.930402930404</v>
      </c>
      <c r="AC51" s="4">
        <f>$AC$4*'NIFTY MEMBS'!AD40</f>
        <v>16875</v>
      </c>
      <c r="AD51" s="4">
        <f>$AD$4*'NIFTY MEMBS'!AE40</f>
        <v>17969.96996996997</v>
      </c>
      <c r="AE51" s="4">
        <f>$AE$4*'NIFTY MEMBS'!AF40</f>
        <v>19463.420494133665</v>
      </c>
      <c r="AF51" s="4">
        <f>$AF$4*'NIFTY MEMBS'!AG40</f>
        <v>19591.695051309307</v>
      </c>
      <c r="AG51" s="4">
        <f>$AG$4*'NIFTY MEMBS'!AH40</f>
        <v>19148.55072463768</v>
      </c>
      <c r="AH51" s="4">
        <f>$AH$4*'NIFTY MEMBS'!AI40</f>
        <v>20421.34572476997</v>
      </c>
      <c r="AI51" s="4">
        <f>$AI$4*'NIFTY MEMBS'!AJ40</f>
        <v>20587.977182974988</v>
      </c>
      <c r="AJ51" s="4">
        <f>$AJ$4*'NIFTY MEMBS'!AK40</f>
        <v>15350.30382657251</v>
      </c>
      <c r="AK51" s="4">
        <f>$AK$4*'NIFTY MEMBS'!AL40</f>
        <v>19909.096492844419</v>
      </c>
      <c r="AL51" s="4">
        <f>$AL$4*'NIFTY MEMBS'!AM40</f>
        <v>20315.845495670681</v>
      </c>
      <c r="AM51" s="4">
        <f>$AM$4*'NIFTY MEMBS'!AN40</f>
        <v>14284.562220131436</v>
      </c>
      <c r="AN51" s="4">
        <f>$AN$4*'NIFTY MEMBS'!AO40</f>
        <v>21356.755212796343</v>
      </c>
      <c r="AO51" s="4">
        <f>$AO$4*'NIFTY MEMBS'!AP40</f>
        <v>20183.084899546335</v>
      </c>
      <c r="AP51" s="4">
        <f>$AP$4*'NIFTY MEMBS'!AQ40</f>
        <v>22044.017202124964</v>
      </c>
      <c r="AQ51" s="4">
        <f>$AQ$4*'NIFTY MEMBS'!AR40</f>
        <v>19362.033042814801</v>
      </c>
      <c r="AR51" s="4">
        <f>$AR$4*'NIFTY MEMBS'!AS40</f>
        <v>19302.203910797201</v>
      </c>
      <c r="AS51" s="4">
        <f>$AS$4*'NIFTY MEMBS'!AT40</f>
        <v>17144.77621053917</v>
      </c>
      <c r="AT51" s="4">
        <f>$AT$4*'NIFTY MEMBS'!AU40</f>
        <v>20046.939509704829</v>
      </c>
      <c r="AU51" s="4">
        <f>$AU$4*'NIFTY MEMBS'!AV40</f>
        <v>21818.972074323592</v>
      </c>
      <c r="AV51" s="4">
        <f>$AV$4*'NIFTY MEMBS'!AW40</f>
        <v>16826.880934989043</v>
      </c>
      <c r="AW51" s="4">
        <f>$AW$4*'NIFTY MEMBS'!AX40</f>
        <v>18414.329585240237</v>
      </c>
      <c r="AX51" s="4">
        <f>$AX$4*'NIFTY MEMBS'!AY40</f>
        <v>21533.938518671344</v>
      </c>
      <c r="AY51" s="4">
        <f t="shared" si="8"/>
        <v>947633.79910716345</v>
      </c>
      <c r="AZ51" s="4">
        <f t="shared" si="9"/>
        <v>96.697326439506469</v>
      </c>
    </row>
    <row r="52" spans="1:52" ht="14.25" customHeight="1" x14ac:dyDescent="0.3">
      <c r="A52" s="2">
        <v>45712</v>
      </c>
      <c r="B52" s="4">
        <f>$B$4*'NIFTY MEMBS'!C41</f>
        <v>19890.276356192426</v>
      </c>
      <c r="C52" s="4">
        <f>$C$4*'NIFTY MEMBS'!D41</f>
        <v>18814.646951917253</v>
      </c>
      <c r="D52" s="4">
        <f>$D$4*'NIFTY MEMBS'!E41</f>
        <v>20070.18863194836</v>
      </c>
      <c r="E52" s="4">
        <f>$E$4*'NIFTY MEMBS'!F41</f>
        <v>17875.47568967404</v>
      </c>
      <c r="F52" s="4">
        <f>$F$4*'NIFTY MEMBS'!G41</f>
        <v>18982.588711876288</v>
      </c>
      <c r="G52" s="4">
        <f>$G$4*'NIFTY MEMBS'!H41</f>
        <v>18063.540090771556</v>
      </c>
      <c r="H52" s="4">
        <f>$H$4*'NIFTY MEMBS'!I41</f>
        <v>18742.098273572374</v>
      </c>
      <c r="I52" s="4">
        <f>$I$4*'NIFTY MEMBS'!J41</f>
        <v>19305.370139098231</v>
      </c>
      <c r="J52" s="4">
        <f>$J$4*'NIFTY MEMBS'!K41</f>
        <v>24093.838766888239</v>
      </c>
      <c r="K52" s="4">
        <f>$K$4*'NIFTY MEMBS'!L41</f>
        <v>17557.118518194922</v>
      </c>
      <c r="L52" s="4">
        <f>$L$4*'NIFTY MEMBS'!M41</f>
        <v>17765.23517382413</v>
      </c>
      <c r="M52" s="4">
        <f>$M$4*'NIFTY MEMBS'!N41</f>
        <v>22028.675178216148</v>
      </c>
      <c r="N52" s="4">
        <f>$N$4*'NIFTY MEMBS'!O41</f>
        <v>17580.791693705385</v>
      </c>
      <c r="O52" s="4">
        <f>$O$4*'NIFTY MEMBS'!P41</f>
        <v>21987.251174233948</v>
      </c>
      <c r="P52" s="4">
        <f>$P$4*'NIFTY MEMBS'!Q41</f>
        <v>17197.625460916865</v>
      </c>
      <c r="Q52" s="4">
        <f>$Q$4*'NIFTY MEMBS'!R41</f>
        <v>17349.665335061774</v>
      </c>
      <c r="R52" s="4">
        <f>$R$4*'NIFTY MEMBS'!S41</f>
        <v>19293.52668821525</v>
      </c>
      <c r="S52" s="4">
        <f>$S$4*'NIFTY MEMBS'!T41</f>
        <v>18847.732785967532</v>
      </c>
      <c r="T52" s="4">
        <f>$T$4*'NIFTY MEMBS'!U41</f>
        <v>23570.159857904084</v>
      </c>
      <c r="U52" s="4">
        <f>$U$4*'NIFTY MEMBS'!V41</f>
        <v>19503.050232801146</v>
      </c>
      <c r="V52" s="4">
        <f>$V$4*'NIFTY MEMBS'!W41</f>
        <v>19187.771616963884</v>
      </c>
      <c r="W52" s="4">
        <f>$W$4*'NIFTY MEMBS'!X41</f>
        <v>16107.775768535263</v>
      </c>
      <c r="X52" s="4">
        <f>$X$4*'NIFTY MEMBS'!Y41</f>
        <v>17566.259128579633</v>
      </c>
      <c r="Y52" s="4">
        <f>$Y$4*'NIFTY MEMBS'!Z41</f>
        <v>19780.544418653724</v>
      </c>
      <c r="Z52" s="4">
        <f>$Z$4*'NIFTY MEMBS'!AA41</f>
        <v>17444.709084722697</v>
      </c>
      <c r="AA52" s="4">
        <f>$AA$4*'NIFTY MEMBS'!AB41</f>
        <v>21355.127284775524</v>
      </c>
      <c r="AB52" s="4">
        <f>$AB$4*'NIFTY MEMBS'!AC41</f>
        <v>19650.34965034965</v>
      </c>
      <c r="AC52" s="4">
        <f>$AC$4*'NIFTY MEMBS'!AD41</f>
        <v>16697.809278350516</v>
      </c>
      <c r="AD52" s="4">
        <f>$AD$4*'NIFTY MEMBS'!AE41</f>
        <v>17837.837837837837</v>
      </c>
      <c r="AE52" s="4">
        <f>$AE$4*'NIFTY MEMBS'!AF41</f>
        <v>19328.188729542195</v>
      </c>
      <c r="AF52" s="4">
        <f>$AF$4*'NIFTY MEMBS'!AG41</f>
        <v>19492.764628034623</v>
      </c>
      <c r="AG52" s="4">
        <f>$AG$4*'NIFTY MEMBS'!AH41</f>
        <v>18881.987577639753</v>
      </c>
      <c r="AH52" s="4">
        <f>$AH$4*'NIFTY MEMBS'!AI41</f>
        <v>20471.685936088219</v>
      </c>
      <c r="AI52" s="4">
        <f>$AI$4*'NIFTY MEMBS'!AJ41</f>
        <v>20133.099312563991</v>
      </c>
      <c r="AJ52" s="4">
        <f>$AJ$4*'NIFTY MEMBS'!AK41</f>
        <v>15007.390376088029</v>
      </c>
      <c r="AK52" s="4">
        <f>$AK$4*'NIFTY MEMBS'!AL41</f>
        <v>19603.218475523612</v>
      </c>
      <c r="AL52" s="4">
        <f>$AL$4*'NIFTY MEMBS'!AM41</f>
        <v>20513.786256729371</v>
      </c>
      <c r="AM52" s="4">
        <f>$AM$4*'NIFTY MEMBS'!AN41</f>
        <v>14334.929718946527</v>
      </c>
      <c r="AN52" s="4">
        <f>$AN$4*'NIFTY MEMBS'!AO41</f>
        <v>21229.648671808052</v>
      </c>
      <c r="AO52" s="4">
        <f>$AO$4*'NIFTY MEMBS'!AP41</f>
        <v>19993.519118600125</v>
      </c>
      <c r="AP52" s="4">
        <f>$AP$4*'NIFTY MEMBS'!AQ41</f>
        <v>21651.066700396321</v>
      </c>
      <c r="AQ52" s="4">
        <f>$AQ$4*'NIFTY MEMBS'!AR41</f>
        <v>18941.808257769171</v>
      </c>
      <c r="AR52" s="4">
        <f>$AR$4*'NIFTY MEMBS'!AS41</f>
        <v>19315.283500098096</v>
      </c>
      <c r="AS52" s="4">
        <f>$AS$4*'NIFTY MEMBS'!AT41</f>
        <v>16965.256151920374</v>
      </c>
      <c r="AT52" s="4">
        <f>$AT$4*'NIFTY MEMBS'!AU41</f>
        <v>19776.266424545593</v>
      </c>
      <c r="AU52" s="4">
        <f>$AU$4*'NIFTY MEMBS'!AV41</f>
        <v>21784.200804085624</v>
      </c>
      <c r="AV52" s="4">
        <f>$AV$4*'NIFTY MEMBS'!AW41</f>
        <v>17013.148283418555</v>
      </c>
      <c r="AW52" s="4">
        <f>$AW$4*'NIFTY MEMBS'!AX41</f>
        <v>18568.47539044296</v>
      </c>
      <c r="AX52" s="4">
        <f>$AX$4*'NIFTY MEMBS'!AY41</f>
        <v>21232.721270889215</v>
      </c>
      <c r="AY52" s="4">
        <f t="shared" si="8"/>
        <v>938385.48536487925</v>
      </c>
      <c r="AZ52" s="4">
        <f t="shared" si="9"/>
        <v>95.753620955599928</v>
      </c>
    </row>
    <row r="53" spans="1:52" ht="14.25" customHeight="1" x14ac:dyDescent="0.3">
      <c r="A53" s="2">
        <v>45713</v>
      </c>
      <c r="B53" s="4">
        <f>$B$4*'NIFTY MEMBS'!C42</f>
        <v>19717.502558853634</v>
      </c>
      <c r="C53" s="4">
        <f>$C$4*'NIFTY MEMBS'!D42</f>
        <v>18873.432206242007</v>
      </c>
      <c r="D53" s="4">
        <f>$D$4*'NIFTY MEMBS'!E42</f>
        <v>20572.789371435734</v>
      </c>
      <c r="E53" s="4">
        <f>$E$4*'NIFTY MEMBS'!F42</f>
        <v>17651.521599046799</v>
      </c>
      <c r="F53" s="4">
        <f>$F$4*'NIFTY MEMBS'!G42</f>
        <v>19072.956023838273</v>
      </c>
      <c r="G53" s="4">
        <f>$G$4*'NIFTY MEMBS'!H42</f>
        <v>17924.861321230455</v>
      </c>
      <c r="H53" s="4">
        <f>$H$4*'NIFTY MEMBS'!I42</f>
        <v>18780.345285524567</v>
      </c>
      <c r="I53" s="4">
        <f>$I$4*'NIFTY MEMBS'!J42</f>
        <v>19459.110288101292</v>
      </c>
      <c r="J53" s="4">
        <f>$J$4*'NIFTY MEMBS'!K42</f>
        <v>24479.979236658834</v>
      </c>
      <c r="K53" s="4">
        <f>$K$4*'NIFTY MEMBS'!L42</f>
        <v>17685.990127124198</v>
      </c>
      <c r="L53" s="4">
        <f>$L$4*'NIFTY MEMBS'!M42</f>
        <v>17591.820040899795</v>
      </c>
      <c r="M53" s="4">
        <f>$M$4*'NIFTY MEMBS'!N42</f>
        <v>22262.698179028044</v>
      </c>
      <c r="N53" s="4">
        <f>$N$4*'NIFTY MEMBS'!O42</f>
        <v>18026.281635301752</v>
      </c>
      <c r="O53" s="4">
        <f>$O$4*'NIFTY MEMBS'!P42</f>
        <v>22000.111831804963</v>
      </c>
      <c r="P53" s="4">
        <f>$P$4*'NIFTY MEMBS'!Q42</f>
        <v>17114.464290384163</v>
      </c>
      <c r="Q53" s="4">
        <f>$Q$4*'NIFTY MEMBS'!R42</f>
        <v>17075.584010158997</v>
      </c>
      <c r="R53" s="4">
        <f>$R$4*'NIFTY MEMBS'!S42</f>
        <v>19156.372848781339</v>
      </c>
      <c r="S53" s="4">
        <f>$S$4*'NIFTY MEMBS'!T42</f>
        <v>18830.005598059342</v>
      </c>
      <c r="T53" s="4">
        <f>$T$4*'NIFTY MEMBS'!U42</f>
        <v>23789.647297640189</v>
      </c>
      <c r="U53" s="4">
        <f>$U$4*'NIFTY MEMBS'!V42</f>
        <v>19661.631605636401</v>
      </c>
      <c r="V53" s="4">
        <f>$V$4*'NIFTY MEMBS'!W42</f>
        <v>19103.851341225836</v>
      </c>
      <c r="W53" s="4">
        <f>$W$4*'NIFTY MEMBS'!X42</f>
        <v>16320.433996383365</v>
      </c>
      <c r="X53" s="4">
        <f>$X$4*'NIFTY MEMBS'!Y42</f>
        <v>17729.547878887333</v>
      </c>
      <c r="Y53" s="4">
        <f>$Y$4*'NIFTY MEMBS'!Z42</f>
        <v>19666.596328339314</v>
      </c>
      <c r="Z53" s="4">
        <f>$Z$4*'NIFTY MEMBS'!AA42</f>
        <v>17465.12419190201</v>
      </c>
      <c r="AA53" s="4">
        <f>$AA$4*'NIFTY MEMBS'!AB42</f>
        <v>21177.315147164394</v>
      </c>
      <c r="AB53" s="4">
        <f>$AB$4*'NIFTY MEMBS'!AC42</f>
        <v>19400.5994005994</v>
      </c>
      <c r="AC53" s="4">
        <f>$AC$4*'NIFTY MEMBS'!AD42</f>
        <v>16478.737113402065</v>
      </c>
      <c r="AD53" s="4">
        <f>$AD$4*'NIFTY MEMBS'!AE42</f>
        <v>17660.326993660328</v>
      </c>
      <c r="AE53" s="4">
        <f>$AE$4*'NIFTY MEMBS'!AF42</f>
        <v>19261.716940009497</v>
      </c>
      <c r="AF53" s="4">
        <f>$AF$4*'NIFTY MEMBS'!AG42</f>
        <v>19306.619226346731</v>
      </c>
      <c r="AG53" s="4">
        <f>$AG$4*'NIFTY MEMBS'!AH42</f>
        <v>18693.064182194616</v>
      </c>
      <c r="AH53" s="4">
        <f>$AH$4*'NIFTY MEMBS'!AI42</f>
        <v>20748.280503770911</v>
      </c>
      <c r="AI53" s="4">
        <f>$AI$4*'NIFTY MEMBS'!AJ42</f>
        <v>20048.266783677049</v>
      </c>
      <c r="AJ53" s="4">
        <f>$AJ$4*'NIFTY MEMBS'!AK42</f>
        <v>14867.465922154706</v>
      </c>
      <c r="AK53" s="4">
        <f>$AK$4*'NIFTY MEMBS'!AL42</f>
        <v>19485.289601375836</v>
      </c>
      <c r="AL53" s="4">
        <f>$AL$4*'NIFTY MEMBS'!AM42</f>
        <v>20427.814054408122</v>
      </c>
      <c r="AM53" s="4">
        <f>$AM$4*'NIFTY MEMBS'!AN42</f>
        <v>14034.705470391409</v>
      </c>
      <c r="AN53" s="4">
        <f>$AN$4*'NIFTY MEMBS'!AO42</f>
        <v>21018.994572979147</v>
      </c>
      <c r="AO53" s="4">
        <f>$AO$4*'NIFTY MEMBS'!AP42</f>
        <v>20160.401814646786</v>
      </c>
      <c r="AP53" s="4">
        <f>$AP$4*'NIFTY MEMBS'!AQ42</f>
        <v>20893.835905219665</v>
      </c>
      <c r="AQ53" s="4">
        <f>$AQ$4*'NIFTY MEMBS'!AR42</f>
        <v>18709.980338644833</v>
      </c>
      <c r="AR53" s="4">
        <f>$AR$4*'NIFTY MEMBS'!AS42</f>
        <v>19140.017003466091</v>
      </c>
      <c r="AS53" s="4">
        <f>$AS$4*'NIFTY MEMBS'!AT42</f>
        <v>16965.120460266091</v>
      </c>
      <c r="AT53" s="4">
        <f>$AT$4*'NIFTY MEMBS'!AU42</f>
        <v>19675.192297808917</v>
      </c>
      <c r="AU53" s="4">
        <f>$AU$4*'NIFTY MEMBS'!AV42</f>
        <v>21837.444311637511</v>
      </c>
      <c r="AV53" s="4">
        <f>$AV$4*'NIFTY MEMBS'!AW42</f>
        <v>16481.37326515705</v>
      </c>
      <c r="AW53" s="4">
        <f>$AW$4*'NIFTY MEMBS'!AX42</f>
        <v>18297.943527668573</v>
      </c>
      <c r="AX53" s="4">
        <f>$AX$4*'NIFTY MEMBS'!AY42</f>
        <v>21337.940994429548</v>
      </c>
      <c r="AY53" s="4">
        <f t="shared" si="8"/>
        <v>936121.1049235682</v>
      </c>
      <c r="AZ53" s="4">
        <f t="shared" si="9"/>
        <v>95.522561726894722</v>
      </c>
    </row>
    <row r="54" spans="1:52" ht="14.25" customHeight="1" x14ac:dyDescent="0.3">
      <c r="A54" s="2">
        <v>45715</v>
      </c>
      <c r="B54" s="4">
        <f>$B$4*'NIFTY MEMBS'!C43</f>
        <v>19768.270214943703</v>
      </c>
      <c r="C54" s="4">
        <f>$C$4*'NIFTY MEMBS'!D43</f>
        <v>19079.404967578364</v>
      </c>
      <c r="D54" s="4">
        <f>$D$4*'NIFTY MEMBS'!E43</f>
        <v>20685.592529924172</v>
      </c>
      <c r="E54" s="4">
        <f>$E$4*'NIFTY MEMBS'!F43</f>
        <v>17568.8458218337</v>
      </c>
      <c r="F54" s="4">
        <f>$F$4*'NIFTY MEMBS'!G43</f>
        <v>19046.469053090794</v>
      </c>
      <c r="G54" s="4">
        <f>$G$4*'NIFTY MEMBS'!H43</f>
        <v>17748.361069087241</v>
      </c>
      <c r="H54" s="4">
        <f>$H$4*'NIFTY MEMBS'!I43</f>
        <v>18744.22310756972</v>
      </c>
      <c r="I54" s="4">
        <f>$I$4*'NIFTY MEMBS'!J43</f>
        <v>19335.515266353734</v>
      </c>
      <c r="J54" s="4">
        <f>$J$4*'NIFTY MEMBS'!K43</f>
        <v>25104.609750118954</v>
      </c>
      <c r="K54" s="4">
        <f>$K$4*'NIFTY MEMBS'!L43</f>
        <v>17544.012930846184</v>
      </c>
      <c r="L54" s="4">
        <f>$L$4*'NIFTY MEMBS'!M43</f>
        <v>17502.385821404227</v>
      </c>
      <c r="M54" s="4">
        <f>$M$4*'NIFTY MEMBS'!N43</f>
        <v>22091.84265232016</v>
      </c>
      <c r="N54" s="4">
        <f>$N$4*'NIFTY MEMBS'!O43</f>
        <v>17693.380921479558</v>
      </c>
      <c r="O54" s="4">
        <f>$O$4*'NIFTY MEMBS'!P43</f>
        <v>21779.803176023259</v>
      </c>
      <c r="P54" s="4">
        <f>$P$4*'NIFTY MEMBS'!Q43</f>
        <v>17042.286670676534</v>
      </c>
      <c r="Q54" s="4">
        <f>$Q$4*'NIFTY MEMBS'!R43</f>
        <v>17434.323659356065</v>
      </c>
      <c r="R54" s="4">
        <f>$R$4*'NIFTY MEMBS'!S43</f>
        <v>18253.95300078623</v>
      </c>
      <c r="S54" s="4">
        <f>$S$4*'NIFTY MEMBS'!T43</f>
        <v>18971.823101324877</v>
      </c>
      <c r="T54" s="4">
        <f>$T$4*'NIFTY MEMBS'!U43</f>
        <v>24429.713270743465</v>
      </c>
      <c r="U54" s="4">
        <f>$U$4*'NIFTY MEMBS'!V43</f>
        <v>19810.993131213792</v>
      </c>
      <c r="V54" s="4">
        <f>$V$4*'NIFTY MEMBS'!W43</f>
        <v>18924.022178930016</v>
      </c>
      <c r="W54" s="4">
        <f>$W$4*'NIFTY MEMBS'!X43</f>
        <v>16567.088607594938</v>
      </c>
      <c r="X54" s="4">
        <f>$X$4*'NIFTY MEMBS'!Y43</f>
        <v>17706.572577336505</v>
      </c>
      <c r="Y54" s="4">
        <f>$Y$4*'NIFTY MEMBS'!Z43</f>
        <v>19497.78434268833</v>
      </c>
      <c r="Z54" s="4">
        <f>$Z$4*'NIFTY MEMBS'!AA43</f>
        <v>17179.312691391631</v>
      </c>
      <c r="AA54" s="4">
        <f>$AA$4*'NIFTY MEMBS'!AB43</f>
        <v>21536.252692031587</v>
      </c>
      <c r="AB54" s="4">
        <f>$AB$4*'NIFTY MEMBS'!AC43</f>
        <v>19613.719613719612</v>
      </c>
      <c r="AC54" s="4">
        <f>$AC$4*'NIFTY MEMBS'!AD43</f>
        <v>16510.953608247422</v>
      </c>
      <c r="AD54" s="4">
        <f>$AD$4*'NIFTY MEMBS'!AE43</f>
        <v>17311.978645311978</v>
      </c>
      <c r="AE54" s="4">
        <f>$AE$4*'NIFTY MEMBS'!AF43</f>
        <v>18837.144115644896</v>
      </c>
      <c r="AF54" s="4">
        <f>$AF$4*'NIFTY MEMBS'!AG43</f>
        <v>19210.292235263489</v>
      </c>
      <c r="AG54" s="4">
        <f>$AG$4*'NIFTY MEMBS'!AH43</f>
        <v>18832.81573498965</v>
      </c>
      <c r="AH54" s="4">
        <f>$AH$4*'NIFTY MEMBS'!AI43</f>
        <v>21004.591469823536</v>
      </c>
      <c r="AI54" s="4">
        <f>$AI$4*'NIFTY MEMBS'!AJ43</f>
        <v>20285.212812637121</v>
      </c>
      <c r="AJ54" s="4">
        <f>$AJ$4*'NIFTY MEMBS'!AK43</f>
        <v>14563.967810806373</v>
      </c>
      <c r="AK54" s="4">
        <f>$AK$4*'NIFTY MEMBS'!AL43</f>
        <v>19163.032573756729</v>
      </c>
      <c r="AL54" s="4">
        <f>$AL$4*'NIFTY MEMBS'!AM43</f>
        <v>20205.514502691745</v>
      </c>
      <c r="AM54" s="4">
        <f>$AM$4*'NIFTY MEMBS'!AN43</f>
        <v>13597.243935738996</v>
      </c>
      <c r="AN54" s="4">
        <f>$AN$4*'NIFTY MEMBS'!AO43</f>
        <v>20990.431305341328</v>
      </c>
      <c r="AO54" s="4">
        <f>$AO$4*'NIFTY MEMBS'!AP43</f>
        <v>20038.885288399219</v>
      </c>
      <c r="AP54" s="4">
        <f>$AP$4*'NIFTY MEMBS'!AQ43</f>
        <v>21315.456615228941</v>
      </c>
      <c r="AQ54" s="4">
        <f>$AQ$4*'NIFTY MEMBS'!AR43</f>
        <v>18643.073040467178</v>
      </c>
      <c r="AR54" s="4">
        <f>$AR$4*'NIFTY MEMBS'!AS43</f>
        <v>18849.650120986204</v>
      </c>
      <c r="AS54" s="4">
        <f>$AS$4*'NIFTY MEMBS'!AT43</f>
        <v>16785.600401647294</v>
      </c>
      <c r="AT54" s="4">
        <f>$AT$4*'NIFTY MEMBS'!AU43</f>
        <v>20790.433933496646</v>
      </c>
      <c r="AU54" s="4">
        <f>$AU$4*'NIFTY MEMBS'!AV43</f>
        <v>21905.900249918504</v>
      </c>
      <c r="AV54" s="4">
        <f>$AV$4*'NIFTY MEMBS'!AW43</f>
        <v>16443.389335281227</v>
      </c>
      <c r="AW54" s="4">
        <f>$AW$4*'NIFTY MEMBS'!AX43</f>
        <v>17969.577114725107</v>
      </c>
      <c r="AX54" s="4">
        <f>$AX$4*'NIFTY MEMBS'!AY43</f>
        <v>21594.800907778012</v>
      </c>
      <c r="AY54" s="4">
        <f t="shared" si="8"/>
        <v>935510.50857854891</v>
      </c>
      <c r="AZ54" s="4">
        <f t="shared" si="9"/>
        <v>95.460255977402952</v>
      </c>
    </row>
    <row r="55" spans="1:52" ht="14.25" customHeight="1" x14ac:dyDescent="0.3">
      <c r="A55" s="2">
        <v>45716</v>
      </c>
      <c r="B55" s="4">
        <f>$B$4*'NIFTY MEMBS'!C44</f>
        <v>19653.63357215967</v>
      </c>
      <c r="C55" s="4">
        <f>$C$4*'NIFTY MEMBS'!D44</f>
        <v>19435.033319123158</v>
      </c>
      <c r="D55" s="4">
        <f>$D$4*'NIFTY MEMBS'!E44</f>
        <v>19680.391050949427</v>
      </c>
      <c r="E55" s="4">
        <f>$E$4*'NIFTY MEMBS'!F44</f>
        <v>16940.02358691291</v>
      </c>
      <c r="F55" s="4">
        <f>$F$4*'NIFTY MEMBS'!G44</f>
        <v>18760.565574728313</v>
      </c>
      <c r="G55" s="4">
        <f>$G$4*'NIFTY MEMBS'!H44</f>
        <v>17367.624810892583</v>
      </c>
      <c r="H55" s="4">
        <f>$H$4*'NIFTY MEMBS'!I44</f>
        <v>17930.411686586984</v>
      </c>
      <c r="I55" s="4">
        <f>$I$4*'NIFTY MEMBS'!J44</f>
        <v>18864.389991817752</v>
      </c>
      <c r="J55" s="4">
        <f>$J$4*'NIFTY MEMBS'!K44</f>
        <v>24599.656828111256</v>
      </c>
      <c r="K55" s="4">
        <f>$K$4*'NIFTY MEMBS'!L44</f>
        <v>17255.690009173912</v>
      </c>
      <c r="L55" s="4">
        <f>$L$4*'NIFTY MEMBS'!M44</f>
        <v>17253.442399454667</v>
      </c>
      <c r="M55" s="4">
        <f>$M$4*'NIFTY MEMBS'!N44</f>
        <v>21316.078263429783</v>
      </c>
      <c r="N55" s="4">
        <f>$N$4*'NIFTY MEMBS'!O44</f>
        <v>16775.470473718364</v>
      </c>
      <c r="O55" s="4">
        <f>$O$4*'NIFTY MEMBS'!P44</f>
        <v>21281.033325877877</v>
      </c>
      <c r="P55" s="4">
        <f>$P$4*'NIFTY MEMBS'!Q44</f>
        <v>16475.849263840581</v>
      </c>
      <c r="Q55" s="4">
        <f>$Q$4*'NIFTY MEMBS'!R44</f>
        <v>16860.234397735388</v>
      </c>
      <c r="R55" s="4">
        <f>$R$4*'NIFTY MEMBS'!S44</f>
        <v>17696.252293177251</v>
      </c>
      <c r="S55" s="4">
        <f>$S$4*'NIFTY MEMBS'!T44</f>
        <v>18950.363873857063</v>
      </c>
      <c r="T55" s="4">
        <f>$T$4*'NIFTY MEMBS'!U44</f>
        <v>23754.123318954578</v>
      </c>
      <c r="U55" s="4">
        <f>$U$4*'NIFTY MEMBS'!V44</f>
        <v>18914.516649507506</v>
      </c>
      <c r="V55" s="4">
        <f>$V$4*'NIFTY MEMBS'!W44</f>
        <v>18669.264199010941</v>
      </c>
      <c r="W55" s="4">
        <f>$W$4*'NIFTY MEMBS'!X44</f>
        <v>16065.099457504522</v>
      </c>
      <c r="X55" s="4">
        <f>$X$4*'NIFTY MEMBS'!Y44</f>
        <v>17549.848198900469</v>
      </c>
      <c r="Y55" s="4">
        <f>$Y$4*'NIFTY MEMBS'!Z44</f>
        <v>19012.449883941761</v>
      </c>
      <c r="Z55" s="4">
        <f>$Z$4*'NIFTY MEMBS'!AA44</f>
        <v>16757.400476352504</v>
      </c>
      <c r="AA55" s="4">
        <f>$AA$4*'NIFTY MEMBS'!AB44</f>
        <v>20999.50300955326</v>
      </c>
      <c r="AB55" s="4">
        <f>$AB$4*'NIFTY MEMBS'!AC44</f>
        <v>18491.508491508488</v>
      </c>
      <c r="AC55" s="4">
        <f>$AC$4*'NIFTY MEMBS'!AD44</f>
        <v>16163.015463917527</v>
      </c>
      <c r="AD55" s="4">
        <f>$AD$4*'NIFTY MEMBS'!AE44</f>
        <v>16567.233900567233</v>
      </c>
      <c r="AE55" s="4">
        <f>$AE$4*'NIFTY MEMBS'!AF44</f>
        <v>18083.301394077032</v>
      </c>
      <c r="AF55" s="4">
        <f>$AF$4*'NIFTY MEMBS'!AG44</f>
        <v>18916.104397630876</v>
      </c>
      <c r="AG55" s="4">
        <f>$AG$4*'NIFTY MEMBS'!AH44</f>
        <v>19117.494824016565</v>
      </c>
      <c r="AH55" s="4">
        <f>$AH$4*'NIFTY MEMBS'!AI44</f>
        <v>20188.084306024233</v>
      </c>
      <c r="AI55" s="4">
        <f>$AI$4*'NIFTY MEMBS'!AJ44</f>
        <v>20067.280971186188</v>
      </c>
      <c r="AJ55" s="4">
        <f>$AJ$4*'NIFTY MEMBS'!AK44</f>
        <v>13638.364263425852</v>
      </c>
      <c r="AK55" s="4">
        <f>$AK$4*'NIFTY MEMBS'!AL44</f>
        <v>18890.32205228999</v>
      </c>
      <c r="AL55" s="4">
        <f>$AL$4*'NIFTY MEMBS'!AM44</f>
        <v>19542.709761938877</v>
      </c>
      <c r="AM55" s="4">
        <f>$AM$4*'NIFTY MEMBS'!AN44</f>
        <v>13728.114543615284</v>
      </c>
      <c r="AN55" s="4">
        <f>$AN$4*'NIFTY MEMBS'!AO44</f>
        <v>20429.877177949154</v>
      </c>
      <c r="AO55" s="4">
        <f>$AO$4*'NIFTY MEMBS'!AP44</f>
        <v>19718.081659105635</v>
      </c>
      <c r="AP55" s="4">
        <f>$AP$4*'NIFTY MEMBS'!AQ44</f>
        <v>21396.407791550719</v>
      </c>
      <c r="AQ55" s="4">
        <f>$AQ$4*'NIFTY MEMBS'!AR44</f>
        <v>17464.565542741439</v>
      </c>
      <c r="AR55" s="4">
        <f>$AR$4*'NIFTY MEMBS'!AS44</f>
        <v>18409.521941011051</v>
      </c>
      <c r="AS55" s="4">
        <f>$AS$4*'NIFTY MEMBS'!AT44</f>
        <v>16425.746134483998</v>
      </c>
      <c r="AT55" s="4">
        <f>$AT$4*'NIFTY MEMBS'!AU44</f>
        <v>21150.189299847527</v>
      </c>
      <c r="AU55" s="4">
        <f>$AU$4*'NIFTY MEMBS'!AV44</f>
        <v>20943.170705204826</v>
      </c>
      <c r="AV55" s="4">
        <f>$AV$4*'NIFTY MEMBS'!AW44</f>
        <v>16311.176040905772</v>
      </c>
      <c r="AW55" s="4">
        <f>$AW$4*'NIFTY MEMBS'!AX44</f>
        <v>17594.608481604071</v>
      </c>
      <c r="AX55" s="4">
        <f>$AX$4*'NIFTY MEMBS'!AY44</f>
        <v>20427.068289663712</v>
      </c>
      <c r="AY55" s="4">
        <f t="shared" si="8"/>
        <v>912482.29734953854</v>
      </c>
      <c r="AZ55" s="4">
        <f t="shared" si="9"/>
        <v>93.110438505054944</v>
      </c>
    </row>
    <row r="56" spans="1:52" ht="14.25" customHeight="1" x14ac:dyDescent="0.3">
      <c r="A56" s="2">
        <v>45719</v>
      </c>
      <c r="B56" s="4">
        <f>$B$4*'NIFTY MEMBS'!C45</f>
        <v>19181.166837256907</v>
      </c>
      <c r="C56" s="4">
        <f>$C$4*'NIFTY MEMBS'!D45</f>
        <v>19089.052929166013</v>
      </c>
      <c r="D56" s="4">
        <f>$D$4*'NIFTY MEMBS'!E45</f>
        <v>20001.25336842765</v>
      </c>
      <c r="E56" s="4">
        <f>$E$4*'NIFTY MEMBS'!F45</f>
        <v>16987.683740835757</v>
      </c>
      <c r="F56" s="4">
        <f>$F$4*'NIFTY MEMBS'!G45</f>
        <v>18793.284773886964</v>
      </c>
      <c r="G56" s="4">
        <f>$G$4*'NIFTY MEMBS'!H45</f>
        <v>17531.517902168427</v>
      </c>
      <c r="H56" s="4">
        <f>$H$4*'NIFTY MEMBS'!I45</f>
        <v>18152.456839309427</v>
      </c>
      <c r="I56" s="4">
        <f>$I$4*'NIFTY MEMBS'!J45</f>
        <v>18748.977218896689</v>
      </c>
      <c r="J56" s="4">
        <f>$J$4*'NIFTY MEMBS'!K45</f>
        <v>24880.827073089844</v>
      </c>
      <c r="K56" s="4">
        <f>$K$4*'NIFTY MEMBS'!L45</f>
        <v>17362.71897252195</v>
      </c>
      <c r="L56" s="4">
        <f>$L$4*'NIFTY MEMBS'!M45</f>
        <v>17435.855487389232</v>
      </c>
      <c r="M56" s="4">
        <f>$M$4*'NIFTY MEMBS'!N45</f>
        <v>21012.285538395656</v>
      </c>
      <c r="N56" s="4">
        <f>$N$4*'NIFTY MEMBS'!O45</f>
        <v>16949.383517196624</v>
      </c>
      <c r="O56" s="4">
        <f>$O$4*'NIFTY MEMBS'!P45</f>
        <v>21411.317378662487</v>
      </c>
      <c r="P56" s="4">
        <f>$P$4*'NIFTY MEMBS'!Q45</f>
        <v>16448.128873663016</v>
      </c>
      <c r="Q56" s="4">
        <f>$Q$4*'NIFTY MEMBS'!R45</f>
        <v>16773.988729860575</v>
      </c>
      <c r="R56" s="4">
        <f>$R$4*'NIFTY MEMBS'!S45</f>
        <v>18067.266532715992</v>
      </c>
      <c r="S56" s="4">
        <f>$S$4*'NIFTY MEMBS'!T45</f>
        <v>18795.484232132862</v>
      </c>
      <c r="T56" s="4">
        <f>$T$4*'NIFTY MEMBS'!U45</f>
        <v>23325.932504440494</v>
      </c>
      <c r="U56" s="4">
        <f>$U$4*'NIFTY MEMBS'!V45</f>
        <v>18943.712832490743</v>
      </c>
      <c r="V56" s="4">
        <f>$V$4*'NIFTY MEMBS'!W45</f>
        <v>18846.096208601826</v>
      </c>
      <c r="W56" s="4">
        <f>$W$4*'NIFTY MEMBS'!X45</f>
        <v>16067.992766726944</v>
      </c>
      <c r="X56" s="4">
        <f>$X$4*'NIFTY MEMBS'!Y45</f>
        <v>17281.529498646094</v>
      </c>
      <c r="Y56" s="4">
        <f>$Y$4*'NIFTY MEMBS'!Z45</f>
        <v>19002.321164802703</v>
      </c>
      <c r="Z56" s="4">
        <f>$Z$4*'NIFTY MEMBS'!AA45</f>
        <v>17515.481456277648</v>
      </c>
      <c r="AA56" s="4">
        <f>$AA$4*'NIFTY MEMBS'!AB45</f>
        <v>21559.445579546082</v>
      </c>
      <c r="AB56" s="4">
        <f>$AB$4*'NIFTY MEMBS'!AC45</f>
        <v>18884.448884448884</v>
      </c>
      <c r="AC56" s="4">
        <f>$AC$4*'NIFTY MEMBS'!AD45</f>
        <v>16269.329896907218</v>
      </c>
      <c r="AD56" s="4">
        <f>$AD$4*'NIFTY MEMBS'!AE45</f>
        <v>16580.580580580579</v>
      </c>
      <c r="AE56" s="4">
        <f>$AE$4*'NIFTY MEMBS'!AF45</f>
        <v>17652.893696620922</v>
      </c>
      <c r="AF56" s="4">
        <f>$AF$4*'NIFTY MEMBS'!AG45</f>
        <v>18800.251665111839</v>
      </c>
      <c r="AG56" s="4">
        <f>$AG$4*'NIFTY MEMBS'!AH45</f>
        <v>18651.656314699794</v>
      </c>
      <c r="AH56" s="4">
        <f>$AH$4*'NIFTY MEMBS'!AI45</f>
        <v>20150.467444819387</v>
      </c>
      <c r="AI56" s="4">
        <f>$AI$4*'NIFTY MEMBS'!AJ45</f>
        <v>20267.661254936374</v>
      </c>
      <c r="AJ56" s="4">
        <f>$AJ$4*'NIFTY MEMBS'!AK45</f>
        <v>13198.883232057809</v>
      </c>
      <c r="AK56" s="4">
        <f>$AK$4*'NIFTY MEMBS'!AL45</f>
        <v>19470.139016849906</v>
      </c>
      <c r="AL56" s="4">
        <f>$AL$4*'NIFTY MEMBS'!AM45</f>
        <v>20087.200376640125</v>
      </c>
      <c r="AM56" s="4">
        <f>$AM$4*'NIFTY MEMBS'!AN45</f>
        <v>13997.920218447804</v>
      </c>
      <c r="AN56" s="4">
        <f>$AN$4*'NIFTY MEMBS'!AO45</f>
        <v>20115.681233933159</v>
      </c>
      <c r="AO56" s="4">
        <f>$AO$4*'NIFTY MEMBS'!AP45</f>
        <v>20025.923525599479</v>
      </c>
      <c r="AP56" s="4">
        <f>$AP$4*'NIFTY MEMBS'!AQ45</f>
        <v>21470.61303651235</v>
      </c>
      <c r="AQ56" s="4">
        <f>$AQ$4*'NIFTY MEMBS'!AR45</f>
        <v>17525.603779675439</v>
      </c>
      <c r="AR56" s="4">
        <f>$AR$4*'NIFTY MEMBS'!AS45</f>
        <v>18410.175920476097</v>
      </c>
      <c r="AS56" s="4">
        <f>$AS$4*'NIFTY MEMBS'!AT45</f>
        <v>16745.978438596136</v>
      </c>
      <c r="AT56" s="4">
        <f>$AT$4*'NIFTY MEMBS'!AU45</f>
        <v>21287.238963219294</v>
      </c>
      <c r="AU56" s="4">
        <f>$AU$4*'NIFTY MEMBS'!AV45</f>
        <v>20730.196674997285</v>
      </c>
      <c r="AV56" s="4">
        <f>$AV$4*'NIFTY MEMBS'!AW45</f>
        <v>16356.464572680788</v>
      </c>
      <c r="AW56" s="4">
        <f>$AW$4*'NIFTY MEMBS'!AX45</f>
        <v>17353.949836892229</v>
      </c>
      <c r="AX56" s="4">
        <f>$AX$4*'NIFTY MEMBS'!AY45</f>
        <v>20301.217247782137</v>
      </c>
      <c r="AY56" s="4">
        <f t="shared" si="8"/>
        <v>914499.63776959386</v>
      </c>
      <c r="AZ56" s="4">
        <f t="shared" si="9"/>
        <v>93.316289568325899</v>
      </c>
    </row>
    <row r="57" spans="1:52" ht="14.25" customHeight="1" x14ac:dyDescent="0.3">
      <c r="A57" s="2">
        <v>45720</v>
      </c>
      <c r="B57" s="4">
        <f>$B$4*'NIFTY MEMBS'!C46</f>
        <v>19028.04503582395</v>
      </c>
      <c r="C57" s="4">
        <f>$C$4*'NIFTY MEMBS'!D46</f>
        <v>19183.737575444819</v>
      </c>
      <c r="D57" s="4">
        <f>$D$4*'NIFTY MEMBS'!E46</f>
        <v>19744.939524973364</v>
      </c>
      <c r="E57" s="4">
        <f>$E$4*'NIFTY MEMBS'!F46</f>
        <v>17177.351700324627</v>
      </c>
      <c r="F57" s="4">
        <f>$F$4*'NIFTY MEMBS'!G46</f>
        <v>18858.72317220426</v>
      </c>
      <c r="G57" s="4">
        <f>$G$4*'NIFTY MEMBS'!H46</f>
        <v>18054.715078164394</v>
      </c>
      <c r="H57" s="4">
        <f>$H$4*'NIFTY MEMBS'!I46</f>
        <v>17936.786188579015</v>
      </c>
      <c r="I57" s="4">
        <f>$I$4*'NIFTY MEMBS'!J46</f>
        <v>18581.025795616039</v>
      </c>
      <c r="J57" s="4">
        <f>$J$4*'NIFTY MEMBS'!K46</f>
        <v>24759.995962683661</v>
      </c>
      <c r="K57" s="4">
        <f>$K$4*'NIFTY MEMBS'!L46</f>
        <v>17249.137215499541</v>
      </c>
      <c r="L57" s="4">
        <f>$L$4*'NIFTY MEMBS'!M46</f>
        <v>17521.472392638036</v>
      </c>
      <c r="M57" s="4">
        <f>$M$4*'NIFTY MEMBS'!N46</f>
        <v>20727.942685331407</v>
      </c>
      <c r="N57" s="4">
        <f>$N$4*'NIFTY MEMBS'!O46</f>
        <v>16958.792991563918</v>
      </c>
      <c r="O57" s="4">
        <f>$O$4*'NIFTY MEMBS'!P46</f>
        <v>21335.271751286062</v>
      </c>
      <c r="P57" s="4">
        <f>$P$4*'NIFTY MEMBS'!Q46</f>
        <v>16062.135516096132</v>
      </c>
      <c r="Q57" s="4">
        <f>$Q$4*'NIFTY MEMBS'!R46</f>
        <v>16577.158125876344</v>
      </c>
      <c r="R57" s="4">
        <f>$R$4*'NIFTY MEMBS'!S46</f>
        <v>18118.458984886871</v>
      </c>
      <c r="S57" s="4">
        <f>$S$4*'NIFTY MEMBS'!T46</f>
        <v>18693.786154133235</v>
      </c>
      <c r="T57" s="4">
        <f>$T$4*'NIFTY MEMBS'!U46</f>
        <v>22713.778228875919</v>
      </c>
      <c r="U57" s="4">
        <f>$U$4*'NIFTY MEMBS'!V46</f>
        <v>18737.802910398452</v>
      </c>
      <c r="V57" s="4">
        <f>$V$4*'NIFTY MEMBS'!W46</f>
        <v>18807.133223437733</v>
      </c>
      <c r="W57" s="4">
        <f>$W$4*'NIFTY MEMBS'!X46</f>
        <v>16463.65280289331</v>
      </c>
      <c r="X57" s="4">
        <f>$X$4*'NIFTY MEMBS'!Y46</f>
        <v>17361.94305407401</v>
      </c>
      <c r="Y57" s="4">
        <f>$Y$4*'NIFTY MEMBS'!Z46</f>
        <v>19139.902933108249</v>
      </c>
      <c r="Z57" s="4">
        <f>$Z$4*'NIFTY MEMBS'!AA46</f>
        <v>18013.610071452877</v>
      </c>
      <c r="AA57" s="4">
        <f>$AA$4*'NIFTY MEMBS'!AB46</f>
        <v>21516.37307416202</v>
      </c>
      <c r="AB57" s="4">
        <f>$AB$4*'NIFTY MEMBS'!AC46</f>
        <v>18648.018648018646</v>
      </c>
      <c r="AC57" s="4">
        <f>$AC$4*'NIFTY MEMBS'!AD46</f>
        <v>16365.9793814433</v>
      </c>
      <c r="AD57" s="4">
        <f>$AD$4*'NIFTY MEMBS'!AE46</f>
        <v>16528.528528528528</v>
      </c>
      <c r="AE57" s="4">
        <f>$AE$4*'NIFTY MEMBS'!AF46</f>
        <v>16779.950918420465</v>
      </c>
      <c r="AF57" s="4">
        <f>$AF$4*'NIFTY MEMBS'!AG46</f>
        <v>18502.592584557307</v>
      </c>
      <c r="AG57" s="4">
        <f>$AG$4*'NIFTY MEMBS'!AH46</f>
        <v>18832.81573498965</v>
      </c>
      <c r="AH57" s="4">
        <f>$AH$4*'NIFTY MEMBS'!AI46</f>
        <v>19790.341317696522</v>
      </c>
      <c r="AI57" s="4">
        <f>$AI$4*'NIFTY MEMBS'!AJ46</f>
        <v>20380.283750182829</v>
      </c>
      <c r="AJ57" s="4">
        <f>$AJ$4*'NIFTY MEMBS'!AK46</f>
        <v>13557.56281819675</v>
      </c>
      <c r="AK57" s="4">
        <f>$AK$4*'NIFTY MEMBS'!AL46</f>
        <v>19610.998505415311</v>
      </c>
      <c r="AL57" s="4">
        <f>$AL$4*'NIFTY MEMBS'!AM46</f>
        <v>19712.607209383252</v>
      </c>
      <c r="AM57" s="4">
        <f>$AM$4*'NIFTY MEMBS'!AN46</f>
        <v>14147.60789751063</v>
      </c>
      <c r="AN57" s="4">
        <f>$AN$4*'NIFTY MEMBS'!AO46</f>
        <v>19895.744073121961</v>
      </c>
      <c r="AO57" s="4">
        <f>$AO$4*'NIFTY MEMBS'!AP46</f>
        <v>19977.316915100451</v>
      </c>
      <c r="AP57" s="4">
        <f>$AP$4*'NIFTY MEMBS'!AQ46</f>
        <v>21642.634286196135</v>
      </c>
      <c r="AQ57" s="4">
        <f>$AQ$4*'NIFTY MEMBS'!AR46</f>
        <v>17469.260791736364</v>
      </c>
      <c r="AR57" s="4">
        <f>$AR$4*'NIFTY MEMBS'!AS46</f>
        <v>18334.968281995945</v>
      </c>
      <c r="AS57" s="4">
        <f>$AS$4*'NIFTY MEMBS'!AT46</f>
        <v>16793.606209250098</v>
      </c>
      <c r="AT57" s="4">
        <f>$AT$4*'NIFTY MEMBS'!AU46</f>
        <v>21684.68298699741</v>
      </c>
      <c r="AU57" s="4">
        <f>$AU$4*'NIFTY MEMBS'!AV46</f>
        <v>20744.322503531457</v>
      </c>
      <c r="AV57" s="4">
        <f>$AV$4*'NIFTY MEMBS'!AW46</f>
        <v>16364.499634769907</v>
      </c>
      <c r="AW57" s="4">
        <f>$AW$4*'NIFTY MEMBS'!AX46</f>
        <v>16799.980881140436</v>
      </c>
      <c r="AX57" s="4">
        <f>$AX$4*'NIFTY MEMBS'!AY46</f>
        <v>20375.489993810606</v>
      </c>
      <c r="AY57" s="4">
        <f t="shared" si="8"/>
        <v>912263.46600152215</v>
      </c>
      <c r="AZ57" s="4">
        <f t="shared" si="9"/>
        <v>93.088108775665518</v>
      </c>
    </row>
    <row r="58" spans="1:52" ht="14.25" customHeight="1" x14ac:dyDescent="0.3">
      <c r="A58" s="2">
        <v>45721</v>
      </c>
      <c r="B58" s="4">
        <f>$B$4*'NIFTY MEMBS'!C47</f>
        <v>19252.405322415554</v>
      </c>
      <c r="C58" s="4">
        <f>$C$4*'NIFTY MEMBS'!D47</f>
        <v>18959.366375732014</v>
      </c>
      <c r="D58" s="4">
        <f>$D$4*'NIFTY MEMBS'!E47</f>
        <v>20282.634580434918</v>
      </c>
      <c r="E58" s="4">
        <f>$E$4*'NIFTY MEMBS'!F47</f>
        <v>17250.300915512653</v>
      </c>
      <c r="F58" s="4">
        <f>$F$4*'NIFTY MEMBS'!G47</f>
        <v>18941.30019865228</v>
      </c>
      <c r="G58" s="4">
        <f>$G$4*'NIFTY MEMBS'!H47</f>
        <v>18415.279878971254</v>
      </c>
      <c r="H58" s="4">
        <f>$H$4*'NIFTY MEMBS'!I47</f>
        <v>18183.266932270915</v>
      </c>
      <c r="I58" s="4">
        <f>$I$4*'NIFTY MEMBS'!J47</f>
        <v>18693.85470048663</v>
      </c>
      <c r="J58" s="4">
        <f>$J$4*'NIFTY MEMBS'!K47</f>
        <v>23931.769353885196</v>
      </c>
      <c r="K58" s="4">
        <f>$K$4*'NIFTY MEMBS'!L47</f>
        <v>17694.727185356689</v>
      </c>
      <c r="L58" s="4">
        <f>$L$4*'NIFTY MEMBS'!M47</f>
        <v>17666.802999318337</v>
      </c>
      <c r="M58" s="4">
        <f>$M$4*'NIFTY MEMBS'!N47</f>
        <v>20729.905516447634</v>
      </c>
      <c r="N58" s="4">
        <f>$N$4*'NIFTY MEMBS'!O47</f>
        <v>17693.705386112913</v>
      </c>
      <c r="O58" s="4">
        <f>$O$4*'NIFTY MEMBS'!P47</f>
        <v>21618.206217848354</v>
      </c>
      <c r="P58" s="4">
        <f>$P$4*'NIFTY MEMBS'!Q47</f>
        <v>16453.882162190435</v>
      </c>
      <c r="Q58" s="4">
        <f>$Q$4*'NIFTY MEMBS'!R47</f>
        <v>16745.945659938094</v>
      </c>
      <c r="R58" s="4">
        <f>$R$4*'NIFTY MEMBS'!S47</f>
        <v>18282.86887394077</v>
      </c>
      <c r="S58" s="4">
        <f>$S$4*'NIFTY MEMBS'!T47</f>
        <v>18929.83765627916</v>
      </c>
      <c r="T58" s="4">
        <f>$T$4*'NIFTY MEMBS'!U47</f>
        <v>22859.680284191829</v>
      </c>
      <c r="U58" s="4">
        <f>$U$4*'NIFTY MEMBS'!V47</f>
        <v>18971.679702506266</v>
      </c>
      <c r="V58" s="4">
        <f>$V$4*'NIFTY MEMBS'!W47</f>
        <v>19553.424246965384</v>
      </c>
      <c r="W58" s="4">
        <f>$W$4*'NIFTY MEMBS'!X47</f>
        <v>16420.97649186257</v>
      </c>
      <c r="X58" s="4">
        <f>$X$4*'NIFTY MEMBS'!Y47</f>
        <v>18260.441454008367</v>
      </c>
      <c r="Y58" s="4">
        <f>$Y$4*'NIFTY MEMBS'!Z47</f>
        <v>19323.907997467821</v>
      </c>
      <c r="Z58" s="4">
        <f>$Z$4*'NIFTY MEMBS'!AA47</f>
        <v>18708.404219122156</v>
      </c>
      <c r="AA58" s="4">
        <f>$AA$4*'NIFTY MEMBS'!AB47</f>
        <v>22148.103153128279</v>
      </c>
      <c r="AB58" s="4">
        <f>$AB$4*'NIFTY MEMBS'!AC47</f>
        <v>18987.678987678988</v>
      </c>
      <c r="AC58" s="4">
        <f>$AC$4*'NIFTY MEMBS'!AD47</f>
        <v>17036.082474226805</v>
      </c>
      <c r="AD58" s="4">
        <f>$AD$4*'NIFTY MEMBS'!AE47</f>
        <v>17105.105105105104</v>
      </c>
      <c r="AE58" s="4">
        <f>$AE$4*'NIFTY MEMBS'!AF47</f>
        <v>16979.02305918964</v>
      </c>
      <c r="AF58" s="4">
        <f>$AF$4*'NIFTY MEMBS'!AG47</f>
        <v>18780.725923676044</v>
      </c>
      <c r="AG58" s="4">
        <f>$AG$4*'NIFTY MEMBS'!AH47</f>
        <v>19060.559006211181</v>
      </c>
      <c r="AH58" s="4">
        <f>$AH$4*'NIFTY MEMBS'!AI47</f>
        <v>20255.94217329572</v>
      </c>
      <c r="AI58" s="4">
        <f>$AI$4*'NIFTY MEMBS'!AJ47</f>
        <v>21369.021500658182</v>
      </c>
      <c r="AJ58" s="4">
        <f>$AJ$4*'NIFTY MEMBS'!AK47</f>
        <v>14261.783544095912</v>
      </c>
      <c r="AK58" s="4">
        <f>$AK$4*'NIFTY MEMBS'!AL47</f>
        <v>19586.429989967855</v>
      </c>
      <c r="AL58" s="4">
        <f>$AL$4*'NIFTY MEMBS'!AM47</f>
        <v>20421.673182813745</v>
      </c>
      <c r="AM58" s="4">
        <f>$AM$4*'NIFTY MEMBS'!AN47</f>
        <v>14448.398073018727</v>
      </c>
      <c r="AN58" s="4">
        <f>$AN$4*'NIFTY MEMBS'!AO47</f>
        <v>20289.91716652385</v>
      </c>
      <c r="AO58" s="4">
        <f>$AO$4*'NIFTY MEMBS'!AP47</f>
        <v>20129.617627997406</v>
      </c>
      <c r="AP58" s="4">
        <f>$AP$4*'NIFTY MEMBS'!AQ47</f>
        <v>22172.189897967786</v>
      </c>
      <c r="AQ58" s="4">
        <f>$AQ$4*'NIFTY MEMBS'!AR47</f>
        <v>18054.406197728673</v>
      </c>
      <c r="AR58" s="4">
        <f>$AR$4*'NIFTY MEMBS'!AS47</f>
        <v>18569.746909947029</v>
      </c>
      <c r="AS58" s="4">
        <f>$AS$4*'NIFTY MEMBS'!AT47</f>
        <v>16864.844327749619</v>
      </c>
      <c r="AT58" s="4">
        <f>$AT$4*'NIFTY MEMBS'!AU47</f>
        <v>21629.863121648705</v>
      </c>
      <c r="AU58" s="4">
        <f>$AU$4*'NIFTY MEMBS'!AV47</f>
        <v>20793.219602303598</v>
      </c>
      <c r="AV58" s="4">
        <f>$AV$4*'NIFTY MEMBS'!AW47</f>
        <v>16455.807158509862</v>
      </c>
      <c r="AW58" s="4">
        <f>$AW$4*'NIFTY MEMBS'!AX47</f>
        <v>17153.201811511943</v>
      </c>
      <c r="AX58" s="4">
        <f>$AX$4*'NIFTY MEMBS'!AY47</f>
        <v>20050.546729936046</v>
      </c>
      <c r="AY58" s="4">
        <f t="shared" si="8"/>
        <v>926428.46103680902</v>
      </c>
      <c r="AZ58" s="4">
        <f t="shared" si="9"/>
        <v>94.533516432327446</v>
      </c>
    </row>
    <row r="59" spans="1:52" ht="14.25" customHeight="1" x14ac:dyDescent="0.3">
      <c r="A59" s="2">
        <v>45722</v>
      </c>
      <c r="B59" s="4">
        <f>$B$4*'NIFTY MEMBS'!C48</f>
        <v>19809.211873080858</v>
      </c>
      <c r="C59" s="4">
        <f>$C$4*'NIFTY MEMBS'!D48</f>
        <v>18972.828647714781</v>
      </c>
      <c r="D59" s="4">
        <f>$D$4*'NIFTY MEMBS'!E48</f>
        <v>20391.050949426586</v>
      </c>
      <c r="E59" s="4">
        <f>$E$4*'NIFTY MEMBS'!F48</f>
        <v>17515.592894746442</v>
      </c>
      <c r="F59" s="4">
        <f>$F$4*'NIFTY MEMBS'!G48</f>
        <v>18977.914540567908</v>
      </c>
      <c r="G59" s="4">
        <f>$G$4*'NIFTY MEMBS'!H48</f>
        <v>18458.144225920321</v>
      </c>
      <c r="H59" s="4">
        <f>$H$4*'NIFTY MEMBS'!I48</f>
        <v>18229.482071713144</v>
      </c>
      <c r="I59" s="4">
        <f>$I$4*'NIFTY MEMBS'!J48</f>
        <v>19111.580035312865</v>
      </c>
      <c r="J59" s="4">
        <f>$J$4*'NIFTY MEMBS'!K48</f>
        <v>24255.331420414401</v>
      </c>
      <c r="K59" s="4">
        <f>$K$4*'NIFTY MEMBS'!L48</f>
        <v>17723.122624612293</v>
      </c>
      <c r="L59" s="4">
        <f>$L$4*'NIFTY MEMBS'!M48</f>
        <v>17777.232447171096</v>
      </c>
      <c r="M59" s="4">
        <f>$M$4*'NIFTY MEMBS'!N48</f>
        <v>20817.429940312089</v>
      </c>
      <c r="N59" s="4">
        <f>$N$4*'NIFTY MEMBS'!O48</f>
        <v>17796.236210253082</v>
      </c>
      <c r="O59" s="4">
        <f>$O$4*'NIFTY MEMBS'!P48</f>
        <v>21490.717960187874</v>
      </c>
      <c r="P59" s="4">
        <f>$P$4*'NIFTY MEMBS'!Q48</f>
        <v>16584.638719631788</v>
      </c>
      <c r="Q59" s="4">
        <f>$Q$4*'NIFTY MEMBS'!R48</f>
        <v>17079.816926373711</v>
      </c>
      <c r="R59" s="4">
        <f>$R$4*'NIFTY MEMBS'!S48</f>
        <v>18334.061326111645</v>
      </c>
      <c r="S59" s="4">
        <f>$S$4*'NIFTY MEMBS'!T48</f>
        <v>19296.510543011755</v>
      </c>
      <c r="T59" s="4">
        <f>$T$4*'NIFTY MEMBS'!U48</f>
        <v>23413.47373763004</v>
      </c>
      <c r="U59" s="4">
        <f>$U$4*'NIFTY MEMBS'!V48</f>
        <v>19184.043517679056</v>
      </c>
      <c r="V59" s="4">
        <f>$V$4*'NIFTY MEMBS'!W48</f>
        <v>20254.757979919075</v>
      </c>
      <c r="W59" s="4">
        <f>$W$4*'NIFTY MEMBS'!X48</f>
        <v>16305.96745027125</v>
      </c>
      <c r="X59" s="4">
        <f>$X$4*'NIFTY MEMBS'!Y48</f>
        <v>18646.098301468777</v>
      </c>
      <c r="Y59" s="4">
        <f>$Y$4*'NIFTY MEMBS'!Z48</f>
        <v>19632.833931209116</v>
      </c>
      <c r="Z59" s="4">
        <f>$Z$4*'NIFTY MEMBS'!AA48</f>
        <v>18574.345015311334</v>
      </c>
      <c r="AA59" s="4">
        <f>$AA$4*'NIFTY MEMBS'!AB48</f>
        <v>22333.646253244242</v>
      </c>
      <c r="AB59" s="4">
        <f>$AB$4*'NIFTY MEMBS'!AC48</f>
        <v>19040.959040959038</v>
      </c>
      <c r="AC59" s="4">
        <f>$AC$4*'NIFTY MEMBS'!AD48</f>
        <v>17181.056701030928</v>
      </c>
      <c r="AD59" s="4">
        <f>$AD$4*'NIFTY MEMBS'!AE48</f>
        <v>17074.407741074407</v>
      </c>
      <c r="AE59" s="4">
        <f>$AE$4*'NIFTY MEMBS'!AF48</f>
        <v>17075.0124420088</v>
      </c>
      <c r="AF59" s="4">
        <f>$AF$4*'NIFTY MEMBS'!AG48</f>
        <v>19679.343935087752</v>
      </c>
      <c r="AG59" s="4">
        <f>$AG$4*'NIFTY MEMBS'!AH48</f>
        <v>19803.312629399588</v>
      </c>
      <c r="AH59" s="4">
        <f>$AH$4*'NIFTY MEMBS'!AI48</f>
        <v>20294.665412771294</v>
      </c>
      <c r="AI59" s="4">
        <f>$AI$4*'NIFTY MEMBS'!AJ48</f>
        <v>22003.802837501826</v>
      </c>
      <c r="AJ59" s="4">
        <f>$AJ$4*'NIFTY MEMBS'!AK48</f>
        <v>14448.349482673675</v>
      </c>
      <c r="AK59" s="4">
        <f>$AK$4*'NIFTY MEMBS'!AL48</f>
        <v>19602.809000266159</v>
      </c>
      <c r="AL59" s="4">
        <f>$AL$4*'NIFTY MEMBS'!AM48</f>
        <v>20856.037500255865</v>
      </c>
      <c r="AM59" s="4">
        <f>$AM$4*'NIFTY MEMBS'!AN48</f>
        <v>14344.833440623652</v>
      </c>
      <c r="AN59" s="4">
        <f>$AN$4*'NIFTY MEMBS'!AO48</f>
        <v>20298.486146815194</v>
      </c>
      <c r="AO59" s="4">
        <f>$AO$4*'NIFTY MEMBS'!AP48</f>
        <v>20034.024627349318</v>
      </c>
      <c r="AP59" s="4">
        <f>$AP$4*'NIFTY MEMBS'!AQ48</f>
        <v>23001.939455266041</v>
      </c>
      <c r="AQ59" s="4">
        <f>$AQ$4*'NIFTY MEMBS'!AR48</f>
        <v>17647.680253543447</v>
      </c>
      <c r="AR59" s="4">
        <f>$AR$4*'NIFTY MEMBS'!AS48</f>
        <v>19119.089660584657</v>
      </c>
      <c r="AS59" s="4">
        <f>$AS$4*'NIFTY MEMBS'!AT48</f>
        <v>17026.860162965677</v>
      </c>
      <c r="AT59" s="4">
        <f>$AT$4*'NIFTY MEMBS'!AU48</f>
        <v>22076.987648399085</v>
      </c>
      <c r="AU59" s="4">
        <f>$AU$4*'NIFTY MEMBS'!AV48</f>
        <v>20822.557861566882</v>
      </c>
      <c r="AV59" s="4">
        <f>$AV$4*'NIFTY MEMBS'!AW48</f>
        <v>16655.953250547846</v>
      </c>
      <c r="AW59" s="4">
        <f>$AW$4*'NIFTY MEMBS'!AX48</f>
        <v>17439.984704912349</v>
      </c>
      <c r="AX59" s="4">
        <f>$AX$4*'NIFTY MEMBS'!AY48</f>
        <v>20047.452032184861</v>
      </c>
      <c r="AY59" s="4">
        <f t="shared" si="8"/>
        <v>936541.67551108391</v>
      </c>
      <c r="AZ59" s="4">
        <f t="shared" si="9"/>
        <v>95.56547709296774</v>
      </c>
    </row>
    <row r="60" spans="1:52" ht="14.25" customHeight="1" x14ac:dyDescent="0.3">
      <c r="A60" s="2">
        <v>45723</v>
      </c>
      <c r="B60" s="4">
        <f>$B$4*'NIFTY MEMBS'!C49</f>
        <v>20467.553735926303</v>
      </c>
      <c r="C60" s="4">
        <f>$C$4*'NIFTY MEMBS'!D49</f>
        <v>18950.840270142926</v>
      </c>
      <c r="D60" s="4">
        <f>$D$4*'NIFTY MEMBS'!E49</f>
        <v>20438.678949677258</v>
      </c>
      <c r="E60" s="4">
        <f>$E$4*'NIFTY MEMBS'!F49</f>
        <v>17562.280392466779</v>
      </c>
      <c r="F60" s="4">
        <f>$F$4*'NIFTY MEMBS'!G49</f>
        <v>18923.382541970161</v>
      </c>
      <c r="G60" s="4">
        <f>$G$4*'NIFTY MEMBS'!H49</f>
        <v>18475.794251134641</v>
      </c>
      <c r="H60" s="4">
        <f>$H$4*'NIFTY MEMBS'!I49</f>
        <v>17912.350597609562</v>
      </c>
      <c r="I60" s="4">
        <f>$I$4*'NIFTY MEMBS'!J49</f>
        <v>18987.554368890233</v>
      </c>
      <c r="J60" s="4">
        <f>$J$4*'NIFTY MEMBS'!K49</f>
        <v>24236.875117154268</v>
      </c>
      <c r="K60" s="4">
        <f>$K$4*'NIFTY MEMBS'!L49</f>
        <v>17644.489100519851</v>
      </c>
      <c r="L60" s="4">
        <f>$L$4*'NIFTY MEMBS'!M49</f>
        <v>17694.342194955691</v>
      </c>
      <c r="M60" s="4">
        <f>$M$4*'NIFTY MEMBS'!N49</f>
        <v>20813.415058483446</v>
      </c>
      <c r="N60" s="4">
        <f>$N$4*'NIFTY MEMBS'!O49</f>
        <v>17701.817001946787</v>
      </c>
      <c r="O60" s="4">
        <f>$O$4*'NIFTY MEMBS'!P49</f>
        <v>21643.927532990383</v>
      </c>
      <c r="P60" s="4">
        <f>$P$4*'NIFTY MEMBS'!Q49</f>
        <v>16296.974293260808</v>
      </c>
      <c r="Q60" s="4">
        <f>$Q$4*'NIFTY MEMBS'!R49</f>
        <v>17030.080160850815</v>
      </c>
      <c r="R60" s="4">
        <f>$R$4*'NIFTY MEMBS'!S49</f>
        <v>18489.385865292214</v>
      </c>
      <c r="S60" s="4">
        <f>$S$4*'NIFTY MEMBS'!T49</f>
        <v>19362.754245195003</v>
      </c>
      <c r="T60" s="4">
        <f>$T$4*'NIFTY MEMBS'!U49</f>
        <v>23411.570667343312</v>
      </c>
      <c r="U60" s="4">
        <f>$U$4*'NIFTY MEMBS'!V49</f>
        <v>18927.424435668516</v>
      </c>
      <c r="V60" s="4">
        <f>$V$4*'NIFTY MEMBS'!W49</f>
        <v>19754.233478195714</v>
      </c>
      <c r="W60" s="4">
        <f>$W$4*'NIFTY MEMBS'!X49</f>
        <v>15683.905967450273</v>
      </c>
      <c r="X60" s="4">
        <f>$X$4*'NIFTY MEMBS'!Y49</f>
        <v>18782.309017805856</v>
      </c>
      <c r="Y60" s="4">
        <f>$Y$4*'NIFTY MEMBS'!Z49</f>
        <v>19657.311669128507</v>
      </c>
      <c r="Z60" s="4">
        <f>$Z$4*'NIFTY MEMBS'!AA49</f>
        <v>18849.268458659411</v>
      </c>
      <c r="AA60" s="4">
        <f>$AA$4*'NIFTY MEMBS'!AB49</f>
        <v>22334.750676459218</v>
      </c>
      <c r="AB60" s="4">
        <f>$AB$4*'NIFTY MEMBS'!AC49</f>
        <v>18967.698967698969</v>
      </c>
      <c r="AC60" s="4">
        <f>$AC$4*'NIFTY MEMBS'!AD49</f>
        <v>16965.206185567011</v>
      </c>
      <c r="AD60" s="4">
        <f>$AD$4*'NIFTY MEMBS'!AE49</f>
        <v>17305.305305305305</v>
      </c>
      <c r="AE60" s="4">
        <f>$AE$4*'NIFTY MEMBS'!AF49</f>
        <v>17332.433313693076</v>
      </c>
      <c r="AF60" s="4">
        <f>$AF$4*'NIFTY MEMBS'!AG49</f>
        <v>19699.303581888787</v>
      </c>
      <c r="AG60" s="4">
        <f>$AG$4*'NIFTY MEMBS'!AH49</f>
        <v>19702.38095238095</v>
      </c>
      <c r="AH60" s="4">
        <f>$AH$4*'NIFTY MEMBS'!AI49</f>
        <v>20638.011469454745</v>
      </c>
      <c r="AI60" s="4">
        <f>$AI$4*'NIFTY MEMBS'!AJ49</f>
        <v>22167.617376042122</v>
      </c>
      <c r="AJ60" s="4">
        <f>$AJ$4*'NIFTY MEMBS'!AK49</f>
        <v>14571.193956314668</v>
      </c>
      <c r="AK60" s="4">
        <f>$AK$4*'NIFTY MEMBS'!AL49</f>
        <v>19714.186270294616</v>
      </c>
      <c r="AL60" s="4">
        <f>$AL$4*'NIFTY MEMBS'!AM49</f>
        <v>20881.829160952242</v>
      </c>
      <c r="AM60" s="4">
        <f>$AM$4*'NIFTY MEMBS'!AN49</f>
        <v>14147.749379248875</v>
      </c>
      <c r="AN60" s="4">
        <f>$AN$4*'NIFTY MEMBS'!AO49</f>
        <v>20159.954298771776</v>
      </c>
      <c r="AO60" s="4">
        <f>$AO$4*'NIFTY MEMBS'!AP49</f>
        <v>20259.235255994812</v>
      </c>
      <c r="AP60" s="4">
        <f>$AP$4*'NIFTY MEMBS'!AQ49</f>
        <v>23318.998229193017</v>
      </c>
      <c r="AQ60" s="4">
        <f>$AQ$4*'NIFTY MEMBS'!AR49</f>
        <v>17517.387093934325</v>
      </c>
      <c r="AR60" s="4">
        <f>$AR$4*'NIFTY MEMBS'!AS49</f>
        <v>19075.927015891702</v>
      </c>
      <c r="AS60" s="4">
        <f>$AS$4*'NIFTY MEMBS'!AT49</f>
        <v>16869.457843995304</v>
      </c>
      <c r="AT60" s="4">
        <f>$AT$4*'NIFTY MEMBS'!AU49</f>
        <v>21614.445034519384</v>
      </c>
      <c r="AU60" s="4">
        <f>$AU$4*'NIFTY MEMBS'!AV49</f>
        <v>20907.312832771921</v>
      </c>
      <c r="AV60" s="4">
        <f>$AV$4*'NIFTY MEMBS'!AW49</f>
        <v>16555.880204528854</v>
      </c>
      <c r="AW60" s="4">
        <f>$AW$4*'NIFTY MEMBS'!AX49</f>
        <v>17457.908635749875</v>
      </c>
      <c r="AX60" s="4">
        <f>$AX$4*'NIFTY MEMBS'!AY49</f>
        <v>19326.387456158449</v>
      </c>
      <c r="AY60" s="4">
        <f t="shared" si="8"/>
        <v>935189.07986952865</v>
      </c>
      <c r="AZ60" s="4">
        <f t="shared" si="9"/>
        <v>95.42745712954374</v>
      </c>
    </row>
    <row r="61" spans="1:52" ht="14.25" customHeight="1" x14ac:dyDescent="0.3">
      <c r="A61" s="2">
        <v>45726</v>
      </c>
      <c r="B61" s="4">
        <f>$B$4*'NIFTY MEMBS'!C50</f>
        <v>20280.859774820881</v>
      </c>
      <c r="C61" s="4">
        <f>$C$4*'NIFTY MEMBS'!D50</f>
        <v>18931.31997576791</v>
      </c>
      <c r="D61" s="4">
        <f>$D$4*'NIFTY MEMBS'!E50</f>
        <v>20441.812370746382</v>
      </c>
      <c r="E61" s="4">
        <f>$E$4*'NIFTY MEMBS'!F50</f>
        <v>17457.476686646645</v>
      </c>
      <c r="F61" s="4">
        <f>$F$4*'NIFTY MEMBS'!G50</f>
        <v>18928.05671327854</v>
      </c>
      <c r="G61" s="4">
        <f>$G$4*'NIFTY MEMBS'!H50</f>
        <v>18378.719112455874</v>
      </c>
      <c r="H61" s="4">
        <f>$H$4*'NIFTY MEMBS'!I50</f>
        <v>18076.494023904383</v>
      </c>
      <c r="I61" s="4">
        <f>$I$4*'NIFTY MEMBS'!J50</f>
        <v>19359.631368158134</v>
      </c>
      <c r="J61" s="4">
        <f>$J$4*'NIFTY MEMBS'!K50</f>
        <v>24058.368059060169</v>
      </c>
      <c r="K61" s="4">
        <f>$K$4*'NIFTY MEMBS'!L50</f>
        <v>17692.542920798565</v>
      </c>
      <c r="L61" s="4">
        <f>$L$4*'NIFTY MEMBS'!M50</f>
        <v>17328.970688479891</v>
      </c>
      <c r="M61" s="4">
        <f>$M$4*'NIFTY MEMBS'!N50</f>
        <v>20674.054049231374</v>
      </c>
      <c r="N61" s="4">
        <f>$N$4*'NIFTY MEMBS'!O50</f>
        <v>17537.962362102531</v>
      </c>
      <c r="O61" s="4">
        <f>$O$4*'NIFTY MEMBS'!P50</f>
        <v>21491.2771192127</v>
      </c>
      <c r="P61" s="4">
        <f>$P$4*'NIFTY MEMBS'!Q50</f>
        <v>16206.490755511388</v>
      </c>
      <c r="Q61" s="4">
        <f>$Q$4*'NIFTY MEMBS'!R50</f>
        <v>17053.361200031744</v>
      </c>
      <c r="R61" s="4">
        <f>$R$4*'NIFTY MEMBS'!S50</f>
        <v>18380.53638507906</v>
      </c>
      <c r="S61" s="4">
        <f>$S$4*'NIFTY MEMBS'!T50</f>
        <v>19329.165889158423</v>
      </c>
      <c r="T61" s="4">
        <f>$T$4*'NIFTY MEMBS'!U50</f>
        <v>23348.769347881247</v>
      </c>
      <c r="U61" s="4">
        <f>$U$4*'NIFTY MEMBS'!V50</f>
        <v>18604.422453401359</v>
      </c>
      <c r="V61" s="4">
        <f>$V$4*'NIFTY MEMBS'!W50</f>
        <v>19745.242020080921</v>
      </c>
      <c r="W61" s="4">
        <f>$W$4*'NIFTY MEMBS'!X50</f>
        <v>15282.459312839061</v>
      </c>
      <c r="X61" s="4">
        <f>$X$4*'NIFTY MEMBS'!Y50</f>
        <v>18756.051530319193</v>
      </c>
      <c r="Y61" s="4">
        <f>$Y$4*'NIFTY MEMBS'!Z50</f>
        <v>18838.573538721252</v>
      </c>
      <c r="Z61" s="4">
        <f>$Z$4*'NIFTY MEMBS'!AA50</f>
        <v>18532.153793807418</v>
      </c>
      <c r="AA61" s="4">
        <f>$AA$4*'NIFTY MEMBS'!AB50</f>
        <v>22386.658567563089</v>
      </c>
      <c r="AB61" s="4">
        <f>$AB$4*'NIFTY MEMBS'!AC50</f>
        <v>18707.958707958707</v>
      </c>
      <c r="AC61" s="4">
        <f>$AC$4*'NIFTY MEMBS'!AD50</f>
        <v>17480.670103092787</v>
      </c>
      <c r="AD61" s="4">
        <f>$AD$4*'NIFTY MEMBS'!AE50</f>
        <v>17301.301301301301</v>
      </c>
      <c r="AE61" s="4">
        <f>$AE$4*'NIFTY MEMBS'!AF50</f>
        <v>16894.589013277196</v>
      </c>
      <c r="AF61" s="4">
        <f>$AF$4*'NIFTY MEMBS'!AG50</f>
        <v>19773.935304710041</v>
      </c>
      <c r="AG61" s="4">
        <f>$AG$4*'NIFTY MEMBS'!AH50</f>
        <v>19417.701863354036</v>
      </c>
      <c r="AH61" s="4">
        <f>$AH$4*'NIFTY MEMBS'!AI50</f>
        <v>20729.840865925398</v>
      </c>
      <c r="AI61" s="4">
        <f>$AI$4*'NIFTY MEMBS'!AJ50</f>
        <v>22093.023255813954</v>
      </c>
      <c r="AJ61" s="4">
        <f>$AJ$4*'NIFTY MEMBS'!AK50</f>
        <v>14222.368204959766</v>
      </c>
      <c r="AK61" s="4">
        <f>$AK$4*'NIFTY MEMBS'!AL50</f>
        <v>19523.37080031939</v>
      </c>
      <c r="AL61" s="4">
        <f>$AL$4*'NIFTY MEMBS'!AM50</f>
        <v>20430.88449020531</v>
      </c>
      <c r="AM61" s="4">
        <f>$AM$4*'NIFTY MEMBS'!AN50</f>
        <v>13581.397981055596</v>
      </c>
      <c r="AN61" s="4">
        <f>$AN$4*'NIFTY MEMBS'!AO50</f>
        <v>20272.065124250214</v>
      </c>
      <c r="AO61" s="4">
        <f>$AO$4*'NIFTY MEMBS'!AP50</f>
        <v>20281.918340894357</v>
      </c>
      <c r="AP61" s="4">
        <f>$AP$4*'NIFTY MEMBS'!AQ50</f>
        <v>23244.792984231382</v>
      </c>
      <c r="AQ61" s="4">
        <f>$AQ$4*'NIFTY MEMBS'!AR50</f>
        <v>17452.827420254129</v>
      </c>
      <c r="AR61" s="4">
        <f>$AR$4*'NIFTY MEMBS'!AS50</f>
        <v>19132.169249885555</v>
      </c>
      <c r="AS61" s="4">
        <f>$AS$4*'NIFTY MEMBS'!AT50</f>
        <v>16688.987943796517</v>
      </c>
      <c r="AT61" s="4">
        <f>$AT$4*'NIFTY MEMBS'!AU50</f>
        <v>21434.56735134394</v>
      </c>
      <c r="AU61" s="4">
        <f>$AU$4*'NIFTY MEMBS'!AV50</f>
        <v>20804.085624252963</v>
      </c>
      <c r="AV61" s="4">
        <f>$AV$4*'NIFTY MEMBS'!AW50</f>
        <v>16365.230094959827</v>
      </c>
      <c r="AW61" s="4">
        <f>$AW$4*'NIFTY MEMBS'!AX50</f>
        <v>17125.0014936609</v>
      </c>
      <c r="AX61" s="4">
        <f>$AX$4*'NIFTY MEMBS'!AY50</f>
        <v>18578.502166288428</v>
      </c>
      <c r="AY61" s="4">
        <f t="shared" si="8"/>
        <v>928638.61970485013</v>
      </c>
      <c r="AZ61" s="4">
        <f t="shared" si="9"/>
        <v>94.759042827025525</v>
      </c>
    </row>
    <row r="62" spans="1:52" ht="14.25" customHeight="1" x14ac:dyDescent="0.3">
      <c r="A62" s="2">
        <v>45727</v>
      </c>
      <c r="B62" s="4">
        <f>$B$4*'NIFTY MEMBS'!C51</f>
        <v>20426.612077789148</v>
      </c>
      <c r="C62" s="4">
        <f>$C$4*'NIFTY MEMBS'!D51</f>
        <v>18908.88285579663</v>
      </c>
      <c r="D62" s="4">
        <f>$D$4*'NIFTY MEMBS'!E51</f>
        <v>20842.890267594161</v>
      </c>
      <c r="E62" s="4">
        <f>$E$4*'NIFTY MEMBS'!F51</f>
        <v>17387.688604116767</v>
      </c>
      <c r="F62" s="4">
        <f>$F$4*'NIFTY MEMBS'!G51</f>
        <v>19404.043158181747</v>
      </c>
      <c r="G62" s="4">
        <f>$G$4*'NIFTY MEMBS'!H51</f>
        <v>18402.67271810388</v>
      </c>
      <c r="H62" s="4">
        <f>$H$4*'NIFTY MEMBS'!I51</f>
        <v>17653.120849933595</v>
      </c>
      <c r="I62" s="4">
        <f>$I$4*'NIFTY MEMBS'!J51</f>
        <v>19094.354248309719</v>
      </c>
      <c r="J62" s="4">
        <f>$J$4*'NIFTY MEMBS'!K51</f>
        <v>24052.023704814499</v>
      </c>
      <c r="K62" s="4">
        <f>$K$4*'NIFTY MEMBS'!L51</f>
        <v>17744.965270193523</v>
      </c>
      <c r="L62" s="4">
        <f>$L$4*'NIFTY MEMBS'!M51</f>
        <v>17425.766871165644</v>
      </c>
      <c r="M62" s="4">
        <f>$M$4*'NIFTY MEMBS'!N51</f>
        <v>20782.723517393362</v>
      </c>
      <c r="N62" s="4">
        <f>$N$4*'NIFTY MEMBS'!O51</f>
        <v>17168.072680077868</v>
      </c>
      <c r="O62" s="4">
        <f>$O$4*'NIFTY MEMBS'!P51</f>
        <v>21641.690896891076</v>
      </c>
      <c r="P62" s="4">
        <f>$P$4*'NIFTY MEMBS'!Q51</f>
        <v>16400.533486754361</v>
      </c>
      <c r="Q62" s="4">
        <f>$Q$4*'NIFTY MEMBS'!R51</f>
        <v>17516.865525543002</v>
      </c>
      <c r="R62" s="4">
        <f>$R$4*'NIFTY MEMBS'!S51</f>
        <v>18239.27666637547</v>
      </c>
      <c r="S62" s="4">
        <f>$S$4*'NIFTY MEMBS'!T51</f>
        <v>19138.831871617844</v>
      </c>
      <c r="T62" s="4">
        <f>$T$4*'NIFTY MEMBS'!U51</f>
        <v>22905.353971073331</v>
      </c>
      <c r="U62" s="4">
        <f>$U$4*'NIFTY MEMBS'!V51</f>
        <v>18724.895124237442</v>
      </c>
      <c r="V62" s="4">
        <f>$V$4*'NIFTY MEMBS'!W51</f>
        <v>19799.190768769669</v>
      </c>
      <c r="W62" s="4">
        <f>$W$4*'NIFTY MEMBS'!X51</f>
        <v>15050.271247739603</v>
      </c>
      <c r="X62" s="4">
        <f>$X$4*'NIFTY MEMBS'!Y51</f>
        <v>18626.405185853775</v>
      </c>
      <c r="Y62" s="4">
        <f>$Y$4*'NIFTY MEMBS'!Z51</f>
        <v>19136.526693395233</v>
      </c>
      <c r="Z62" s="4">
        <f>$Z$4*'NIFTY MEMBS'!AA51</f>
        <v>18862.198026539641</v>
      </c>
      <c r="AA62" s="4">
        <f>$AA$4*'NIFTY MEMBS'!AB51</f>
        <v>22500.414158705615</v>
      </c>
      <c r="AB62" s="4">
        <f>$AB$4*'NIFTY MEMBS'!AC51</f>
        <v>18498.168498168496</v>
      </c>
      <c r="AC62" s="4">
        <f>$AC$4*'NIFTY MEMBS'!AD51</f>
        <v>17222.938144329899</v>
      </c>
      <c r="AD62" s="4">
        <f>$AD$4*'NIFTY MEMBS'!AE51</f>
        <v>17298.631965298631</v>
      </c>
      <c r="AE62" s="4">
        <f>$AE$4*'NIFTY MEMBS'!AF51</f>
        <v>17161.277036342108</v>
      </c>
      <c r="AF62" s="4">
        <f>$AF$4*'NIFTY MEMBS'!AG51</f>
        <v>19850.302648992252</v>
      </c>
      <c r="AG62" s="4">
        <f>$AG$4*'NIFTY MEMBS'!AH51</f>
        <v>19619.565217391304</v>
      </c>
      <c r="AH62" s="4">
        <f>$AH$4*'NIFTY MEMBS'!AI51</f>
        <v>20757.500322693668</v>
      </c>
      <c r="AI62" s="4">
        <f>$AI$4*'NIFTY MEMBS'!AJ51</f>
        <v>22049.144361562088</v>
      </c>
      <c r="AJ62" s="4">
        <f>$AJ$4*'NIFTY MEMBS'!AK51</f>
        <v>14292.00197076696</v>
      </c>
      <c r="AK62" s="4">
        <f>$AK$4*'NIFTY MEMBS'!AL51</f>
        <v>19765.780152734271</v>
      </c>
      <c r="AL62" s="4">
        <f>$AL$4*'NIFTY MEMBS'!AM51</f>
        <v>20410.414918224058</v>
      </c>
      <c r="AM62" s="4">
        <f>$AM$4*'NIFTY MEMBS'!AN51</f>
        <v>14135.298986283346</v>
      </c>
      <c r="AN62" s="4">
        <f>$AN$4*'NIFTY MEMBS'!AO51</f>
        <v>20240.645529848611</v>
      </c>
      <c r="AO62" s="4">
        <f>$AO$4*'NIFTY MEMBS'!AP51</f>
        <v>20639.987038237199</v>
      </c>
      <c r="AP62" s="4">
        <f>$AP$4*'NIFTY MEMBS'!AQ51</f>
        <v>23458.976304916094</v>
      </c>
      <c r="AQ62" s="4">
        <f>$AQ$4*'NIFTY MEMBS'!AR51</f>
        <v>17363.030783226222</v>
      </c>
      <c r="AR62" s="4">
        <f>$AR$4*'NIFTY MEMBS'!AS51</f>
        <v>18909.816231770321</v>
      </c>
      <c r="AS62" s="4">
        <f>$AS$4*'NIFTY MEMBS'!AT51</f>
        <v>16648.823214128213</v>
      </c>
      <c r="AT62" s="4">
        <f>$AT$4*'NIFTY MEMBS'!AU51</f>
        <v>21867.986911757143</v>
      </c>
      <c r="AU62" s="4">
        <f>$AU$4*'NIFTY MEMBS'!AV51</f>
        <v>20859.502336194721</v>
      </c>
      <c r="AV62" s="4">
        <f>$AV$4*'NIFTY MEMBS'!AW51</f>
        <v>16313.367421475532</v>
      </c>
      <c r="AW62" s="4">
        <f>$AW$4*'NIFTY MEMBS'!AX51</f>
        <v>17449.066163203363</v>
      </c>
      <c r="AX62" s="4">
        <f>$AX$4*'NIFTY MEMBS'!AY51</f>
        <v>13533.113265937696</v>
      </c>
      <c r="AY62" s="4">
        <f t="shared" si="8"/>
        <v>926181.60987044906</v>
      </c>
      <c r="AZ62" s="4">
        <f t="shared" si="9"/>
        <v>94.508327537800923</v>
      </c>
    </row>
    <row r="63" spans="1:52" ht="14.25" customHeight="1" x14ac:dyDescent="0.3">
      <c r="A63" s="2">
        <v>45728</v>
      </c>
      <c r="B63" s="4">
        <f>$B$4*'NIFTY MEMBS'!C52</f>
        <v>20586.284544524053</v>
      </c>
      <c r="C63" s="4">
        <f>$C$4*'NIFTY MEMBS'!D52</f>
        <v>19196.751105028161</v>
      </c>
      <c r="D63" s="4">
        <f>$D$4*'NIFTY MEMBS'!E52</f>
        <v>20590.963213636645</v>
      </c>
      <c r="E63" s="4">
        <f>$E$4*'NIFTY MEMBS'!F52</f>
        <v>17051.635886150591</v>
      </c>
      <c r="F63" s="4">
        <f>$F$4*'NIFTY MEMBS'!G52</f>
        <v>19381.451330191252</v>
      </c>
      <c r="G63" s="4">
        <f>$G$4*'NIFTY MEMBS'!H52</f>
        <v>18231.215330307612</v>
      </c>
      <c r="H63" s="4">
        <f>$H$4*'NIFTY MEMBS'!I52</f>
        <v>16901.460823373171</v>
      </c>
      <c r="I63" s="4">
        <f>$I$4*'NIFTY MEMBS'!J52</f>
        <v>18887.214159596919</v>
      </c>
      <c r="J63" s="4">
        <f>$J$4*'NIFTY MEMBS'!K52</f>
        <v>24467.578907905932</v>
      </c>
      <c r="K63" s="4">
        <f>$K$4*'NIFTY MEMBS'!L52</f>
        <v>18015.814075400809</v>
      </c>
      <c r="L63" s="4">
        <f>$L$4*'NIFTY MEMBS'!M52</f>
        <v>17415.950920245399</v>
      </c>
      <c r="M63" s="4">
        <f>$M$4*'NIFTY MEMBS'!N52</f>
        <v>20770.500432715045</v>
      </c>
      <c r="N63" s="4">
        <f>$N$4*'NIFTY MEMBS'!O52</f>
        <v>17218.040233614538</v>
      </c>
      <c r="O63" s="4">
        <f>$O$4*'NIFTY MEMBS'!P52</f>
        <v>22171.21449340192</v>
      </c>
      <c r="P63" s="4">
        <f>$P$4*'NIFTY MEMBS'!Q52</f>
        <v>16115.484191532203</v>
      </c>
      <c r="Q63" s="4">
        <f>$Q$4*'NIFTY MEMBS'!R52</f>
        <v>17744.913886610753</v>
      </c>
      <c r="R63" s="4">
        <f>$R$4*'NIFTY MEMBS'!S52</f>
        <v>18381.060539879443</v>
      </c>
      <c r="S63" s="4">
        <f>$S$4*'NIFTY MEMBS'!T52</f>
        <v>18869.192013435346</v>
      </c>
      <c r="T63" s="4">
        <f>$T$4*'NIFTY MEMBS'!U52</f>
        <v>23083.608221263636</v>
      </c>
      <c r="U63" s="4">
        <f>$U$4*'NIFTY MEMBS'!V52</f>
        <v>18556.171919418535</v>
      </c>
      <c r="V63" s="4">
        <f>$V$4*'NIFTY MEMBS'!W52</f>
        <v>19790.199310654876</v>
      </c>
      <c r="W63" s="4">
        <f>$W$4*'NIFTY MEMBS'!X52</f>
        <v>14861.482820976493</v>
      </c>
      <c r="X63" s="4">
        <f>$X$4*'NIFTY MEMBS'!Y52</f>
        <v>18516.451957003363</v>
      </c>
      <c r="Y63" s="4">
        <f>$Y$4*'NIFTY MEMBS'!Z52</f>
        <v>18940.704790040094</v>
      </c>
      <c r="Z63" s="4">
        <f>$Z$4*'NIFTY MEMBS'!AA52</f>
        <v>18838.38040149711</v>
      </c>
      <c r="AA63" s="4">
        <f>$AA$4*'NIFTY MEMBS'!AB52</f>
        <v>22318.18432823458</v>
      </c>
      <c r="AB63" s="4">
        <f>$AB$4*'NIFTY MEMBS'!AC52</f>
        <v>17885.447885447884</v>
      </c>
      <c r="AC63" s="4">
        <f>$AC$4*'NIFTY MEMBS'!AD52</f>
        <v>17210.051546391755</v>
      </c>
      <c r="AD63" s="4">
        <f>$AD$4*'NIFTY MEMBS'!AE52</f>
        <v>17839.172505839171</v>
      </c>
      <c r="AE63" s="4">
        <f>$AE$4*'NIFTY MEMBS'!AF52</f>
        <v>17195.828637785951</v>
      </c>
      <c r="AF63" s="4">
        <f>$AF$4*'NIFTY MEMBS'!AG52</f>
        <v>19537.022975289088</v>
      </c>
      <c r="AG63" s="4">
        <f>$AG$4*'NIFTY MEMBS'!AH52</f>
        <v>19704.968944099379</v>
      </c>
      <c r="AH63" s="4">
        <f>$AH$4*'NIFTY MEMBS'!AI52</f>
        <v>20242.112444911585</v>
      </c>
      <c r="AI63" s="4">
        <f>$AI$4*'NIFTY MEMBS'!AJ52</f>
        <v>21983.326020184293</v>
      </c>
      <c r="AJ63" s="4">
        <f>$AJ$4*'NIFTY MEMBS'!AK52</f>
        <v>14815.569058958781</v>
      </c>
      <c r="AK63" s="4">
        <f>$AK$4*'NIFTY MEMBS'!AL52</f>
        <v>19645.803902299202</v>
      </c>
      <c r="AL63" s="4">
        <f>$AL$4*'NIFTY MEMBS'!AM52</f>
        <v>20541.010787464431</v>
      </c>
      <c r="AM63" s="4">
        <f>$AM$4*'NIFTY MEMBS'!AN52</f>
        <v>14191.608718104711</v>
      </c>
      <c r="AN63" s="4">
        <f>$AN$4*'NIFTY MEMBS'!AO52</f>
        <v>20122.822050842613</v>
      </c>
      <c r="AO63" s="4">
        <f>$AO$4*'NIFTY MEMBS'!AP52</f>
        <v>20479.585223590406</v>
      </c>
      <c r="AP63" s="4">
        <f>$AP$4*'NIFTY MEMBS'!AQ52</f>
        <v>23268.403743991905</v>
      </c>
      <c r="AQ63" s="4">
        <f>$AQ$4*'NIFTY MEMBS'!AR52</f>
        <v>16882.941573495318</v>
      </c>
      <c r="AR63" s="4">
        <f>$AR$4*'NIFTY MEMBS'!AS52</f>
        <v>19021.646720292982</v>
      </c>
      <c r="AS63" s="4">
        <f>$AS$4*'NIFTY MEMBS'!AT52</f>
        <v>16673.112020245193</v>
      </c>
      <c r="AT63" s="4">
        <f>$AT$4*'NIFTY MEMBS'!AU52</f>
        <v>21823.445771161325</v>
      </c>
      <c r="AU63" s="4">
        <f>$AU$4*'NIFTY MEMBS'!AV52</f>
        <v>20546.560904053029</v>
      </c>
      <c r="AV63" s="4">
        <f>$AV$4*'NIFTY MEMBS'!AW52</f>
        <v>16145.361577794012</v>
      </c>
      <c r="AW63" s="4">
        <f>$AW$4*'NIFTY MEMBS'!AX52</f>
        <v>17255.965681647089</v>
      </c>
      <c r="AX63" s="4">
        <f>$AX$4*'NIFTY MEMBS'!AY52</f>
        <v>14126.263668248403</v>
      </c>
      <c r="AY63" s="4">
        <f t="shared" si="8"/>
        <v>924039.94219877699</v>
      </c>
      <c r="AZ63" s="4">
        <f t="shared" si="9"/>
        <v>94.289790020283377</v>
      </c>
    </row>
    <row r="64" spans="1:52" ht="14.25" customHeight="1" x14ac:dyDescent="0.3">
      <c r="A64" s="2">
        <v>45729</v>
      </c>
      <c r="B64" s="4">
        <f>$B$4*'NIFTY MEMBS'!C53</f>
        <v>20436.438075742069</v>
      </c>
      <c r="C64" s="4">
        <f>$C$4*'NIFTY MEMBS'!D53</f>
        <v>19145.594471493638</v>
      </c>
      <c r="D64" s="4">
        <f>$D$4*'NIFTY MEMBS'!E53</f>
        <v>20461.239581374943</v>
      </c>
      <c r="E64" s="4">
        <f>$E$4*'NIFTY MEMBS'!F53</f>
        <v>17075.222799061386</v>
      </c>
      <c r="F64" s="4">
        <f>$F$4*'NIFTY MEMBS'!G53</f>
        <v>19476.492813461613</v>
      </c>
      <c r="G64" s="4">
        <f>$G$4*'NIFTY MEMBS'!H53</f>
        <v>18352.244074634393</v>
      </c>
      <c r="H64" s="4">
        <f>$H$4*'NIFTY MEMBS'!I53</f>
        <v>16784.594953519256</v>
      </c>
      <c r="I64" s="4">
        <f>$I$4*'NIFTY MEMBS'!J53</f>
        <v>18731.320787218468</v>
      </c>
      <c r="J64" s="4">
        <f>$J$4*'NIFTY MEMBS'!K53</f>
        <v>24282.72749556616</v>
      </c>
      <c r="K64" s="4">
        <f>$K$4*'NIFTY MEMBS'!L53</f>
        <v>18000.524223493951</v>
      </c>
      <c r="L64" s="4">
        <f>$L$4*'NIFTY MEMBS'!M53</f>
        <v>17381.322426721199</v>
      </c>
      <c r="M64" s="4">
        <f>$M$4*'NIFTY MEMBS'!N53</f>
        <v>20545.131732733778</v>
      </c>
      <c r="N64" s="4">
        <f>$N$4*'NIFTY MEMBS'!O53</f>
        <v>17154.445165476962</v>
      </c>
      <c r="O64" s="4">
        <f>$O$4*'NIFTY MEMBS'!P53</f>
        <v>22199.731603668079</v>
      </c>
      <c r="P64" s="4">
        <f>$P$4*'NIFTY MEMBS'!Q53</f>
        <v>16054.290122649651</v>
      </c>
      <c r="Q64" s="4">
        <f>$Q$4*'NIFTY MEMBS'!R53</f>
        <v>17814.757004153547</v>
      </c>
      <c r="R64" s="4">
        <f>$R$4*'NIFTY MEMBS'!S53</f>
        <v>18261.727963658599</v>
      </c>
      <c r="S64" s="4">
        <f>$S$4*'NIFTY MEMBS'!T53</f>
        <v>18850.531815637249</v>
      </c>
      <c r="T64" s="4">
        <f>$T$4*'NIFTY MEMBS'!U53</f>
        <v>22931.362598325297</v>
      </c>
      <c r="U64" s="4">
        <f>$U$4*'NIFTY MEMBS'!V53</f>
        <v>18502.082148839068</v>
      </c>
      <c r="V64" s="4">
        <f>$V$4*'NIFTY MEMBS'!W53</f>
        <v>19895.099655327438</v>
      </c>
      <c r="W64" s="4">
        <f>$W$4*'NIFTY MEMBS'!X53</f>
        <v>14569.981916817362</v>
      </c>
      <c r="X64" s="4">
        <f>$X$4*'NIFTY MEMBS'!Y53</f>
        <v>18367.11249692295</v>
      </c>
      <c r="Y64" s="4">
        <f>$Y$4*'NIFTY MEMBS'!Z53</f>
        <v>19027.642962650349</v>
      </c>
      <c r="Z64" s="4">
        <f>$Z$4*'NIFTY MEMBS'!AA53</f>
        <v>19058.863559033689</v>
      </c>
      <c r="AA64" s="4">
        <f>$AA$4*'NIFTY MEMBS'!AB53</f>
        <v>22114.970456678999</v>
      </c>
      <c r="AB64" s="4">
        <f>$AB$4*'NIFTY MEMBS'!AC53</f>
        <v>17582.41758241758</v>
      </c>
      <c r="AC64" s="4">
        <f>$AC$4*'NIFTY MEMBS'!AD53</f>
        <v>17245.48969072165</v>
      </c>
      <c r="AD64" s="4">
        <f>$AD$4*'NIFTY MEMBS'!AE53</f>
        <v>17497.497497497498</v>
      </c>
      <c r="AE64" s="4">
        <f>$AE$4*'NIFTY MEMBS'!AF53</f>
        <v>17172.145917590999</v>
      </c>
      <c r="AF64" s="4">
        <f>$AF$4*'NIFTY MEMBS'!AG53</f>
        <v>19363.460829193154</v>
      </c>
      <c r="AG64" s="4">
        <f>$AG$4*'NIFTY MEMBS'!AH53</f>
        <v>19580.745341614907</v>
      </c>
      <c r="AH64" s="4">
        <f>$AH$4*'NIFTY MEMBS'!AI53</f>
        <v>20209.289889546573</v>
      </c>
      <c r="AI64" s="4">
        <f>$AI$4*'NIFTY MEMBS'!AJ53</f>
        <v>22068.158549071228</v>
      </c>
      <c r="AJ64" s="4">
        <f>$AJ$4*'NIFTY MEMBS'!AK53</f>
        <v>14623.090819510595</v>
      </c>
      <c r="AK64" s="4">
        <f>$AK$4*'NIFTY MEMBS'!AL53</f>
        <v>19410.765104518556</v>
      </c>
      <c r="AL64" s="4">
        <f>$AL$4*'NIFTY MEMBS'!AM53</f>
        <v>20532.004175792681</v>
      </c>
      <c r="AM64" s="4">
        <f>$AM$4*'NIFTY MEMBS'!AN53</f>
        <v>14211.557643197204</v>
      </c>
      <c r="AN64" s="4">
        <f>$AN$4*'NIFTY MEMBS'!AO53</f>
        <v>19787.917737789201</v>
      </c>
      <c r="AO64" s="4">
        <f>$AO$4*'NIFTY MEMBS'!AP53</f>
        <v>20168.502916396625</v>
      </c>
      <c r="AP64" s="4">
        <f>$AP$4*'NIFTY MEMBS'!AQ53</f>
        <v>22846.783033982629</v>
      </c>
      <c r="AQ64" s="4">
        <f>$AQ$4*'NIFTY MEMBS'!AR53</f>
        <v>16910.526161340495</v>
      </c>
      <c r="AR64" s="4">
        <f>$AR$4*'NIFTY MEMBS'!AS53</f>
        <v>19121.051598979793</v>
      </c>
      <c r="AS64" s="4">
        <f>$AS$4*'NIFTY MEMBS'!AT53</f>
        <v>16569.714979680175</v>
      </c>
      <c r="AT64" s="4">
        <f>$AT$4*'NIFTY MEMBS'!AU53</f>
        <v>21227.279735494147</v>
      </c>
      <c r="AU64" s="4">
        <f>$AU$4*'NIFTY MEMBS'!AV53</f>
        <v>20560.686732587201</v>
      </c>
      <c r="AV64" s="4">
        <f>$AV$4*'NIFTY MEMBS'!AW53</f>
        <v>16186.267348429512</v>
      </c>
      <c r="AW64" s="4">
        <f>$AW$4*'NIFTY MEMBS'!AX53</f>
        <v>16868.330804067537</v>
      </c>
      <c r="AX64" s="4">
        <f>$AX$4*'NIFTY MEMBS'!AY53</f>
        <v>13871.466886734064</v>
      </c>
      <c r="AY64" s="4">
        <f t="shared" si="8"/>
        <v>919090.60388101405</v>
      </c>
      <c r="AZ64" s="4">
        <f t="shared" si="9"/>
        <v>93.784755498062651</v>
      </c>
    </row>
    <row r="65" spans="1:52" ht="14.25" customHeight="1" x14ac:dyDescent="0.3">
      <c r="A65" s="2">
        <v>45733</v>
      </c>
      <c r="B65" s="4">
        <f>$B$4*'NIFTY MEMBS'!C54</f>
        <v>20288.229273285564</v>
      </c>
      <c r="C65" s="4">
        <f>$C$4*'NIFTY MEMBS'!D54</f>
        <v>19188.224999439073</v>
      </c>
      <c r="D65" s="4">
        <f>$D$4*'NIFTY MEMBS'!E54</f>
        <v>20544.588581813623</v>
      </c>
      <c r="E65" s="4">
        <f>$E$4*'NIFTY MEMBS'!F54</f>
        <v>17010.297997544043</v>
      </c>
      <c r="F65" s="4">
        <f>$F$4*'NIFTY MEMBS'!G54</f>
        <v>19771.744634440853</v>
      </c>
      <c r="G65" s="4">
        <f>$G$4*'NIFTY MEMBS'!H54</f>
        <v>18233.736762481087</v>
      </c>
      <c r="H65" s="4">
        <f>$H$4*'NIFTY MEMBS'!I54</f>
        <v>16892.961487383796</v>
      </c>
      <c r="I65" s="4">
        <f>$I$4*'NIFTY MEMBS'!J54</f>
        <v>18700.745015287888</v>
      </c>
      <c r="J65" s="4">
        <f>$J$4*'NIFTY MEMBS'!K54</f>
        <v>24743.846697331046</v>
      </c>
      <c r="K65" s="4">
        <f>$K$4*'NIFTY MEMBS'!L54</f>
        <v>17821.414529727841</v>
      </c>
      <c r="L65" s="4">
        <f>$L$4*'NIFTY MEMBS'!M54</f>
        <v>17305.794137695975</v>
      </c>
      <c r="M65" s="4">
        <f>$M$4*'NIFTY MEMBS'!N54</f>
        <v>20616.328970495084</v>
      </c>
      <c r="N65" s="4">
        <f>$N$4*'NIFTY MEMBS'!O54</f>
        <v>17554.510058403634</v>
      </c>
      <c r="O65" s="4">
        <f>$O$4*'NIFTY MEMBS'!P54</f>
        <v>22289.197047640344</v>
      </c>
      <c r="P65" s="4">
        <f>$P$4*'NIFTY MEMBS'!Q54</f>
        <v>16163.07957844086</v>
      </c>
      <c r="Q65" s="4">
        <f>$Q$4*'NIFTY MEMBS'!R54</f>
        <v>18035.39776184555</v>
      </c>
      <c r="R65" s="4">
        <f>$R$4*'NIFTY MEMBS'!S54</f>
        <v>18427.710317113655</v>
      </c>
      <c r="S65" s="4">
        <f>$S$4*'NIFTY MEMBS'!T54</f>
        <v>19297.443552901663</v>
      </c>
      <c r="T65" s="4">
        <f>$T$4*'NIFTY MEMBS'!U54</f>
        <v>23745.242324283176</v>
      </c>
      <c r="U65" s="4">
        <f>$U$4*'NIFTY MEMBS'!V54</f>
        <v>18546.337415676815</v>
      </c>
      <c r="V65" s="4">
        <f>$V$4*'NIFTY MEMBS'!W54</f>
        <v>19880.113891802786</v>
      </c>
      <c r="W65" s="4">
        <f>$W$4*'NIFTY MEMBS'!X54</f>
        <v>14733.453887884269</v>
      </c>
      <c r="X65" s="4">
        <f>$X$4*'NIFTY MEMBS'!Y54</f>
        <v>18661.688684663986</v>
      </c>
      <c r="Y65" s="4">
        <f>$Y$4*'NIFTY MEMBS'!Z54</f>
        <v>19391.432791728213</v>
      </c>
      <c r="Z65" s="4">
        <f>$Z$4*'NIFTY MEMBS'!AA54</f>
        <v>19049.336509016677</v>
      </c>
      <c r="AA65" s="4">
        <f>$AA$4*'NIFTY MEMBS'!AB54</f>
        <v>22214.368546026839</v>
      </c>
      <c r="AB65" s="4">
        <f>$AB$4*'NIFTY MEMBS'!AC54</f>
        <v>17306.027306027307</v>
      </c>
      <c r="AC65" s="4">
        <f>$AC$4*'NIFTY MEMBS'!AD54</f>
        <v>17226.159793814437</v>
      </c>
      <c r="AD65" s="4">
        <f>$AD$4*'NIFTY MEMBS'!AE54</f>
        <v>17645.645645645644</v>
      </c>
      <c r="AE65" s="4">
        <f>$AE$4*'NIFTY MEMBS'!AF54</f>
        <v>17129.47125752956</v>
      </c>
      <c r="AF65" s="4">
        <f>$AF$4*'NIFTY MEMBS'!AG54</f>
        <v>19261.493068361789</v>
      </c>
      <c r="AG65" s="4">
        <f>$AG$4*'NIFTY MEMBS'!AH54</f>
        <v>19966.356107660456</v>
      </c>
      <c r="AH65" s="4">
        <f>$AH$4*'NIFTY MEMBS'!AI54</f>
        <v>20047.205472884518</v>
      </c>
      <c r="AI65" s="4">
        <f>$AI$4*'NIFTY MEMBS'!AJ54</f>
        <v>22204.183121252008</v>
      </c>
      <c r="AJ65" s="4">
        <f>$AJ$4*'NIFTY MEMBS'!AK54</f>
        <v>14420.758745278374</v>
      </c>
      <c r="AK65" s="4">
        <f>$AK$4*'NIFTY MEMBS'!AL54</f>
        <v>19649.489179616321</v>
      </c>
      <c r="AL65" s="4">
        <f>$AL$4*'NIFTY MEMBS'!AM54</f>
        <v>20675.291179661432</v>
      </c>
      <c r="AM65" s="4">
        <f>$AM$4*'NIFTY MEMBS'!AN54</f>
        <v>14599.642051202241</v>
      </c>
      <c r="AN65" s="4">
        <f>$AN$4*'NIFTY MEMBS'!AO54</f>
        <v>20483.433304770064</v>
      </c>
      <c r="AO65" s="4">
        <f>$AO$4*'NIFTY MEMBS'!AP54</f>
        <v>20408.295528191829</v>
      </c>
      <c r="AP65" s="4">
        <f>$AP$4*'NIFTY MEMBS'!AQ54</f>
        <v>22961.463867105151</v>
      </c>
      <c r="AQ65" s="4">
        <f>$AQ$4*'NIFTY MEMBS'!AR54</f>
        <v>16904.070193972475</v>
      </c>
      <c r="AR65" s="4">
        <f>$AR$4*'NIFTY MEMBS'!AS54</f>
        <v>19522.594990517297</v>
      </c>
      <c r="AS65" s="4">
        <f>$AS$4*'NIFTY MEMBS'!AT54</f>
        <v>16708.120467050674</v>
      </c>
      <c r="AT65" s="4">
        <f>$AT$4*'NIFTY MEMBS'!AU54</f>
        <v>21354.05067411303</v>
      </c>
      <c r="AU65" s="4">
        <f>$AU$4*'NIFTY MEMBS'!AV54</f>
        <v>20437.900684559383</v>
      </c>
      <c r="AV65" s="4">
        <f>$AV$4*'NIFTY MEMBS'!AW54</f>
        <v>16810.810810810814</v>
      </c>
      <c r="AW65" s="4">
        <f>$AW$4*'NIFTY MEMBS'!AX54</f>
        <v>16696.022082282791</v>
      </c>
      <c r="AX65" s="4">
        <f>$AX$4*'NIFTY MEMBS'!AY54</f>
        <v>13975.655044357336</v>
      </c>
      <c r="AY65" s="4">
        <f t="shared" si="8"/>
        <v>925501.36603101902</v>
      </c>
      <c r="AZ65" s="4">
        <f t="shared" si="9"/>
        <v>94.438914901124392</v>
      </c>
    </row>
    <row r="66" spans="1:52" ht="14.25" customHeight="1" x14ac:dyDescent="0.3">
      <c r="A66" s="2">
        <v>45734</v>
      </c>
      <c r="B66" s="4">
        <f>$B$4*'NIFTY MEMBS'!C55</f>
        <v>20287.410440122825</v>
      </c>
      <c r="C66" s="4">
        <f>$C$4*'NIFTY MEMBS'!D55</f>
        <v>19432.789607126033</v>
      </c>
      <c r="D66" s="4">
        <f>$D$4*'NIFTY MEMBS'!E55</f>
        <v>20396.064423137181</v>
      </c>
      <c r="E66" s="4">
        <f>$E$4*'NIFTY MEMBS'!F55</f>
        <v>17276.562632980338</v>
      </c>
      <c r="F66" s="4">
        <f>$F$4*'NIFTY MEMBS'!G55</f>
        <v>20408.210960931716</v>
      </c>
      <c r="G66" s="4">
        <f>$G$4*'NIFTY MEMBS'!H55</f>
        <v>18575.390821986886</v>
      </c>
      <c r="H66" s="4">
        <f>$H$4*'NIFTY MEMBS'!I55</f>
        <v>17098.007968127487</v>
      </c>
      <c r="I66" s="4">
        <f>$I$4*'NIFTY MEMBS'!J55</f>
        <v>18960.423754360279</v>
      </c>
      <c r="J66" s="4">
        <f>$J$4*'NIFTY MEMBS'!K55</f>
        <v>25038.570790016292</v>
      </c>
      <c r="K66" s="4">
        <f>$K$4*'NIFTY MEMBS'!L55</f>
        <v>17871.652614564675</v>
      </c>
      <c r="L66" s="4">
        <f>$L$4*'NIFTY MEMBS'!M55</f>
        <v>17836.128152692567</v>
      </c>
      <c r="M66" s="4">
        <f>$M$4*'NIFTY MEMBS'!N55</f>
        <v>20903.348411445091</v>
      </c>
      <c r="N66" s="4">
        <f>$N$4*'NIFTY MEMBS'!O55</f>
        <v>18114.211550940949</v>
      </c>
      <c r="O66" s="4">
        <f>$O$4*'NIFTY MEMBS'!P55</f>
        <v>22746.589129948556</v>
      </c>
      <c r="P66" s="4">
        <f>$P$4*'NIFTY MEMBS'!Q55</f>
        <v>16299.589424409634</v>
      </c>
      <c r="Q66" s="4">
        <f>$Q$4*'NIFTY MEMBS'!R55</f>
        <v>18495.72740019577</v>
      </c>
      <c r="R66" s="4">
        <f>$R$4*'NIFTY MEMBS'!S55</f>
        <v>18691.534899973791</v>
      </c>
      <c r="S66" s="4">
        <f>$S$4*'NIFTY MEMBS'!T55</f>
        <v>19504.571748460534</v>
      </c>
      <c r="T66" s="4">
        <f>$T$4*'NIFTY MEMBS'!U55</f>
        <v>23403.324029434152</v>
      </c>
      <c r="U66" s="4">
        <f>$U$4*'NIFTY MEMBS'!V55</f>
        <v>18941.86886303917</v>
      </c>
      <c r="V66" s="4">
        <f>$V$4*'NIFTY MEMBS'!W55</f>
        <v>20221.789300164844</v>
      </c>
      <c r="W66" s="4">
        <f>$W$4*'NIFTY MEMBS'!X55</f>
        <v>15782.27848101266</v>
      </c>
      <c r="X66" s="4">
        <f>$X$4*'NIFTY MEMBS'!Y55</f>
        <v>19016.985312217934</v>
      </c>
      <c r="Y66" s="4">
        <f>$Y$4*'NIFTY MEMBS'!Z55</f>
        <v>19592.319054652882</v>
      </c>
      <c r="Z66" s="4">
        <f>$Z$4*'NIFTY MEMBS'!AA55</f>
        <v>19415.447431099015</v>
      </c>
      <c r="AA66" s="4">
        <f>$AA$4*'NIFTY MEMBS'!AB55</f>
        <v>22487.161080125901</v>
      </c>
      <c r="AB66" s="4">
        <f>$AB$4*'NIFTY MEMBS'!AC55</f>
        <v>17399.267399267399</v>
      </c>
      <c r="AC66" s="4">
        <f>$AC$4*'NIFTY MEMBS'!AD55</f>
        <v>17448.453608247426</v>
      </c>
      <c r="AD66" s="4">
        <f>$AD$4*'NIFTY MEMBS'!AE55</f>
        <v>18152.819486152817</v>
      </c>
      <c r="AE66" s="4">
        <f>$AE$4*'NIFTY MEMBS'!AF55</f>
        <v>17420.871684276161</v>
      </c>
      <c r="AF66" s="4">
        <f>$AF$4*'NIFTY MEMBS'!AG55</f>
        <v>19733.582105742735</v>
      </c>
      <c r="AG66" s="4">
        <f>$AG$4*'NIFTY MEMBS'!AH55</f>
        <v>20150.103519668737</v>
      </c>
      <c r="AH66" s="4">
        <f>$AH$4*'NIFTY MEMBS'!AI55</f>
        <v>20302.594457044866</v>
      </c>
      <c r="AI66" s="4">
        <f>$AI$4*'NIFTY MEMBS'!AJ55</f>
        <v>22621.032616644727</v>
      </c>
      <c r="AJ66" s="4">
        <f>$AJ$4*'NIFTY MEMBS'!AK55</f>
        <v>14792.576777796028</v>
      </c>
      <c r="AK66" s="4">
        <f>$AK$4*'NIFTY MEMBS'!AL55</f>
        <v>19832.115144442396</v>
      </c>
      <c r="AL66" s="4">
        <f>$AL$4*'NIFTY MEMBS'!AM55</f>
        <v>20991.136675332116</v>
      </c>
      <c r="AM66" s="4">
        <f>$AM$4*'NIFTY MEMBS'!AN55</f>
        <v>14884.586272026938</v>
      </c>
      <c r="AN66" s="4">
        <f>$AN$4*'NIFTY MEMBS'!AO55</f>
        <v>20815.481291059696</v>
      </c>
      <c r="AO66" s="4">
        <f>$AO$4*'NIFTY MEMBS'!AP55</f>
        <v>20756.642903434862</v>
      </c>
      <c r="AP66" s="4">
        <f>$AP$4*'NIFTY MEMBS'!AQ55</f>
        <v>23538.24099839784</v>
      </c>
      <c r="AQ66" s="4">
        <f>$AQ$4*'NIFTY MEMBS'!AR55</f>
        <v>16793.144936467412</v>
      </c>
      <c r="AR66" s="4">
        <f>$AR$4*'NIFTY MEMBS'!AS55</f>
        <v>19732.522398796678</v>
      </c>
      <c r="AS66" s="4">
        <f>$AS$4*'NIFTY MEMBS'!AT55</f>
        <v>16952.772519726175</v>
      </c>
      <c r="AT66" s="4">
        <f>$AT$4*'NIFTY MEMBS'!AU55</f>
        <v>22006.749695921055</v>
      </c>
      <c r="AU66" s="4">
        <f>$AU$4*'NIFTY MEMBS'!AV55</f>
        <v>20576.985765511246</v>
      </c>
      <c r="AV66" s="4">
        <f>$AV$4*'NIFTY MEMBS'!AW55</f>
        <v>17000.73046018992</v>
      </c>
      <c r="AW66" s="4">
        <f>$AW$4*'NIFTY MEMBS'!AX55</f>
        <v>17038.010682662778</v>
      </c>
      <c r="AX66" s="4">
        <f>$AX$4*'NIFTY MEMBS'!AY55</f>
        <v>14059.211883639367</v>
      </c>
      <c r="AY66" s="4">
        <f t="shared" si="8"/>
        <v>939797.59156561643</v>
      </c>
      <c r="AZ66" s="4">
        <f t="shared" si="9"/>
        <v>95.897713425062904</v>
      </c>
    </row>
    <row r="67" spans="1:52" ht="14.25" customHeight="1" x14ac:dyDescent="0.3">
      <c r="A67" s="2">
        <v>45735</v>
      </c>
      <c r="B67" s="4">
        <f>$B$4*'NIFTY MEMBS'!C56</f>
        <v>20424.155578300921</v>
      </c>
      <c r="C67" s="4">
        <f>$C$4*'NIFTY MEMBS'!D56</f>
        <v>19566.290470955148</v>
      </c>
      <c r="D67" s="4">
        <f>$D$4*'NIFTY MEMBS'!E56</f>
        <v>20519.521213260639</v>
      </c>
      <c r="E67" s="4">
        <f>$E$4*'NIFTY MEMBS'!F56</f>
        <v>17007.380028936521</v>
      </c>
      <c r="F67" s="4">
        <f>$F$4*'NIFTY MEMBS'!G56</f>
        <v>20458.847816772482</v>
      </c>
      <c r="G67" s="4">
        <f>$G$4*'NIFTY MEMBS'!H56</f>
        <v>18787.191124558747</v>
      </c>
      <c r="H67" s="4">
        <f>$H$4*'NIFTY MEMBS'!I56</f>
        <v>16855.776892430276</v>
      </c>
      <c r="I67" s="4">
        <f>$I$4*'NIFTY MEMBS'!J56</f>
        <v>18948.796348133157</v>
      </c>
      <c r="J67" s="4">
        <f>$J$4*'NIFTY MEMBS'!K56</f>
        <v>25180.165241590126</v>
      </c>
      <c r="K67" s="4">
        <f>$K$4*'NIFTY MEMBS'!L56</f>
        <v>17607.35660303176</v>
      </c>
      <c r="L67" s="4">
        <f>$L$4*'NIFTY MEMBS'!M56</f>
        <v>18102.522154055896</v>
      </c>
      <c r="M67" s="4">
        <f>$M$4*'NIFTY MEMBS'!N56</f>
        <v>20726.693610984716</v>
      </c>
      <c r="N67" s="4">
        <f>$N$4*'NIFTY MEMBS'!O56</f>
        <v>18099.286177806618</v>
      </c>
      <c r="O67" s="4">
        <f>$O$4*'NIFTY MEMBS'!P56</f>
        <v>22607.358532766717</v>
      </c>
      <c r="P67" s="4">
        <f>$P$4*'NIFTY MEMBS'!Q56</f>
        <v>16155.757211224143</v>
      </c>
      <c r="Q67" s="4">
        <f>$Q$4*'NIFTY MEMBS'!R56</f>
        <v>18332.231011402415</v>
      </c>
      <c r="R67" s="4">
        <f>$R$4*'NIFTY MEMBS'!S56</f>
        <v>19102.384904341747</v>
      </c>
      <c r="S67" s="4">
        <f>$S$4*'NIFTY MEMBS'!T56</f>
        <v>19631.461093487593</v>
      </c>
      <c r="T67" s="4">
        <f>$T$4*'NIFTY MEMBS'!U56</f>
        <v>23372.874904846485</v>
      </c>
      <c r="U67" s="4">
        <f>$U$4*'NIFTY MEMBS'!V56</f>
        <v>18908.677412910863</v>
      </c>
      <c r="V67" s="4">
        <f>$V$4*'NIFTY MEMBS'!W56</f>
        <v>20458.564363854341</v>
      </c>
      <c r="W67" s="4">
        <f>$W$4*'NIFTY MEMBS'!X56</f>
        <v>16168.535262206149</v>
      </c>
      <c r="X67" s="4">
        <f>$X$4*'NIFTY MEMBS'!Y56</f>
        <v>19258.225978501679</v>
      </c>
      <c r="Y67" s="4">
        <f>$Y$4*'NIFTY MEMBS'!Z56</f>
        <v>19630.301751424351</v>
      </c>
      <c r="Z67" s="4">
        <f>$Z$4*'NIFTY MEMBS'!AA56</f>
        <v>19734.603606668938</v>
      </c>
      <c r="AA67" s="4">
        <f>$AA$4*'NIFTY MEMBS'!AB56</f>
        <v>22825.114583908551</v>
      </c>
      <c r="AB67" s="4">
        <f>$AB$4*'NIFTY MEMBS'!AC56</f>
        <v>17695.637695637695</v>
      </c>
      <c r="AC67" s="4">
        <f>$AC$4*'NIFTY MEMBS'!AD56</f>
        <v>17860.824742268043</v>
      </c>
      <c r="AD67" s="4">
        <f>$AD$4*'NIFTY MEMBS'!AE56</f>
        <v>18211.544878211545</v>
      </c>
      <c r="AE67" s="4">
        <f>$AE$4*'NIFTY MEMBS'!AF56</f>
        <v>17669.025404579806</v>
      </c>
      <c r="AF67" s="4">
        <f>$AF$4*'NIFTY MEMBS'!AG56</f>
        <v>19792.159330050112</v>
      </c>
      <c r="AG67" s="4">
        <f>$AG$4*'NIFTY MEMBS'!AH56</f>
        <v>20489.130434782612</v>
      </c>
      <c r="AH67" s="4">
        <f>$AH$4*'NIFTY MEMBS'!AI56</f>
        <v>20136.084527299889</v>
      </c>
      <c r="AI67" s="4">
        <f>$AI$4*'NIFTY MEMBS'!AJ56</f>
        <v>23197.308761152548</v>
      </c>
      <c r="AJ67" s="4">
        <f>$AJ$4*'NIFTY MEMBS'!AK56</f>
        <v>15033.010346526526</v>
      </c>
      <c r="AK67" s="4">
        <f>$AK$4*'NIFTY MEMBS'!AL56</f>
        <v>20131.441557643877</v>
      </c>
      <c r="AL67" s="4">
        <f>$AL$4*'NIFTY MEMBS'!AM56</f>
        <v>20882.647943831489</v>
      </c>
      <c r="AM67" s="4">
        <f>$AM$4*'NIFTY MEMBS'!AN56</f>
        <v>14801.395009939093</v>
      </c>
      <c r="AN67" s="4">
        <f>$AN$4*'NIFTY MEMBS'!AO56</f>
        <v>21206.798057697801</v>
      </c>
      <c r="AO67" s="4">
        <f>$AO$4*'NIFTY MEMBS'!AP56</f>
        <v>21534.348671419306</v>
      </c>
      <c r="AP67" s="4">
        <f>$AP$4*'NIFTY MEMBS'!AQ56</f>
        <v>23561.851758158358</v>
      </c>
      <c r="AQ67" s="4">
        <f>$AQ$4*'NIFTY MEMBS'!AR56</f>
        <v>16388.17971065528</v>
      </c>
      <c r="AR67" s="4">
        <f>$AR$4*'NIFTY MEMBS'!AS56</f>
        <v>19608.266300438168</v>
      </c>
      <c r="AS67" s="4">
        <f>$AS$4*'NIFTY MEMBS'!AT56</f>
        <v>17443.297849965737</v>
      </c>
      <c r="AT67" s="4">
        <f>$AT$4*'NIFTY MEMBS'!AU56</f>
        <v>22885.580662292497</v>
      </c>
      <c r="AU67" s="4">
        <f>$AU$4*'NIFTY MEMBS'!AV56</f>
        <v>20642.181897207432</v>
      </c>
      <c r="AV67" s="4">
        <f>$AV$4*'NIFTY MEMBS'!AW56</f>
        <v>17123.447772096421</v>
      </c>
      <c r="AW67" s="4">
        <f>$AW$4*'NIFTY MEMBS'!AX56</f>
        <v>16905.85156595409</v>
      </c>
      <c r="AX67" s="4">
        <f>$AX$4*'NIFTY MEMBS'!AY56</f>
        <v>14291.31421497834</v>
      </c>
      <c r="AY67" s="4">
        <f t="shared" si="8"/>
        <v>945961.40297114768</v>
      </c>
      <c r="AZ67" s="4">
        <f t="shared" si="9"/>
        <v>96.526673772566085</v>
      </c>
    </row>
    <row r="68" spans="1:52" ht="14.25" customHeight="1" x14ac:dyDescent="0.3">
      <c r="A68" s="2">
        <v>45736</v>
      </c>
      <c r="B68" s="4">
        <f>$B$4*'NIFTY MEMBS'!C57</f>
        <v>20784.442169907881</v>
      </c>
      <c r="C68" s="4">
        <f>$C$4*'NIFTY MEMBS'!D57</f>
        <v>19842.940160201037</v>
      </c>
      <c r="D68" s="4">
        <f>$D$4*'NIFTY MEMBS'!E57</f>
        <v>21373.065112489814</v>
      </c>
      <c r="E68" s="4">
        <f>$E$4*'NIFTY MEMBS'!F57</f>
        <v>17328.599739814468</v>
      </c>
      <c r="F68" s="4">
        <f>$F$4*'NIFTY MEMBS'!G57</f>
        <v>20592.840727612667</v>
      </c>
      <c r="G68" s="4">
        <f>$G$4*'NIFTY MEMBS'!H57</f>
        <v>18899.394856278363</v>
      </c>
      <c r="H68" s="4">
        <f>$H$4*'NIFTY MEMBS'!I57</f>
        <v>17163.877822045153</v>
      </c>
      <c r="I68" s="4">
        <f>$I$4*'NIFTY MEMBS'!J57</f>
        <v>19313.552387924727</v>
      </c>
      <c r="J68" s="4">
        <f>$J$4*'NIFTY MEMBS'!K57</f>
        <v>25030.496157339985</v>
      </c>
      <c r="K68" s="4">
        <f>$K$4*'NIFTY MEMBS'!L57</f>
        <v>17646.673365077975</v>
      </c>
      <c r="L68" s="4">
        <f>$L$4*'NIFTY MEMBS'!M57</f>
        <v>18274.301295160192</v>
      </c>
      <c r="M68" s="4">
        <f>$M$4*'NIFTY MEMBS'!N57</f>
        <v>20931.274145053223</v>
      </c>
      <c r="N68" s="4">
        <f>$N$4*'NIFTY MEMBS'!O57</f>
        <v>18352.368591823491</v>
      </c>
      <c r="O68" s="4">
        <f>$O$4*'NIFTY MEMBS'!P57</f>
        <v>22765.041377767837</v>
      </c>
      <c r="P68" s="4">
        <f>$P$4*'NIFTY MEMBS'!Q57</f>
        <v>16339.339417871806</v>
      </c>
      <c r="Q68" s="4">
        <f>$Q$4*'NIFTY MEMBS'!R57</f>
        <v>18521.654012010898</v>
      </c>
      <c r="R68" s="4">
        <f>$R$4*'NIFTY MEMBS'!S57</f>
        <v>19128.417926094171</v>
      </c>
      <c r="S68" s="4">
        <f>$S$4*'NIFTY MEMBS'!T57</f>
        <v>19674.379548423214</v>
      </c>
      <c r="T68" s="4">
        <f>$T$4*'NIFTY MEMBS'!U57</f>
        <v>23494.671403197153</v>
      </c>
      <c r="U68" s="4">
        <f>$U$4*'NIFTY MEMBS'!V57</f>
        <v>19626.596186056518</v>
      </c>
      <c r="V68" s="4">
        <f>$V$4*'NIFTY MEMBS'!W57</f>
        <v>20485.538738198713</v>
      </c>
      <c r="W68" s="4">
        <f>$W$4*'NIFTY MEMBS'!X57</f>
        <v>16236.528028933093</v>
      </c>
      <c r="X68" s="4">
        <f>$X$4*'NIFTY MEMBS'!Y57</f>
        <v>19323.049150734387</v>
      </c>
      <c r="Y68" s="4">
        <f>$Y$4*'NIFTY MEMBS'!Z57</f>
        <v>19885.207849757335</v>
      </c>
      <c r="Z68" s="4">
        <f>$Z$4*'NIFTY MEMBS'!AA57</f>
        <v>20214.358625382789</v>
      </c>
      <c r="AA68" s="4">
        <f>$AA$4*'NIFTY MEMBS'!AB57</f>
        <v>23198.409630570433</v>
      </c>
      <c r="AB68" s="4">
        <f>$AB$4*'NIFTY MEMBS'!AC57</f>
        <v>17848.817848817849</v>
      </c>
      <c r="AC68" s="4">
        <f>$AC$4*'NIFTY MEMBS'!AD57</f>
        <v>18063.788659793816</v>
      </c>
      <c r="AD68" s="4">
        <f>$AD$4*'NIFTY MEMBS'!AE57</f>
        <v>18419.753086419751</v>
      </c>
      <c r="AE68" s="4">
        <f>$AE$4*'NIFTY MEMBS'!AF57</f>
        <v>18122.429366573044</v>
      </c>
      <c r="AF68" s="4">
        <f>$AF$4*'NIFTY MEMBS'!AG57</f>
        <v>19848.567027531291</v>
      </c>
      <c r="AG68" s="4">
        <f>$AG$4*'NIFTY MEMBS'!AH57</f>
        <v>20517.598343685298</v>
      </c>
      <c r="AH68" s="4">
        <f>$AH$4*'NIFTY MEMBS'!AI57</f>
        <v>20482.380926038615</v>
      </c>
      <c r="AI68" s="4">
        <f>$AI$4*'NIFTY MEMBS'!AJ57</f>
        <v>23261.66447272195</v>
      </c>
      <c r="AJ68" s="4">
        <f>$AJ$4*'NIFTY MEMBS'!AK57</f>
        <v>15220.233207423224</v>
      </c>
      <c r="AK68" s="4">
        <f>$AK$4*'NIFTY MEMBS'!AL57</f>
        <v>20212.927133877936</v>
      </c>
      <c r="AL68" s="4">
        <f>$AL$4*'NIFTY MEMBS'!AM57</f>
        <v>21408.511248029801</v>
      </c>
      <c r="AM68" s="4">
        <f>$AM$4*'NIFTY MEMBS'!AN57</f>
        <v>14775.079406625591</v>
      </c>
      <c r="AN68" s="4">
        <f>$AN$4*'NIFTY MEMBS'!AO57</f>
        <v>21398.886032562121</v>
      </c>
      <c r="AO68" s="4">
        <f>$AO$4*'NIFTY MEMBS'!AP57</f>
        <v>21851.911860012959</v>
      </c>
      <c r="AP68" s="4">
        <f>$AP$4*'NIFTY MEMBS'!AQ57</f>
        <v>23811.45121848385</v>
      </c>
      <c r="AQ68" s="4">
        <f>$AQ$4*'NIFTY MEMBS'!AR57</f>
        <v>16557.208674472517</v>
      </c>
      <c r="AR68" s="4">
        <f>$AR$4*'NIFTY MEMBS'!AS57</f>
        <v>19776.993002419724</v>
      </c>
      <c r="AS68" s="4">
        <f>$AS$4*'NIFTY MEMBS'!AT57</f>
        <v>17570.305238376313</v>
      </c>
      <c r="AT68" s="4">
        <f>$AT$4*'NIFTY MEMBS'!AU57</f>
        <v>22883.867541500349</v>
      </c>
      <c r="AU68" s="4">
        <f>$AU$4*'NIFTY MEMBS'!AV57</f>
        <v>20989.894599587093</v>
      </c>
      <c r="AV68" s="4">
        <f>$AV$4*'NIFTY MEMBS'!AW57</f>
        <v>17344.046749452154</v>
      </c>
      <c r="AW68" s="4">
        <f>$AW$4*'NIFTY MEMBS'!AX57</f>
        <v>17193.351416588001</v>
      </c>
      <c r="AX68" s="4">
        <f>$AX$4*'NIFTY MEMBS'!AY57</f>
        <v>14113.884877243658</v>
      </c>
      <c r="AY68" s="4">
        <f t="shared" si="8"/>
        <v>956100.57036396384</v>
      </c>
      <c r="AZ68" s="4">
        <f t="shared" si="9"/>
        <v>97.561282690200386</v>
      </c>
    </row>
    <row r="69" spans="1:52" ht="14.25" customHeight="1" x14ac:dyDescent="0.3">
      <c r="A69" s="2">
        <v>45737</v>
      </c>
      <c r="B69" s="4">
        <f>$B$4*'NIFTY MEMBS'!C58</f>
        <v>20902.354145342884</v>
      </c>
      <c r="C69" s="4">
        <f>$C$4*'NIFTY MEMBS'!D58</f>
        <v>19860.665484978348</v>
      </c>
      <c r="D69" s="4">
        <f>$D$4*'NIFTY MEMBS'!E58</f>
        <v>21630.632324371749</v>
      </c>
      <c r="E69" s="4">
        <f>$E$4*'NIFTY MEMBS'!F58</f>
        <v>17401.305790951865</v>
      </c>
      <c r="F69" s="4">
        <f>$F$4*'NIFTY MEMBS'!G58</f>
        <v>20926.264947610329</v>
      </c>
      <c r="G69" s="4">
        <f>$G$4*'NIFTY MEMBS'!H58</f>
        <v>18991.427130610187</v>
      </c>
      <c r="H69" s="4">
        <f>$H$4*'NIFTY MEMBS'!I58</f>
        <v>16919.521912350596</v>
      </c>
      <c r="I69" s="4">
        <f>$I$4*'NIFTY MEMBS'!J58</f>
        <v>19346.281383230697</v>
      </c>
      <c r="J69" s="4">
        <f>$J$4*'NIFTY MEMBS'!K58</f>
        <v>25712.225859011145</v>
      </c>
      <c r="K69" s="4">
        <f>$K$4*'NIFTY MEMBS'!L58</f>
        <v>17716.569830937922</v>
      </c>
      <c r="L69" s="4">
        <f>$L$4*'NIFTY MEMBS'!M58</f>
        <v>18628.220858895704</v>
      </c>
      <c r="M69" s="4">
        <f>$M$4*'NIFTY MEMBS'!N58</f>
        <v>20935.913564055209</v>
      </c>
      <c r="N69" s="4">
        <f>$N$4*'NIFTY MEMBS'!O58</f>
        <v>18182.024659312134</v>
      </c>
      <c r="O69" s="4">
        <f>$O$4*'NIFTY MEMBS'!P58</f>
        <v>23249.832252292548</v>
      </c>
      <c r="P69" s="4">
        <f>$P$4*'NIFTY MEMBS'!Q58</f>
        <v>16388.503883469755</v>
      </c>
      <c r="Q69" s="4">
        <f>$Q$4*'NIFTY MEMBS'!R58</f>
        <v>18884.097462895843</v>
      </c>
      <c r="R69" s="4">
        <f>$R$4*'NIFTY MEMBS'!S58</f>
        <v>19178.387350397483</v>
      </c>
      <c r="S69" s="4">
        <f>$S$4*'NIFTY MEMBS'!T58</f>
        <v>19969.210673633144</v>
      </c>
      <c r="T69" s="4">
        <f>$T$4*'NIFTY MEMBS'!U58</f>
        <v>23436.310581070793</v>
      </c>
      <c r="U69" s="4">
        <f>$U$4*'NIFTY MEMBS'!V58</f>
        <v>19439.740614963812</v>
      </c>
      <c r="V69" s="4">
        <f>$V$4*'NIFTY MEMBS'!W58</f>
        <v>21057.994904840401</v>
      </c>
      <c r="W69" s="4">
        <f>$W$4*'NIFTY MEMBS'!X58</f>
        <v>16457.142857142859</v>
      </c>
      <c r="X69" s="4">
        <f>$X$4*'NIFTY MEMBS'!Y58</f>
        <v>19509.313202592923</v>
      </c>
      <c r="Y69" s="4">
        <f>$Y$4*'NIFTY MEMBS'!Z58</f>
        <v>20461.700780755433</v>
      </c>
      <c r="Z69" s="4">
        <f>$Z$4*'NIFTY MEMBS'!AA58</f>
        <v>20125.212657366454</v>
      </c>
      <c r="AA69" s="4">
        <f>$AA$4*'NIFTY MEMBS'!AB58</f>
        <v>23385.057153901376</v>
      </c>
      <c r="AB69" s="4">
        <f>$AB$4*'NIFTY MEMBS'!AC58</f>
        <v>17602.397602397603</v>
      </c>
      <c r="AC69" s="4">
        <f>$AC$4*'NIFTY MEMBS'!AD58</f>
        <v>18240.979381443303</v>
      </c>
      <c r="AD69" s="4">
        <f>$AD$4*'NIFTY MEMBS'!AE58</f>
        <v>18764.097430764097</v>
      </c>
      <c r="AE69" s="4">
        <f>$AE$4*'NIFTY MEMBS'!AF58</f>
        <v>18460.737596604333</v>
      </c>
      <c r="AF69" s="4">
        <f>$AF$4*'NIFTY MEMBS'!AG58</f>
        <v>19963.118043954611</v>
      </c>
      <c r="AG69" s="4">
        <f>$AG$4*'NIFTY MEMBS'!AH58</f>
        <v>20983.436853002069</v>
      </c>
      <c r="AH69" s="4">
        <f>$AH$4*'NIFTY MEMBS'!AI58</f>
        <v>20918.478361084992</v>
      </c>
      <c r="AI69" s="4">
        <f>$AI$4*'NIFTY MEMBS'!AJ58</f>
        <v>23004.241626444345</v>
      </c>
      <c r="AJ69" s="4">
        <f>$AJ$4*'NIFTY MEMBS'!AK58</f>
        <v>15051.404171456728</v>
      </c>
      <c r="AK69" s="4">
        <f>$AK$4*'NIFTY MEMBS'!AL58</f>
        <v>20223.164015314374</v>
      </c>
      <c r="AL69" s="4">
        <f>$AL$4*'NIFTY MEMBS'!AM58</f>
        <v>21722.105090782548</v>
      </c>
      <c r="AM69" s="4">
        <f>$AM$4*'NIFTY MEMBS'!AN58</f>
        <v>14572.760520935761</v>
      </c>
      <c r="AN69" s="4">
        <f>$AN$4*'NIFTY MEMBS'!AO58</f>
        <v>22085.118537560695</v>
      </c>
      <c r="AO69" s="4">
        <f>$AO$4*'NIFTY MEMBS'!AP58</f>
        <v>22022.034996759558</v>
      </c>
      <c r="AP69" s="4">
        <f>$AP$4*'NIFTY MEMBS'!AQ58</f>
        <v>23453.916856395983</v>
      </c>
      <c r="AQ69" s="4">
        <f>$AQ$4*'NIFTY MEMBS'!AR58</f>
        <v>16541.949115239018</v>
      </c>
      <c r="AR69" s="4">
        <f>$AR$4*'NIFTY MEMBS'!AS58</f>
        <v>19931.332156170294</v>
      </c>
      <c r="AS69" s="4">
        <f>$AS$4*'NIFTY MEMBS'!AT58</f>
        <v>17942.643137733812</v>
      </c>
      <c r="AT69" s="4">
        <f>$AT$4*'NIFTY MEMBS'!AU58</f>
        <v>23188.803042502521</v>
      </c>
      <c r="AU69" s="4">
        <f>$AU$4*'NIFTY MEMBS'!AV58</f>
        <v>20888.840595458005</v>
      </c>
      <c r="AV69" s="4">
        <f>$AV$4*'NIFTY MEMBS'!AW58</f>
        <v>17533.235938641345</v>
      </c>
      <c r="AW69" s="4">
        <f>$AW$4*'NIFTY MEMBS'!AX58</f>
        <v>17345.585335834716</v>
      </c>
      <c r="AX69" s="4">
        <f>$AX$4*'NIFTY MEMBS'!AY58</f>
        <v>14171.652568599135</v>
      </c>
      <c r="AY69" s="4">
        <f t="shared" si="8"/>
        <v>963307.94524206151</v>
      </c>
      <c r="AZ69" s="4">
        <f t="shared" si="9"/>
        <v>98.296729106332805</v>
      </c>
    </row>
    <row r="70" spans="1:52" ht="14.25" customHeight="1" x14ac:dyDescent="0.3">
      <c r="A70" s="2">
        <v>45740</v>
      </c>
      <c r="B70" s="4">
        <f>$B$4*'NIFTY MEMBS'!C59</f>
        <v>21324.053224155577</v>
      </c>
      <c r="C70" s="4">
        <f>$C$4*'NIFTY MEMBS'!D59</f>
        <v>20193.40797415244</v>
      </c>
      <c r="D70" s="4">
        <f>$D$4*'NIFTY MEMBS'!E59</f>
        <v>21542.896534436295</v>
      </c>
      <c r="E70" s="4">
        <f>$E$4*'NIFTY MEMBS'!F59</f>
        <v>17648.603630439276</v>
      </c>
      <c r="F70" s="4">
        <f>$F$4*'NIFTY MEMBS'!G59</f>
        <v>21160.752541580649</v>
      </c>
      <c r="G70" s="4">
        <f>$G$4*'NIFTY MEMBS'!H59</f>
        <v>19687.342410489156</v>
      </c>
      <c r="H70" s="4">
        <f>$H$4*'NIFTY MEMBS'!I59</f>
        <v>16921.646746347942</v>
      </c>
      <c r="I70" s="4">
        <f>$I$4*'NIFTY MEMBS'!J59</f>
        <v>19432.410318246417</v>
      </c>
      <c r="J70" s="4">
        <f>$J$4*'NIFTY MEMBS'!K59</f>
        <v>26214.00660389601</v>
      </c>
      <c r="K70" s="4">
        <f>$K$4*'NIFTY MEMBS'!L59</f>
        <v>17950.286138657113</v>
      </c>
      <c r="L70" s="4">
        <f>$L$4*'NIFTY MEMBS'!M59</f>
        <v>18987.593728698022</v>
      </c>
      <c r="M70" s="4">
        <f>$M$4*'NIFTY MEMBS'!N59</f>
        <v>21273.966614027107</v>
      </c>
      <c r="N70" s="4">
        <f>$N$4*'NIFTY MEMBS'!O59</f>
        <v>18005.840363400388</v>
      </c>
      <c r="O70" s="4">
        <f>$O$4*'NIFTY MEMBS'!P59</f>
        <v>24336.278237530751</v>
      </c>
      <c r="P70" s="4">
        <f>$P$4*'NIFTY MEMBS'!Q59</f>
        <v>16780.250529564059</v>
      </c>
      <c r="Q70" s="4">
        <f>$Q$4*'NIFTY MEMBS'!R59</f>
        <v>18887.272150056877</v>
      </c>
      <c r="R70" s="4">
        <f>$R$4*'NIFTY MEMBS'!S59</f>
        <v>19308.465100026209</v>
      </c>
      <c r="S70" s="4">
        <f>$S$4*'NIFTY MEMBS'!T59</f>
        <v>20486.098152640418</v>
      </c>
      <c r="T70" s="4">
        <f>$T$4*'NIFTY MEMBS'!U59</f>
        <v>24031.337224054809</v>
      </c>
      <c r="U70" s="4">
        <f>$U$4*'NIFTY MEMBS'!V59</f>
        <v>18925.887794458871</v>
      </c>
      <c r="V70" s="4">
        <f>$V$4*'NIFTY MEMBS'!W59</f>
        <v>21996.103701483589</v>
      </c>
      <c r="W70" s="4">
        <f>$W$4*'NIFTY MEMBS'!X59</f>
        <v>16115.732368896928</v>
      </c>
      <c r="X70" s="4">
        <f>$X$4*'NIFTY MEMBS'!Y59</f>
        <v>19706.244358742919</v>
      </c>
      <c r="Y70" s="4">
        <f>$Y$4*'NIFTY MEMBS'!Z59</f>
        <v>20580.713230639376</v>
      </c>
      <c r="Z70" s="4">
        <f>$Z$4*'NIFTY MEMBS'!AA59</f>
        <v>20558.012929567885</v>
      </c>
      <c r="AA70" s="4">
        <f>$AA$4*'NIFTY MEMBS'!AB59</f>
        <v>23443.5915842951</v>
      </c>
      <c r="AB70" s="4">
        <f>$AB$4*'NIFTY MEMBS'!AC59</f>
        <v>17942.057942057942</v>
      </c>
      <c r="AC70" s="4">
        <f>$AC$4*'NIFTY MEMBS'!AD59</f>
        <v>18804.768041237116</v>
      </c>
      <c r="AD70" s="4">
        <f>$AD$4*'NIFTY MEMBS'!AE59</f>
        <v>19045.712379045712</v>
      </c>
      <c r="AE70" s="4">
        <f>$AE$4*'NIFTY MEMBS'!AF59</f>
        <v>18592.76590145929</v>
      </c>
      <c r="AF70" s="4">
        <f>$AF$4*'NIFTY MEMBS'!AG59</f>
        <v>20154.904215390623</v>
      </c>
      <c r="AG70" s="4">
        <f>$AG$4*'NIFTY MEMBS'!AH59</f>
        <v>21014.492753623188</v>
      </c>
      <c r="AH70" s="4">
        <f>$AH$4*'NIFTY MEMBS'!AI59</f>
        <v>20869.613320794382</v>
      </c>
      <c r="AI70" s="4">
        <f>$AI$4*'NIFTY MEMBS'!AJ59</f>
        <v>23170.981424601428</v>
      </c>
      <c r="AJ70" s="4">
        <f>$AJ$4*'NIFTY MEMBS'!AK59</f>
        <v>15285.268516997867</v>
      </c>
      <c r="AK70" s="4">
        <f>$AK$4*'NIFTY MEMBS'!AL59</f>
        <v>20581.864340847202</v>
      </c>
      <c r="AL70" s="4">
        <f>$AL$4*'NIFTY MEMBS'!AM59</f>
        <v>22206.210468139107</v>
      </c>
      <c r="AM70" s="4">
        <f>$AM$4*'NIFTY MEMBS'!AN59</f>
        <v>14302.954846103239</v>
      </c>
      <c r="AN70" s="4">
        <f>$AN$4*'NIFTY MEMBS'!AO59</f>
        <v>22419.308768923162</v>
      </c>
      <c r="AO70" s="4">
        <f>$AO$4*'NIFTY MEMBS'!AP59</f>
        <v>22031.756318859359</v>
      </c>
      <c r="AP70" s="4">
        <f>$AP$4*'NIFTY MEMBS'!AQ59</f>
        <v>23661.354245720548</v>
      </c>
      <c r="AQ70" s="4">
        <f>$AQ$4*'NIFTY MEMBS'!AR59</f>
        <v>17121.812366112041</v>
      </c>
      <c r="AR70" s="4">
        <f>$AR$4*'NIFTY MEMBS'!AS59</f>
        <v>19933.948074030475</v>
      </c>
      <c r="AS70" s="4">
        <f>$AS$4*'NIFTY MEMBS'!AT59</f>
        <v>17954.176928348021</v>
      </c>
      <c r="AT70" s="4">
        <f>$AT$4*'NIFTY MEMBS'!AU59</f>
        <v>23366.967604885816</v>
      </c>
      <c r="AU70" s="4">
        <f>$AU$4*'NIFTY MEMBS'!AV59</f>
        <v>21089.862001521244</v>
      </c>
      <c r="AV70" s="4">
        <f>$AV$4*'NIFTY MEMBS'!AW59</f>
        <v>17681.519357195033</v>
      </c>
      <c r="AW70" s="4">
        <f>$AW$4*'NIFTY MEMBS'!AX59</f>
        <v>17332.919091376196</v>
      </c>
      <c r="AX70" s="4">
        <f>$AX$4*'NIFTY MEMBS'!AY59</f>
        <v>13811.636063544463</v>
      </c>
      <c r="AY70" s="4">
        <f t="shared" si="8"/>
        <v>973875.64916129783</v>
      </c>
      <c r="AZ70" s="4">
        <f t="shared" si="9"/>
        <v>99.375066240948769</v>
      </c>
    </row>
    <row r="71" spans="1:52" ht="14.25" customHeight="1" x14ac:dyDescent="0.3">
      <c r="A71" s="2">
        <v>45741</v>
      </c>
      <c r="B71" s="4">
        <f>$B$4*'NIFTY MEMBS'!C60</f>
        <v>21051.381780962129</v>
      </c>
      <c r="C71" s="4">
        <f>$C$4*'NIFTY MEMBS'!D60</f>
        <v>20433.933900244567</v>
      </c>
      <c r="D71" s="4">
        <f>$D$4*'NIFTY MEMBS'!E60</f>
        <v>21689.540640471267</v>
      </c>
      <c r="E71" s="4">
        <f>$E$4*'NIFTY MEMBS'!F60</f>
        <v>17788.666123600287</v>
      </c>
      <c r="F71" s="4">
        <f>$F$4*'NIFTY MEMBS'!G60</f>
        <v>20935.613290227087</v>
      </c>
      <c r="G71" s="4">
        <f>$G$4*'NIFTY MEMBS'!H60</f>
        <v>19486.888552697932</v>
      </c>
      <c r="H71" s="4">
        <f>$H$4*'NIFTY MEMBS'!I60</f>
        <v>17300.929614873836</v>
      </c>
      <c r="I71" s="4">
        <f>$I$4*'NIFTY MEMBS'!J60</f>
        <v>19562.465010120155</v>
      </c>
      <c r="J71" s="4">
        <f>$J$4*'NIFTY MEMBS'!K60</f>
        <v>26147.967643793349</v>
      </c>
      <c r="K71" s="4">
        <f>$K$4*'NIFTY MEMBS'!L60</f>
        <v>17902.232318378403</v>
      </c>
      <c r="L71" s="4">
        <f>$L$4*'NIFTY MEMBS'!M60</f>
        <v>18920.790729379685</v>
      </c>
      <c r="M71" s="4">
        <f>$M$4*'NIFTY MEMBS'!N60</f>
        <v>21178.769304890127</v>
      </c>
      <c r="N71" s="4">
        <f>$N$4*'NIFTY MEMBS'!O60</f>
        <v>17754.704737183645</v>
      </c>
      <c r="O71" s="4">
        <f>$O$4*'NIFTY MEMBS'!P60</f>
        <v>24267.50167747707</v>
      </c>
      <c r="P71" s="4">
        <f>$P$4*'NIFTY MEMBS'!Q60</f>
        <v>16997.306414916708</v>
      </c>
      <c r="Q71" s="4">
        <f>$Q$4*'NIFTY MEMBS'!R60</f>
        <v>18675.097224794306</v>
      </c>
      <c r="R71" s="4">
        <f>$R$4*'NIFTY MEMBS'!S60</f>
        <v>19954.922687166945</v>
      </c>
      <c r="S71" s="4">
        <f>$S$4*'NIFTY MEMBS'!T60</f>
        <v>20872.364247061018</v>
      </c>
      <c r="T71" s="4">
        <f>$T$4*'NIFTY MEMBS'!U60</f>
        <v>24677.112408018267</v>
      </c>
      <c r="U71" s="4">
        <f>$U$4*'NIFTY MEMBS'!V60</f>
        <v>18769.765047559045</v>
      </c>
      <c r="V71" s="4">
        <f>$V$4*'NIFTY MEMBS'!W60</f>
        <v>21996.103701483589</v>
      </c>
      <c r="W71" s="4">
        <f>$W$4*'NIFTY MEMBS'!X60</f>
        <v>15176.130198915011</v>
      </c>
      <c r="X71" s="4">
        <f>$X$4*'NIFTY MEMBS'!Y60</f>
        <v>19405.103799130218</v>
      </c>
      <c r="Y71" s="4">
        <f>$Y$4*'NIFTY MEMBS'!Z60</f>
        <v>20447.3517619751</v>
      </c>
      <c r="Z71" s="4">
        <f>$Z$4*'NIFTY MEMBS'!AA60</f>
        <v>20417.148690030623</v>
      </c>
      <c r="AA71" s="4">
        <f>$AA$4*'NIFTY MEMBS'!AB60</f>
        <v>23451.322546799933</v>
      </c>
      <c r="AB71" s="4">
        <f>$AB$4*'NIFTY MEMBS'!AC60</f>
        <v>18048.618048618049</v>
      </c>
      <c r="AC71" s="4">
        <f>$AC$4*'NIFTY MEMBS'!AD60</f>
        <v>18750</v>
      </c>
      <c r="AD71" s="4">
        <f>$AD$4*'NIFTY MEMBS'!AE60</f>
        <v>18960.293626960291</v>
      </c>
      <c r="AE71" s="4">
        <f>$AE$4*'NIFTY MEMBS'!AF60</f>
        <v>18319.213321816133</v>
      </c>
      <c r="AF71" s="4">
        <f>$AF$4*'NIFTY MEMBS'!AG60</f>
        <v>20226.498600655195</v>
      </c>
      <c r="AG71" s="4">
        <f>$AG$4*'NIFTY MEMBS'!AH60</f>
        <v>20615.942028985508</v>
      </c>
      <c r="AH71" s="4">
        <f>$AH$4*'NIFTY MEMBS'!AI60</f>
        <v>20789.400896166404</v>
      </c>
      <c r="AI71" s="4">
        <f>$AI$4*'NIFTY MEMBS'!AJ60</f>
        <v>22923.79698698259</v>
      </c>
      <c r="AJ71" s="4">
        <f>$AJ$4*'NIFTY MEMBS'!AK60</f>
        <v>14946.953522745938</v>
      </c>
      <c r="AK71" s="4">
        <f>$AK$4*'NIFTY MEMBS'!AL60</f>
        <v>21042.524005486965</v>
      </c>
      <c r="AL71" s="4">
        <f>$AL$4*'NIFTY MEMBS'!AM60</f>
        <v>22235.072564632672</v>
      </c>
      <c r="AM71" s="4">
        <f>$AM$4*'NIFTY MEMBS'!AN60</f>
        <v>14671.797737707007</v>
      </c>
      <c r="AN71" s="4">
        <f>$AN$4*'NIFTY MEMBS'!AO60</f>
        <v>22239.36018280491</v>
      </c>
      <c r="AO71" s="4">
        <f>$AO$4*'NIFTY MEMBS'!AP60</f>
        <v>21811.406351263769</v>
      </c>
      <c r="AP71" s="4">
        <f>$AP$4*'NIFTY MEMBS'!AQ60</f>
        <v>23389.830508474577</v>
      </c>
      <c r="AQ71" s="4">
        <f>$AQ$4*'NIFTY MEMBS'!AR60</f>
        <v>17084.837280277021</v>
      </c>
      <c r="AR71" s="4">
        <f>$AR$4*'NIFTY MEMBS'!AS60</f>
        <v>19765.875351513965</v>
      </c>
      <c r="AS71" s="4">
        <f>$AS$4*'NIFTY MEMBS'!AT60</f>
        <v>18032.606704524638</v>
      </c>
      <c r="AT71" s="4">
        <f>$AT$4*'NIFTY MEMBS'!AU60</f>
        <v>23241.909787059085</v>
      </c>
      <c r="AU71" s="4">
        <f>$AU$4*'NIFTY MEMBS'!AV60</f>
        <v>21095.295012495928</v>
      </c>
      <c r="AV71" s="4">
        <f>$AV$4*'NIFTY MEMBS'!AW60</f>
        <v>17208.181154127102</v>
      </c>
      <c r="AW71" s="4">
        <f>$AW$4*'NIFTY MEMBS'!AX60</f>
        <v>17340.566635200208</v>
      </c>
      <c r="AX71" s="4">
        <f>$AX$4*'NIFTY MEMBS'!AY60</f>
        <v>13143.181349288219</v>
      </c>
      <c r="AY71" s="4">
        <f t="shared" si="8"/>
        <v>971144.27570993663</v>
      </c>
      <c r="AZ71" s="4">
        <f t="shared" si="9"/>
        <v>99.096354664279247</v>
      </c>
    </row>
    <row r="72" spans="1:52" ht="14.25" customHeight="1" x14ac:dyDescent="0.3">
      <c r="A72" s="2">
        <v>45742</v>
      </c>
      <c r="B72" s="4">
        <f>$B$4*'NIFTY MEMBS'!C61</f>
        <v>20848.311156601842</v>
      </c>
      <c r="C72" s="4">
        <f>$C$4*'NIFTY MEMBS'!D61</f>
        <v>20267.00172765824</v>
      </c>
      <c r="D72" s="4">
        <f>$D$4*'NIFTY MEMBS'!E61</f>
        <v>21790.436798897033</v>
      </c>
      <c r="E72" s="4">
        <f>$E$4*'NIFTY MEMBS'!F61</f>
        <v>17681.917105375142</v>
      </c>
      <c r="F72" s="4">
        <f>$F$4*'NIFTY MEMBS'!G61</f>
        <v>20814.084836209247</v>
      </c>
      <c r="G72" s="4">
        <f>$G$4*'NIFTY MEMBS'!H61</f>
        <v>19263.741805345435</v>
      </c>
      <c r="H72" s="4">
        <f>$H$4*'NIFTY MEMBS'!I61</f>
        <v>16992.828685258963</v>
      </c>
      <c r="I72" s="4">
        <f>$I$4*'NIFTY MEMBS'!J61</f>
        <v>19344.128159855303</v>
      </c>
      <c r="J72" s="4">
        <f>$J$4*'NIFTY MEMBS'!K61</f>
        <v>25567.747610052917</v>
      </c>
      <c r="K72" s="4">
        <f>$K$4*'NIFTY MEMBS'!L61</f>
        <v>17795.20335503036</v>
      </c>
      <c r="L72" s="4">
        <f>$L$4*'NIFTY MEMBS'!M61</f>
        <v>18785.548738922971</v>
      </c>
      <c r="M72" s="4">
        <f>$M$4*'NIFTY MEMBS'!N61</f>
        <v>20938.590151940974</v>
      </c>
      <c r="N72" s="4">
        <f>$N$4*'NIFTY MEMBS'!O61</f>
        <v>17795.262816353017</v>
      </c>
      <c r="O72" s="4">
        <f>$O$4*'NIFTY MEMBS'!P61</f>
        <v>23986.803847014089</v>
      </c>
      <c r="P72" s="4">
        <f>$P$4*'NIFTY MEMBS'!Q61</f>
        <v>17086.220873976832</v>
      </c>
      <c r="Q72" s="4">
        <f>$Q$4*'NIFTY MEMBS'!R61</f>
        <v>18613.719939680945</v>
      </c>
      <c r="R72" s="4">
        <f>$R$4*'NIFTY MEMBS'!S61</f>
        <v>19921.551498209137</v>
      </c>
      <c r="S72" s="4">
        <f>$S$4*'NIFTY MEMBS'!T61</f>
        <v>20456.241836163463</v>
      </c>
      <c r="T72" s="4">
        <f>$T$4*'NIFTY MEMBS'!U61</f>
        <v>24656.178634864245</v>
      </c>
      <c r="U72" s="4">
        <f>$U$4*'NIFTY MEMBS'!V61</f>
        <v>18793.121993945635</v>
      </c>
      <c r="V72" s="4">
        <f>$V$4*'NIFTY MEMBS'!W61</f>
        <v>21258.804136070732</v>
      </c>
      <c r="W72" s="4">
        <f>$W$4*'NIFTY MEMBS'!X61</f>
        <v>14704.520795660037</v>
      </c>
      <c r="X72" s="4">
        <f>$X$4*'NIFTY MEMBS'!Y61</f>
        <v>19391.154508902924</v>
      </c>
      <c r="Y72" s="4">
        <f>$Y$4*'NIFTY MEMBS'!Z61</f>
        <v>20233.804600126608</v>
      </c>
      <c r="Z72" s="4">
        <f>$Z$4*'NIFTY MEMBS'!AA61</f>
        <v>20383.804014971083</v>
      </c>
      <c r="AA72" s="4">
        <f>$AA$4*'NIFTY MEMBS'!AB61</f>
        <v>23335.358109227458</v>
      </c>
      <c r="AB72" s="4">
        <f>$AB$4*'NIFTY MEMBS'!AC61</f>
        <v>17808.857808857807</v>
      </c>
      <c r="AC72" s="4">
        <f>$AC$4*'NIFTY MEMBS'!AD61</f>
        <v>18740.335051546394</v>
      </c>
      <c r="AD72" s="4">
        <f>$AD$4*'NIFTY MEMBS'!AE61</f>
        <v>18905.57223890557</v>
      </c>
      <c r="AE72" s="4">
        <f>$AE$4*'NIFTY MEMBS'!AF61</f>
        <v>18253.08476011235</v>
      </c>
      <c r="AF72" s="4">
        <f>$AF$4*'NIFTY MEMBS'!AG61</f>
        <v>20160.544985138742</v>
      </c>
      <c r="AG72" s="4">
        <f>$AG$4*'NIFTY MEMBS'!AH61</f>
        <v>20434.782608695652</v>
      </c>
      <c r="AH72" s="4">
        <f>$AH$4*'NIFTY MEMBS'!AI61</f>
        <v>20684.110564068524</v>
      </c>
      <c r="AI72" s="4">
        <f>$AI$4*'NIFTY MEMBS'!AJ61</f>
        <v>22789.235044610206</v>
      </c>
      <c r="AJ72" s="4">
        <f>$AJ$4*'NIFTY MEMBS'!AK61</f>
        <v>14627.689275743145</v>
      </c>
      <c r="AK72" s="4">
        <f>$AK$4*'NIFTY MEMBS'!AL61</f>
        <v>21142.026493049154</v>
      </c>
      <c r="AL72" s="4">
        <f>$AL$4*'NIFTY MEMBS'!AM61</f>
        <v>22120.647657257487</v>
      </c>
      <c r="AM72" s="4">
        <f>$AM$4*'NIFTY MEMBS'!AN61</f>
        <v>15059.17473702082</v>
      </c>
      <c r="AN72" s="4">
        <f>$AN$4*'NIFTY MEMBS'!AO61</f>
        <v>22012.282205084259</v>
      </c>
      <c r="AO72" s="4">
        <f>$AO$4*'NIFTY MEMBS'!AP61</f>
        <v>21659.105638366815</v>
      </c>
      <c r="AP72" s="4">
        <f>$AP$4*'NIFTY MEMBS'!AQ61</f>
        <v>23317.311746352978</v>
      </c>
      <c r="AQ72" s="4">
        <f>$AQ$4*'NIFTY MEMBS'!AR61</f>
        <v>16624.70287877454</v>
      </c>
      <c r="AR72" s="4">
        <f>$AR$4*'NIFTY MEMBS'!AS61</f>
        <v>19308.089725982605</v>
      </c>
      <c r="AS72" s="4">
        <f>$AS$4*'NIFTY MEMBS'!AT61</f>
        <v>17693.648952121199</v>
      </c>
      <c r="AT72" s="4">
        <f>$AT$4*'NIFTY MEMBS'!AU61</f>
        <v>23024.343446456405</v>
      </c>
      <c r="AU72" s="4">
        <f>$AU$4*'NIFTY MEMBS'!AV61</f>
        <v>20855.155927414973</v>
      </c>
      <c r="AV72" s="4">
        <f>$AV$4*'NIFTY MEMBS'!AW61</f>
        <v>17013.878743608471</v>
      </c>
      <c r="AW72" s="4">
        <f>$AW$4*'NIFTY MEMBS'!AX61</f>
        <v>17426.601503220332</v>
      </c>
      <c r="AX72" s="4">
        <f>$AX$4*'NIFTY MEMBS'!AY61</f>
        <v>13519.702909015887</v>
      </c>
      <c r="AY72" s="4">
        <f t="shared" si="8"/>
        <v>963886.97263771866</v>
      </c>
      <c r="AZ72" s="4">
        <f t="shared" si="9"/>
        <v>98.355813534461092</v>
      </c>
    </row>
    <row r="73" spans="1:52" ht="14.25" customHeight="1" x14ac:dyDescent="0.3">
      <c r="A73" s="2">
        <v>45743</v>
      </c>
      <c r="B73" s="4">
        <f>$B$4*'NIFTY MEMBS'!C62</f>
        <v>20932.650972364379</v>
      </c>
      <c r="C73" s="4">
        <f>$C$4*'NIFTY MEMBS'!D62</f>
        <v>20477.686284188563</v>
      </c>
      <c r="D73" s="4">
        <f>$D$4*'NIFTY MEMBS'!E62</f>
        <v>21616.845271667607</v>
      </c>
      <c r="E73" s="4">
        <f>$E$4*'NIFTY MEMBS'!F62</f>
        <v>17756.81163296818</v>
      </c>
      <c r="F73" s="4">
        <f>$F$4*'NIFTY MEMBS'!G62</f>
        <v>20825.770264480194</v>
      </c>
      <c r="G73" s="4">
        <f>$G$4*'NIFTY MEMBS'!H62</f>
        <v>19473.020675743821</v>
      </c>
      <c r="H73" s="4">
        <f>$H$4*'NIFTY MEMBS'!I62</f>
        <v>17036.387782204514</v>
      </c>
      <c r="I73" s="4">
        <f>$I$4*'NIFTY MEMBS'!J62</f>
        <v>19332.931398303263</v>
      </c>
      <c r="J73" s="4">
        <f>$J$4*'NIFTY MEMBS'!K62</f>
        <v>25965.423269361094</v>
      </c>
      <c r="K73" s="4">
        <f>$K$4*'NIFTY MEMBS'!L62</f>
        <v>17886.942466471537</v>
      </c>
      <c r="L73" s="4">
        <f>$L$4*'NIFTY MEMBS'!M62</f>
        <v>19095.29652351738</v>
      </c>
      <c r="M73" s="4">
        <f>$M$4*'NIFTY MEMBS'!N62</f>
        <v>20916.552911681523</v>
      </c>
      <c r="N73" s="4">
        <f>$N$4*'NIFTY MEMBS'!O62</f>
        <v>17735.236859182347</v>
      </c>
      <c r="O73" s="4">
        <f>$O$4*'NIFTY MEMBS'!P62</f>
        <v>23805.077163945425</v>
      </c>
      <c r="P73" s="4">
        <f>$P$4*'NIFTY MEMBS'!Q62</f>
        <v>17052.224169042078</v>
      </c>
      <c r="Q73" s="4">
        <f>$Q$4*'NIFTY MEMBS'!R62</f>
        <v>18322.706949919309</v>
      </c>
      <c r="R73" s="4">
        <f>$R$4*'NIFTY MEMBS'!S62</f>
        <v>20266.620075128856</v>
      </c>
      <c r="S73" s="4">
        <f>$S$4*'NIFTY MEMBS'!T62</f>
        <v>20495.428251539466</v>
      </c>
      <c r="T73" s="4">
        <f>$T$4*'NIFTY MEMBS'!U62</f>
        <v>25447.221517381375</v>
      </c>
      <c r="U73" s="4">
        <f>$U$4*'NIFTY MEMBS'!V62</f>
        <v>18978.440923828697</v>
      </c>
      <c r="V73" s="4">
        <f>$V$4*'NIFTY MEMBS'!W62</f>
        <v>21618.462460662369</v>
      </c>
      <c r="W73" s="4">
        <f>$W$4*'NIFTY MEMBS'!X62</f>
        <v>14920.795660036169</v>
      </c>
      <c r="X73" s="4">
        <f>$X$4*'NIFTY MEMBS'!Y62</f>
        <v>19639.780093542297</v>
      </c>
      <c r="Y73" s="4">
        <f>$Y$4*'NIFTY MEMBS'!Z62</f>
        <v>20440.599282549061</v>
      </c>
      <c r="Z73" s="4">
        <f>$Z$4*'NIFTY MEMBS'!AA62</f>
        <v>20459.339911534538</v>
      </c>
      <c r="AA73" s="4">
        <f>$AA$4*'NIFTY MEMBS'!AB62</f>
        <v>23408.250041415871</v>
      </c>
      <c r="AB73" s="4">
        <f>$AB$4*'NIFTY MEMBS'!AC62</f>
        <v>18128.538128538126</v>
      </c>
      <c r="AC73" s="4">
        <f>$AC$4*'NIFTY MEMBS'!AD62</f>
        <v>19039.948453608249</v>
      </c>
      <c r="AD73" s="4">
        <f>$AD$4*'NIFTY MEMBS'!AE62</f>
        <v>17845.845845845844</v>
      </c>
      <c r="AE73" s="4">
        <f>$AE$4*'NIFTY MEMBS'!AF62</f>
        <v>18246.67784063932</v>
      </c>
      <c r="AF73" s="4">
        <f>$AF$4*'NIFTY MEMBS'!AG62</f>
        <v>20290.282689345451</v>
      </c>
      <c r="AG73" s="4">
        <f>$AG$4*'NIFTY MEMBS'!AH62</f>
        <v>20540.890269151139</v>
      </c>
      <c r="AH73" s="4">
        <f>$AH$4*'NIFTY MEMBS'!AI62</f>
        <v>20671.38721395512</v>
      </c>
      <c r="AI73" s="4">
        <f>$AI$4*'NIFTY MEMBS'!AJ62</f>
        <v>22732.192482082781</v>
      </c>
      <c r="AJ73" s="4">
        <f>$AJ$4*'NIFTY MEMBS'!AK62</f>
        <v>14831.992116932175</v>
      </c>
      <c r="AK73" s="4">
        <f>$AK$4*'NIFTY MEMBS'!AL62</f>
        <v>21445.857134082671</v>
      </c>
      <c r="AL73" s="4">
        <f>$AL$4*'NIFTY MEMBS'!AM62</f>
        <v>21885.0428837533</v>
      </c>
      <c r="AM73" s="4">
        <f>$AM$4*'NIFTY MEMBS'!AN62</f>
        <v>15343.128585677805</v>
      </c>
      <c r="AN73" s="4">
        <f>$AN$4*'NIFTY MEMBS'!AO62</f>
        <v>22063.696086832333</v>
      </c>
      <c r="AO73" s="4">
        <f>$AO$4*'NIFTY MEMBS'!AP62</f>
        <v>22096.565132858064</v>
      </c>
      <c r="AP73" s="4">
        <f>$AP$4*'NIFTY MEMBS'!AQ62</f>
        <v>23386.457542794502</v>
      </c>
      <c r="AQ73" s="4">
        <f>$AQ$4*'NIFTY MEMBS'!AR62</f>
        <v>16713.912609678082</v>
      </c>
      <c r="AR73" s="4">
        <f>$AR$4*'NIFTY MEMBS'!AS62</f>
        <v>19395.722974298609</v>
      </c>
      <c r="AS73" s="4">
        <f>$AS$4*'NIFTY MEMBS'!AT62</f>
        <v>17618.340083993135</v>
      </c>
      <c r="AT73" s="4">
        <f>$AT$4*'NIFTY MEMBS'!AU62</f>
        <v>23247.049149435523</v>
      </c>
      <c r="AU73" s="4">
        <f>$AU$4*'NIFTY MEMBS'!AV62</f>
        <v>21157.231337607303</v>
      </c>
      <c r="AV73" s="4">
        <f>$AV$4*'NIFTY MEMBS'!AW62</f>
        <v>16978.81665449233</v>
      </c>
      <c r="AW73" s="4">
        <f>$AW$4*'NIFTY MEMBS'!AX62</f>
        <v>18029.323550850193</v>
      </c>
      <c r="AX73" s="4">
        <f>$AX$4*'NIFTY MEMBS'!AY62</f>
        <v>13896.224468743552</v>
      </c>
      <c r="AY73" s="4">
        <f t="shared" si="8"/>
        <v>969491.62604785559</v>
      </c>
      <c r="AZ73" s="4">
        <f t="shared" si="9"/>
        <v>98.927716943658737</v>
      </c>
    </row>
    <row r="74" spans="1:52" ht="14.25" customHeight="1" x14ac:dyDescent="0.3">
      <c r="A74" s="2">
        <v>45744</v>
      </c>
      <c r="B74" s="4">
        <f>$B$4*'NIFTY MEMBS'!C63</f>
        <v>20881.883316274307</v>
      </c>
      <c r="C74" s="4">
        <f>$C$4*'NIFTY MEMBS'!D63</f>
        <v>20509.771365747496</v>
      </c>
      <c r="D74" s="4">
        <f>$D$4*'NIFTY MEMBS'!E63</f>
        <v>21725.888324873096</v>
      </c>
      <c r="E74" s="4">
        <f>$E$4*'NIFTY MEMBS'!F63</f>
        <v>17537.720823353477</v>
      </c>
      <c r="F74" s="4">
        <f>$F$4*'NIFTY MEMBS'!G63</f>
        <v>21008.06294550695</v>
      </c>
      <c r="G74" s="4">
        <f>$G$4*'NIFTY MEMBS'!H63</f>
        <v>19452.849218356023</v>
      </c>
      <c r="H74" s="4">
        <f>$H$4*'NIFTY MEMBS'!I63</f>
        <v>16686.852589641436</v>
      </c>
      <c r="I74" s="4">
        <f>$I$4*'NIFTY MEMBS'!J63</f>
        <v>19455.23448602558</v>
      </c>
      <c r="J74" s="4">
        <f>$J$4*'NIFTY MEMBS'!K63</f>
        <v>25797.29788185082</v>
      </c>
      <c r="K74" s="4">
        <f>$K$4*'NIFTY MEMBS'!L63</f>
        <v>17900.048053820279</v>
      </c>
      <c r="L74" s="4">
        <f>$L$4*'NIFTY MEMBS'!M63</f>
        <v>19044.580777096115</v>
      </c>
      <c r="M74" s="4">
        <f>$M$4*'NIFTY MEMBS'!N63</f>
        <v>20560.031405297861</v>
      </c>
      <c r="N74" s="4">
        <f>$N$4*'NIFTY MEMBS'!O63</f>
        <v>17299.156391953278</v>
      </c>
      <c r="O74" s="4">
        <f>$O$4*'NIFTY MEMBS'!P63</f>
        <v>24280.921494072911</v>
      </c>
      <c r="P74" s="4">
        <f>$P$4*'NIFTY MEMBS'!Q63</f>
        <v>16658.385418028713</v>
      </c>
      <c r="Q74" s="4">
        <f>$Q$4*'NIFTY MEMBS'!R63</f>
        <v>18357.099394163866</v>
      </c>
      <c r="R74" s="4">
        <f>$R$4*'NIFTY MEMBS'!S63</f>
        <v>20109.286275880142</v>
      </c>
      <c r="S74" s="4">
        <f>$S$4*'NIFTY MEMBS'!T63</f>
        <v>20563.53797350252</v>
      </c>
      <c r="T74" s="4">
        <f>$T$4*'NIFTY MEMBS'!U63</f>
        <v>25467.52093377315</v>
      </c>
      <c r="U74" s="4">
        <f>$U$4*'NIFTY MEMBS'!V63</f>
        <v>18829.079398251302</v>
      </c>
      <c r="V74" s="4">
        <f>$V$4*'NIFTY MEMBS'!W63</f>
        <v>21435.636145661621</v>
      </c>
      <c r="W74" s="4">
        <f>$W$4*'NIFTY MEMBS'!X63</f>
        <v>14589.511754068717</v>
      </c>
      <c r="X74" s="4">
        <f>$X$4*'NIFTY MEMBS'!Y63</f>
        <v>19413.309263969801</v>
      </c>
      <c r="Y74" s="4">
        <f>$Y$4*'NIFTY MEMBS'!Z63</f>
        <v>20795.948512344377</v>
      </c>
      <c r="Z74" s="4">
        <f>$Z$4*'NIFTY MEMBS'!AA63</f>
        <v>20504.933650901668</v>
      </c>
      <c r="AA74" s="4">
        <f>$AA$4*'NIFTY MEMBS'!AB63</f>
        <v>23484.455243249213</v>
      </c>
      <c r="AB74" s="4">
        <f>$AB$4*'NIFTY MEMBS'!AC63</f>
        <v>17465.867465867464</v>
      </c>
      <c r="AC74" s="4">
        <f>$AC$4*'NIFTY MEMBS'!AD63</f>
        <v>18708.118556701033</v>
      </c>
      <c r="AD74" s="4">
        <f>$AD$4*'NIFTY MEMBS'!AE63</f>
        <v>18003.336670003337</v>
      </c>
      <c r="AE74" s="4">
        <f>$AE$4*'NIFTY MEMBS'!AF63</f>
        <v>18028.270532174749</v>
      </c>
      <c r="AF74" s="4">
        <f>$AF$4*'NIFTY MEMBS'!AG63</f>
        <v>20312.411862972684</v>
      </c>
      <c r="AG74" s="4">
        <f>$AG$4*'NIFTY MEMBS'!AH63</f>
        <v>20610.766045548655</v>
      </c>
      <c r="AH74" s="4">
        <f>$AH$4*'NIFTY MEMBS'!AI63</f>
        <v>20751.599638583102</v>
      </c>
      <c r="AI74" s="4">
        <f>$AI$4*'NIFTY MEMBS'!AJ63</f>
        <v>22559.602164692114</v>
      </c>
      <c r="AJ74" s="4">
        <f>$AJ$4*'NIFTY MEMBS'!AK63</f>
        <v>14945.639678108066</v>
      </c>
      <c r="AK74" s="4">
        <f>$AK$4*'NIFTY MEMBS'!AL63</f>
        <v>21384.026370206579</v>
      </c>
      <c r="AL74" s="4">
        <f>$AL$4*'NIFTY MEMBS'!AM63</f>
        <v>21893.026016825985</v>
      </c>
      <c r="AM74" s="4">
        <f>$AM$4*'NIFTY MEMBS'!AN63</f>
        <v>15068.229568268476</v>
      </c>
      <c r="AN74" s="4">
        <f>$AN$4*'NIFTY MEMBS'!AO63</f>
        <v>22105.826906598111</v>
      </c>
      <c r="AO74" s="4">
        <f>$AO$4*'NIFTY MEMBS'!AP63</f>
        <v>22219.701879455602</v>
      </c>
      <c r="AP74" s="4">
        <f>$AP$4*'NIFTY MEMBS'!AQ63</f>
        <v>23018.804283666414</v>
      </c>
      <c r="AQ74" s="4">
        <f>$AQ$4*'NIFTY MEMBS'!AR63</f>
        <v>16647.592217624791</v>
      </c>
      <c r="AR74" s="4">
        <f>$AR$4*'NIFTY MEMBS'!AS63</f>
        <v>18863.383689752143</v>
      </c>
      <c r="AS74" s="4">
        <f>$AS$4*'NIFTY MEMBS'!AT63</f>
        <v>17955.262461582301</v>
      </c>
      <c r="AT74" s="4">
        <f>$AT$4*'NIFTY MEMBS'!AU63</f>
        <v>22476.14479296935</v>
      </c>
      <c r="AU74" s="4">
        <f>$AU$4*'NIFTY MEMBS'!AV63</f>
        <v>21773.334782136259</v>
      </c>
      <c r="AV74" s="4">
        <f>$AV$4*'NIFTY MEMBS'!AW63</f>
        <v>16715.850986121259</v>
      </c>
      <c r="AW74" s="4">
        <f>$AW$4*'NIFTY MEMBS'!AX63</f>
        <v>17794.639549750857</v>
      </c>
      <c r="AX74" s="4">
        <f>$AX$4*'NIFTY MEMBS'!AY63</f>
        <v>13407.26222405612</v>
      </c>
      <c r="AY74" s="4">
        <f t="shared" si="8"/>
        <v>965057.70138133015</v>
      </c>
      <c r="AZ74" s="4">
        <f t="shared" si="9"/>
        <v>98.475275651156139</v>
      </c>
    </row>
    <row r="75" spans="1:52" ht="14.25" customHeight="1" x14ac:dyDescent="0.3">
      <c r="A75" s="2">
        <v>45748</v>
      </c>
      <c r="B75" s="4">
        <f>$B$4*'NIFTY MEMBS'!C64</f>
        <v>20513.408393039917</v>
      </c>
      <c r="C75" s="4">
        <f>$C$4*'NIFTY MEMBS'!D64</f>
        <v>19832.619085014248</v>
      </c>
      <c r="D75" s="4">
        <f>$D$4*'NIFTY MEMBS'!E64</f>
        <v>21609.951745315535</v>
      </c>
      <c r="E75" s="4">
        <f>$E$4*'NIFTY MEMBS'!F64</f>
        <v>17268.538219309659</v>
      </c>
      <c r="F75" s="4">
        <f>$F$4*'NIFTY MEMBS'!G64</f>
        <v>20542.203871771901</v>
      </c>
      <c r="G75" s="4">
        <f>$G$4*'NIFTY MEMBS'!H64</f>
        <v>19457.892082702976</v>
      </c>
      <c r="H75" s="4">
        <f>$H$4*'NIFTY MEMBS'!I64</f>
        <v>16217.795484727754</v>
      </c>
      <c r="I75" s="4">
        <f>$I$4*'NIFTY MEMBS'!J64</f>
        <v>19239.912148486284</v>
      </c>
      <c r="J75" s="4">
        <f>$J$4*'NIFTY MEMBS'!K64</f>
        <v>25083.846408951307</v>
      </c>
      <c r="K75" s="4">
        <f>$K$4*'NIFTY MEMBS'!L64</f>
        <v>17764.623651216632</v>
      </c>
      <c r="L75" s="4">
        <f>$L$4*'NIFTY MEMBS'!M64</f>
        <v>18741.922290388549</v>
      </c>
      <c r="M75" s="4">
        <f>$M$4*'NIFTY MEMBS'!N64</f>
        <v>20486.782116824143</v>
      </c>
      <c r="N75" s="4">
        <f>$N$4*'NIFTY MEMBS'!O64</f>
        <v>17118.105126541206</v>
      </c>
      <c r="O75" s="4">
        <f>$O$4*'NIFTY MEMBS'!P64</f>
        <v>23997.987027510622</v>
      </c>
      <c r="P75" s="4">
        <f>$P$4*'NIFTY MEMBS'!Q64</f>
        <v>16008.263814430293</v>
      </c>
      <c r="Q75" s="4">
        <f>$Q$4*'NIFTY MEMBS'!R64</f>
        <v>17972.43313315167</v>
      </c>
      <c r="R75" s="4">
        <f>$R$4*'NIFTY MEMBS'!S64</f>
        <v>19880.580064645757</v>
      </c>
      <c r="S75" s="4">
        <f>$S$4*'NIFTY MEMBS'!T64</f>
        <v>20257.510729613732</v>
      </c>
      <c r="T75" s="4">
        <f>$T$4*'NIFTY MEMBS'!U64</f>
        <v>24576.249682821617</v>
      </c>
      <c r="U75" s="4">
        <f>$U$4*'NIFTY MEMBS'!V64</f>
        <v>18359.481844584108</v>
      </c>
      <c r="V75" s="4">
        <f>$V$4*'NIFTY MEMBS'!W64</f>
        <v>21108.946500824215</v>
      </c>
      <c r="W75" s="4">
        <f>$W$4*'NIFTY MEMBS'!X64</f>
        <v>14611.934900542496</v>
      </c>
      <c r="X75" s="4">
        <f>$X$4*'NIFTY MEMBS'!Y64</f>
        <v>19278.739640600637</v>
      </c>
      <c r="Y75" s="4">
        <f>$Y$4*'NIFTY MEMBS'!Z64</f>
        <v>20938.594640219457</v>
      </c>
      <c r="Z75" s="4">
        <f>$Z$4*'NIFTY MEMBS'!AA64</f>
        <v>19870.704321197689</v>
      </c>
      <c r="AA75" s="4">
        <f>$AA$4*'NIFTY MEMBS'!AB64</f>
        <v>23330.94041636755</v>
      </c>
      <c r="AB75" s="4">
        <f>$AB$4*'NIFTY MEMBS'!AC64</f>
        <v>17489.177489177491</v>
      </c>
      <c r="AC75" s="4">
        <f>$AC$4*'NIFTY MEMBS'!AD64</f>
        <v>18640.463917525776</v>
      </c>
      <c r="AD75" s="4">
        <f>$AD$4*'NIFTY MEMBS'!AE64</f>
        <v>17933.933933933935</v>
      </c>
      <c r="AE75" s="4">
        <f>$AE$4*'NIFTY MEMBS'!AF64</f>
        <v>18289.581319253368</v>
      </c>
      <c r="AF75" s="4">
        <f>$AF$4*'NIFTY MEMBS'!AG64</f>
        <v>20098.496517909443</v>
      </c>
      <c r="AG75" s="4">
        <f>$AG$4*'NIFTY MEMBS'!AH64</f>
        <v>20582.298136645961</v>
      </c>
      <c r="AH75" s="4">
        <f>$AH$4*'NIFTY MEMBS'!AI64</f>
        <v>20597.075473437704</v>
      </c>
      <c r="AI75" s="4">
        <f>$AI$4*'NIFTY MEMBS'!AJ64</f>
        <v>22395.787626151821</v>
      </c>
      <c r="AJ75" s="4">
        <f>$AJ$4*'NIFTY MEMBS'!AK64</f>
        <v>15136.804072918379</v>
      </c>
      <c r="AK75" s="4">
        <f>$AK$4*'NIFTY MEMBS'!AL64</f>
        <v>21448.313985627417</v>
      </c>
      <c r="AL75" s="4">
        <f>$AL$4*'NIFTY MEMBS'!AM64</f>
        <v>21727.222483777859</v>
      </c>
      <c r="AM75" s="4">
        <f>$AM$4*'NIFTY MEMBS'!AN64</f>
        <v>15780.165675115486</v>
      </c>
      <c r="AN75" s="4">
        <f>$AN$4*'NIFTY MEMBS'!AO64</f>
        <v>22068.694658668948</v>
      </c>
      <c r="AO75" s="4">
        <f>$AO$4*'NIFTY MEMBS'!AP64</f>
        <v>22453.013609850936</v>
      </c>
      <c r="AP75" s="4">
        <f>$AP$4*'NIFTY MEMBS'!AQ64</f>
        <v>22388.059701492533</v>
      </c>
      <c r="AQ75" s="4">
        <f>$AQ$4*'NIFTY MEMBS'!AR64</f>
        <v>16376.441588167974</v>
      </c>
      <c r="AR75" s="4">
        <f>$AR$4*'NIFTY MEMBS'!AS64</f>
        <v>18890.196847818977</v>
      </c>
      <c r="AS75" s="4">
        <f>$AS$4*'NIFTY MEMBS'!AT64</f>
        <v>17998.955174262006</v>
      </c>
      <c r="AT75" s="4">
        <f>$AT$4*'NIFTY MEMBS'!AU64</f>
        <v>21840.576979082794</v>
      </c>
      <c r="AU75" s="4">
        <f>$AU$4*'NIFTY MEMBS'!AV64</f>
        <v>21563.620558513529</v>
      </c>
      <c r="AV75" s="4">
        <f>$AV$4*'NIFTY MEMBS'!AW64</f>
        <v>16832.7246165084</v>
      </c>
      <c r="AW75" s="4">
        <f>$AW$4*'NIFTY MEMBS'!AX64</f>
        <v>17981.526401950123</v>
      </c>
      <c r="AX75" s="4">
        <f>$AX$4*'NIFTY MEMBS'!AY64</f>
        <v>14085.00103156592</v>
      </c>
      <c r="AY75" s="4">
        <f t="shared" si="8"/>
        <v>956668.09914015688</v>
      </c>
      <c r="AZ75" s="4">
        <f t="shared" si="9"/>
        <v>97.619193789811931</v>
      </c>
    </row>
    <row r="76" spans="1:52" ht="14.25" customHeight="1" x14ac:dyDescent="0.3">
      <c r="A76" s="2">
        <v>45749</v>
      </c>
      <c r="B76" s="4">
        <f>$B$4*'NIFTY MEMBS'!C65</f>
        <v>20489.66223132037</v>
      </c>
      <c r="C76" s="4">
        <f>$C$4*'NIFTY MEMBS'!D65</f>
        <v>20158.630438196957</v>
      </c>
      <c r="D76" s="4">
        <f>$D$4*'NIFTY MEMBS'!E65</f>
        <v>21991.602431534749</v>
      </c>
      <c r="E76" s="4">
        <f>$E$4*'NIFTY MEMBS'!F65</f>
        <v>17235.224744373791</v>
      </c>
      <c r="F76" s="4">
        <f>$F$4*'NIFTY MEMBS'!G65</f>
        <v>20741.635180929381</v>
      </c>
      <c r="G76" s="4">
        <f>$G$4*'NIFTY MEMBS'!H65</f>
        <v>19565.052950075642</v>
      </c>
      <c r="H76" s="4">
        <f>$H$4*'NIFTY MEMBS'!I65</f>
        <v>16469.057104913678</v>
      </c>
      <c r="I76" s="4">
        <f>$I$4*'NIFTY MEMBS'!J65</f>
        <v>19274.794367167651</v>
      </c>
      <c r="J76" s="4">
        <f>$J$4*'NIFTY MEMBS'!K65</f>
        <v>25000.216284803828</v>
      </c>
      <c r="K76" s="4">
        <f>$K$4*'NIFTY MEMBS'!L65</f>
        <v>17869.468350006551</v>
      </c>
      <c r="L76" s="4">
        <f>$L$4*'NIFTY MEMBS'!M65</f>
        <v>18649.761417859576</v>
      </c>
      <c r="M76" s="4">
        <f>$M$4*'NIFTY MEMBS'!N65</f>
        <v>20906.114218927047</v>
      </c>
      <c r="N76" s="4">
        <f>$N$4*'NIFTY MEMBS'!O65</f>
        <v>17115.833874107724</v>
      </c>
      <c r="O76" s="4">
        <f>$O$4*'NIFTY MEMBS'!P65</f>
        <v>24095.280697830458</v>
      </c>
      <c r="P76" s="4">
        <f>$P$4*'NIFTY MEMBS'!Q65</f>
        <v>15978.974345563429</v>
      </c>
      <c r="Q76" s="4">
        <f>$Q$4*'NIFTY MEMBS'!R65</f>
        <v>18134.342178364506</v>
      </c>
      <c r="R76" s="4">
        <f>$R$4*'NIFTY MEMBS'!S65</f>
        <v>19657.464837948806</v>
      </c>
      <c r="S76" s="4">
        <f>$S$4*'NIFTY MEMBS'!T65</f>
        <v>20236.051502145925</v>
      </c>
      <c r="T76" s="4">
        <f>$T$4*'NIFTY MEMBS'!U65</f>
        <v>24498.223801065717</v>
      </c>
      <c r="U76" s="4">
        <f>$U$4*'NIFTY MEMBS'!V65</f>
        <v>19044.823824085313</v>
      </c>
      <c r="V76" s="4">
        <f>$V$4*'NIFTY MEMBS'!W65</f>
        <v>21084.969279184774</v>
      </c>
      <c r="W76" s="4">
        <f>$W$4*'NIFTY MEMBS'!X65</f>
        <v>15336.708860759494</v>
      </c>
      <c r="X76" s="4">
        <f>$X$4*'NIFTY MEMBS'!Y65</f>
        <v>19618.445884959379</v>
      </c>
      <c r="Y76" s="4">
        <f>$Y$4*'NIFTY MEMBS'!Z65</f>
        <v>21155.518041780968</v>
      </c>
      <c r="Z76" s="4">
        <f>$Z$4*'NIFTY MEMBS'!AA65</f>
        <v>19217.420891459682</v>
      </c>
      <c r="AA76" s="4">
        <f>$AA$4*'NIFTY MEMBS'!AB65</f>
        <v>23323.209453862721</v>
      </c>
      <c r="AB76" s="4">
        <f>$AB$4*'NIFTY MEMBS'!AC65</f>
        <v>17555.777555777557</v>
      </c>
      <c r="AC76" s="4">
        <f>$AC$4*'NIFTY MEMBS'!AD65</f>
        <v>18476.159793814433</v>
      </c>
      <c r="AD76" s="4">
        <f>$AD$4*'NIFTY MEMBS'!AE65</f>
        <v>17935.268601935266</v>
      </c>
      <c r="AE76" s="4">
        <f>$AE$4*'NIFTY MEMBS'!AF65</f>
        <v>18472.407342787352</v>
      </c>
      <c r="AF76" s="4">
        <f>$AF$4*'NIFTY MEMBS'!AG65</f>
        <v>20017.356214609594</v>
      </c>
      <c r="AG76" s="4">
        <f>$AG$4*'NIFTY MEMBS'!AH65</f>
        <v>20574.534161490683</v>
      </c>
      <c r="AH76" s="4">
        <f>$AH$4*'NIFTY MEMBS'!AI65</f>
        <v>20382.253692537481</v>
      </c>
      <c r="AI76" s="4">
        <f>$AI$4*'NIFTY MEMBS'!AJ65</f>
        <v>22625.420506069913</v>
      </c>
      <c r="AJ76" s="4">
        <f>$AJ$4*'NIFTY MEMBS'!AK65</f>
        <v>15094.761044506489</v>
      </c>
      <c r="AK76" s="4">
        <f>$AK$4*'NIFTY MEMBS'!AL65</f>
        <v>21427.840222754538</v>
      </c>
      <c r="AL76" s="4">
        <f>$AL$4*'NIFTY MEMBS'!AM65</f>
        <v>21924.958549116735</v>
      </c>
      <c r="AM76" s="4">
        <f>$AM$4*'NIFTY MEMBS'!AN65</f>
        <v>16079.399551502891</v>
      </c>
      <c r="AN76" s="4">
        <f>$AN$4*'NIFTY MEMBS'!AO65</f>
        <v>22277.206512425018</v>
      </c>
      <c r="AO76" s="4">
        <f>$AO$4*'NIFTY MEMBS'!AP65</f>
        <v>22558.32793259883</v>
      </c>
      <c r="AP76" s="4">
        <f>$AP$4*'NIFTY MEMBS'!AQ65</f>
        <v>22302.049076650645</v>
      </c>
      <c r="AQ76" s="4">
        <f>$AQ$4*'NIFTY MEMBS'!AR65</f>
        <v>16703.93520556387</v>
      </c>
      <c r="AR76" s="4">
        <f>$AR$4*'NIFTY MEMBS'!AS65</f>
        <v>18996.141521156234</v>
      </c>
      <c r="AS76" s="4">
        <f>$AS$4*'NIFTY MEMBS'!AT65</f>
        <v>18269.931407868757</v>
      </c>
      <c r="AT76" s="4">
        <f>$AT$4*'NIFTY MEMBS'!AU65</f>
        <v>21907.388689976528</v>
      </c>
      <c r="AU76" s="4">
        <f>$AU$4*'NIFTY MEMBS'!AV65</f>
        <v>23094.643051178966</v>
      </c>
      <c r="AV76" s="4">
        <f>$AV$4*'NIFTY MEMBS'!AW65</f>
        <v>16800.584368151936</v>
      </c>
      <c r="AW76" s="4">
        <f>$AW$4*'NIFTY MEMBS'!AX65</f>
        <v>18086.202158041269</v>
      </c>
      <c r="AX76" s="4">
        <f>$AX$4*'NIFTY MEMBS'!AY65</f>
        <v>14492.469568805449</v>
      </c>
      <c r="AY76" s="4">
        <f t="shared" si="8"/>
        <v>962903.50392254849</v>
      </c>
      <c r="AZ76" s="4">
        <f t="shared" si="9"/>
        <v>98.255459583933529</v>
      </c>
    </row>
    <row r="77" spans="1:52" ht="14.25" customHeight="1" x14ac:dyDescent="0.3">
      <c r="A77" s="2">
        <v>45750</v>
      </c>
      <c r="B77" s="4">
        <f>$B$4*'NIFTY MEMBS'!C66</f>
        <v>20449.539406345957</v>
      </c>
      <c r="C77" s="4">
        <f>$C$4*'NIFTY MEMBS'!D66</f>
        <v>20135.520204626533</v>
      </c>
      <c r="D77" s="4">
        <f>$D$4*'NIFTY MEMBS'!E66</f>
        <v>21883.81274675691</v>
      </c>
      <c r="E77" s="4">
        <f>$E$4*'NIFTY MEMBS'!F66</f>
        <v>16550.474777808849</v>
      </c>
      <c r="F77" s="4">
        <f>$F$4*'NIFTY MEMBS'!G66</f>
        <v>20715.148210181902</v>
      </c>
      <c r="G77" s="4">
        <f>$G$4*'NIFTY MEMBS'!H66</f>
        <v>19646.999495713564</v>
      </c>
      <c r="H77" s="4">
        <f>$H$4*'NIFTY MEMBS'!I66</f>
        <v>15899.070385126161</v>
      </c>
      <c r="I77" s="4">
        <f>$I$4*'NIFTY MEMBS'!J66</f>
        <v>19332.070108953107</v>
      </c>
      <c r="J77" s="4">
        <f>$J$4*'NIFTY MEMBS'!K66</f>
        <v>24785.084999927905</v>
      </c>
      <c r="K77" s="4">
        <f>$K$4*'NIFTY MEMBS'!L66</f>
        <v>17884.758201913413</v>
      </c>
      <c r="L77" s="4">
        <f>$L$4*'NIFTY MEMBS'!M66</f>
        <v>18651.124744376277</v>
      </c>
      <c r="M77" s="4">
        <f>$M$4*'NIFTY MEMBS'!N66</f>
        <v>20856.151245059467</v>
      </c>
      <c r="N77" s="4">
        <f>$N$4*'NIFTY MEMBS'!O66</f>
        <v>16946.463335496428</v>
      </c>
      <c r="O77" s="4">
        <f>$O$4*'NIFTY MEMBS'!P66</f>
        <v>23849.250726906728</v>
      </c>
      <c r="P77" s="4">
        <f>$P$4*'NIFTY MEMBS'!Q66</f>
        <v>15378.017207562958</v>
      </c>
      <c r="Q77" s="4">
        <f>$Q$4*'NIFTY MEMBS'!R66</f>
        <v>18730.654250112435</v>
      </c>
      <c r="R77" s="4">
        <f>$R$4*'NIFTY MEMBS'!S66</f>
        <v>20278.85035380449</v>
      </c>
      <c r="S77" s="4">
        <f>$S$4*'NIFTY MEMBS'!T66</f>
        <v>20336.816570255643</v>
      </c>
      <c r="T77" s="4">
        <f>$T$4*'NIFTY MEMBS'!U66</f>
        <v>24365.008880994668</v>
      </c>
      <c r="U77" s="4">
        <f>$U$4*'NIFTY MEMBS'!V66</f>
        <v>19223.688860887873</v>
      </c>
      <c r="V77" s="4">
        <f>$V$4*'NIFTY MEMBS'!W66</f>
        <v>21513.562115989807</v>
      </c>
      <c r="W77" s="4">
        <f>$W$4*'NIFTY MEMBS'!X66</f>
        <v>15254.972875226042</v>
      </c>
      <c r="X77" s="4">
        <f>$X$4*'NIFTY MEMBS'!Y66</f>
        <v>19691.474522031673</v>
      </c>
      <c r="Y77" s="4">
        <f>$Y$4*'NIFTY MEMBS'!Z66</f>
        <v>20536.822114370123</v>
      </c>
      <c r="Z77" s="4">
        <f>$Z$4*'NIFTY MEMBS'!AA66</f>
        <v>19564.477713508</v>
      </c>
      <c r="AA77" s="4">
        <f>$AA$4*'NIFTY MEMBS'!AB66</f>
        <v>23061.461151913412</v>
      </c>
      <c r="AB77" s="4">
        <f>$AB$4*'NIFTY MEMBS'!AC66</f>
        <v>17072.927072927072</v>
      </c>
      <c r="AC77" s="4">
        <f>$AC$4*'NIFTY MEMBS'!AD66</f>
        <v>19271.907216494848</v>
      </c>
      <c r="AD77" s="4">
        <f>$AD$4*'NIFTY MEMBS'!AE66</f>
        <v>17456.122789456123</v>
      </c>
      <c r="AE77" s="4">
        <f>$AE$4*'NIFTY MEMBS'!AF66</f>
        <v>18104.581519469601</v>
      </c>
      <c r="AF77" s="4">
        <f>$AF$4*'NIFTY MEMBS'!AG66</f>
        <v>20388.345301889658</v>
      </c>
      <c r="AG77" s="4">
        <f>$AG$4*'NIFTY MEMBS'!AH66</f>
        <v>20551.242236024846</v>
      </c>
      <c r="AH77" s="4">
        <f>$AH$4*'NIFTY MEMBS'!AI66</f>
        <v>20704.394165698588</v>
      </c>
      <c r="AI77" s="4">
        <f>$AI$4*'NIFTY MEMBS'!AJ66</f>
        <v>22468.919116571593</v>
      </c>
      <c r="AJ77" s="4">
        <f>$AJ$4*'NIFTY MEMBS'!AK66</f>
        <v>15136.147150599443</v>
      </c>
      <c r="AK77" s="4">
        <f>$AK$4*'NIFTY MEMBS'!AL66</f>
        <v>21717.748705034497</v>
      </c>
      <c r="AL77" s="4">
        <f>$AL$4*'NIFTY MEMBS'!AM66</f>
        <v>22021.779624588045</v>
      </c>
      <c r="AM77" s="4">
        <f>$AM$4*'NIFTY MEMBS'!AN66</f>
        <v>16059.026181195663</v>
      </c>
      <c r="AN77" s="4">
        <f>$AN$4*'NIFTY MEMBS'!AO66</f>
        <v>22025.849757212221</v>
      </c>
      <c r="AO77" s="4">
        <f>$AO$4*'NIFTY MEMBS'!AP66</f>
        <v>22453.013609850936</v>
      </c>
      <c r="AP77" s="4">
        <f>$AP$4*'NIFTY MEMBS'!AQ66</f>
        <v>22013.660511004298</v>
      </c>
      <c r="AQ77" s="4">
        <f>$AQ$4*'NIFTY MEMBS'!AR66</f>
        <v>16073.598027995422</v>
      </c>
      <c r="AR77" s="4">
        <f>$AR$4*'NIFTY MEMBS'!AS66</f>
        <v>19563.141717350078</v>
      </c>
      <c r="AS77" s="4">
        <f>$AS$4*'NIFTY MEMBS'!AT66</f>
        <v>18104.930356258439</v>
      </c>
      <c r="AT77" s="4">
        <f>$AT$4*'NIFTY MEMBS'!AU66</f>
        <v>22412.759323659906</v>
      </c>
      <c r="AU77" s="4">
        <f>$AU$4*'NIFTY MEMBS'!AV66</f>
        <v>23275.019015538412</v>
      </c>
      <c r="AV77" s="4">
        <f>$AV$4*'NIFTY MEMBS'!AW66</f>
        <v>16821.767713659607</v>
      </c>
      <c r="AW77" s="4">
        <f>$AW$4*'NIFTY MEMBS'!AX66</f>
        <v>17939.942882407064</v>
      </c>
      <c r="AX77" s="4">
        <f>$AX$4*'NIFTY MEMBS'!AY66</f>
        <v>14635.857231277079</v>
      </c>
      <c r="AY77" s="4">
        <f t="shared" si="8"/>
        <v>961793.95643201366</v>
      </c>
      <c r="AZ77" s="4">
        <f t="shared" si="9"/>
        <v>98.142240452246284</v>
      </c>
    </row>
    <row r="78" spans="1:52" ht="14.25" customHeight="1" x14ac:dyDescent="0.3">
      <c r="A78" s="2">
        <v>45751</v>
      </c>
      <c r="B78" s="4">
        <f>$B$4*'NIFTY MEMBS'!C67</f>
        <v>19728.966223132036</v>
      </c>
      <c r="C78" s="4">
        <f>$C$4*'NIFTY MEMBS'!D67</f>
        <v>20387.489061904016</v>
      </c>
      <c r="D78" s="4">
        <f>$D$4*'NIFTY MEMBS'!E67</f>
        <v>21851.85185185185</v>
      </c>
      <c r="E78" s="4">
        <f>$E$4*'NIFTY MEMBS'!F67</f>
        <v>16045.909372758331</v>
      </c>
      <c r="F78" s="4">
        <f>$F$4*'NIFTY MEMBS'!G67</f>
        <v>20804.736493592489</v>
      </c>
      <c r="G78" s="4">
        <f>$G$4*'NIFTY MEMBS'!H67</f>
        <v>19350.731215330306</v>
      </c>
      <c r="H78" s="4">
        <f>$H$4*'NIFTY MEMBS'!I67</f>
        <v>15422.57636122178</v>
      </c>
      <c r="I78" s="4">
        <f>$I$4*'NIFTY MEMBS'!J67</f>
        <v>19332.070108953107</v>
      </c>
      <c r="J78" s="4">
        <f>$J$4*'NIFTY MEMBS'!K67</f>
        <v>25143.541014808299</v>
      </c>
      <c r="K78" s="4">
        <f>$K$4*'NIFTY MEMBS'!L67</f>
        <v>17897.863789262155</v>
      </c>
      <c r="L78" s="4">
        <f>$L$4*'NIFTY MEMBS'!M67</f>
        <v>17778.595773687797</v>
      </c>
      <c r="M78" s="4">
        <f>$M$4*'NIFTY MEMBS'!N67</f>
        <v>20488.3880695556</v>
      </c>
      <c r="N78" s="4">
        <f>$N$4*'NIFTY MEMBS'!O67</f>
        <v>16849.772874756651</v>
      </c>
      <c r="O78" s="4">
        <f>$O$4*'NIFTY MEMBS'!P67</f>
        <v>23841.98165958398</v>
      </c>
      <c r="P78" s="4">
        <f>$P$4*'NIFTY MEMBS'!Q67</f>
        <v>14875.912026988151</v>
      </c>
      <c r="Q78" s="4">
        <f>$Q$4*'NIFTY MEMBS'!R67</f>
        <v>18088.838329056322</v>
      </c>
      <c r="R78" s="4">
        <f>$R$4*'NIFTY MEMBS'!S67</f>
        <v>20090.241984799508</v>
      </c>
      <c r="S78" s="4">
        <f>$S$4*'NIFTY MEMBS'!T67</f>
        <v>20363.873857062885</v>
      </c>
      <c r="T78" s="4">
        <f>$T$4*'NIFTY MEMBS'!U67</f>
        <v>24261.608728749045</v>
      </c>
      <c r="U78" s="4">
        <f>$U$4*'NIFTY MEMBS'!V67</f>
        <v>18908.062756427003</v>
      </c>
      <c r="V78" s="4">
        <f>$V$4*'NIFTY MEMBS'!W67</f>
        <v>21004.046156151653</v>
      </c>
      <c r="W78" s="4">
        <f>$W$4*'NIFTY MEMBS'!X67</f>
        <v>15228.209764918627</v>
      </c>
      <c r="X78" s="4">
        <f>$X$4*'NIFTY MEMBS'!Y67</f>
        <v>18845.491097070644</v>
      </c>
      <c r="Y78" s="4">
        <f>$Y$4*'NIFTY MEMBS'!Z67</f>
        <v>19076.598438489134</v>
      </c>
      <c r="Z78" s="4">
        <f>$Z$4*'NIFTY MEMBS'!AA67</f>
        <v>19054.100034025181</v>
      </c>
      <c r="AA78" s="4">
        <f>$AA$4*'NIFTY MEMBS'!AB67</f>
        <v>22215.472969241811</v>
      </c>
      <c r="AB78" s="4">
        <f>$AB$4*'NIFTY MEMBS'!AC67</f>
        <v>16403.596403596403</v>
      </c>
      <c r="AC78" s="4">
        <f>$AC$4*'NIFTY MEMBS'!AD67</f>
        <v>18936.855670103094</v>
      </c>
      <c r="AD78" s="4">
        <f>$AD$4*'NIFTY MEMBS'!AE67</f>
        <v>16385.719052385721</v>
      </c>
      <c r="AE78" s="4">
        <f>$AE$4*'NIFTY MEMBS'!AF67</f>
        <v>17584.934586496274</v>
      </c>
      <c r="AF78" s="4">
        <f>$AF$4*'NIFTY MEMBS'!AG67</f>
        <v>20446.054715466558</v>
      </c>
      <c r="AG78" s="4">
        <f>$AG$4*'NIFTY MEMBS'!AH67</f>
        <v>19930.124223602485</v>
      </c>
      <c r="AH78" s="4">
        <f>$AH$4*'NIFTY MEMBS'!AI67</f>
        <v>20856.521177924067</v>
      </c>
      <c r="AI78" s="4">
        <f>$AI$4*'NIFTY MEMBS'!AJ67</f>
        <v>20533.859880064352</v>
      </c>
      <c r="AJ78" s="4">
        <f>$AJ$4*'NIFTY MEMBS'!AK67</f>
        <v>14604.696994580392</v>
      </c>
      <c r="AK78" s="4">
        <f>$AK$4*'NIFTY MEMBS'!AL67</f>
        <v>21431.116024814201</v>
      </c>
      <c r="AL78" s="4">
        <f>$AL$4*'NIFTY MEMBS'!AM67</f>
        <v>21484.453360080239</v>
      </c>
      <c r="AM78" s="4">
        <f>$AM$4*'NIFTY MEMBS'!AN67</f>
        <v>15740.833751883478</v>
      </c>
      <c r="AN78" s="4">
        <f>$AN$4*'NIFTY MEMBS'!AO67</f>
        <v>21602.399314481572</v>
      </c>
      <c r="AO78" s="4">
        <f>$AO$4*'NIFTY MEMBS'!AP67</f>
        <v>22328.25664290343</v>
      </c>
      <c r="AP78" s="4">
        <f>$AP$4*'NIFTY MEMBS'!AQ67</f>
        <v>20236.107597605194</v>
      </c>
      <c r="AQ78" s="4">
        <f>$AQ$4*'NIFTY MEMBS'!AR67</f>
        <v>15505.472899609709</v>
      </c>
      <c r="AR78" s="4">
        <f>$AR$4*'NIFTY MEMBS'!AS67</f>
        <v>18510.888758092995</v>
      </c>
      <c r="AS78" s="4">
        <f>$AS$4*'NIFTY MEMBS'!AT67</f>
        <v>18222.167945560508</v>
      </c>
      <c r="AT78" s="4">
        <f>$AT$4*'NIFTY MEMBS'!AU67</f>
        <v>22393.914994946292</v>
      </c>
      <c r="AU78" s="4">
        <f>$AU$4*'NIFTY MEMBS'!AV67</f>
        <v>23641.203955231987</v>
      </c>
      <c r="AV78" s="4">
        <f>$AV$4*'NIFTY MEMBS'!AW67</f>
        <v>16215.485756026297</v>
      </c>
      <c r="AW78" s="4">
        <f>$AW$4*'NIFTY MEMBS'!AX67</f>
        <v>17489.932725512921</v>
      </c>
      <c r="AX78" s="4">
        <f>$AX$4*'NIFTY MEMBS'!AY67</f>
        <v>14070.55910872705</v>
      </c>
      <c r="AY78" s="4">
        <f t="shared" ref="AY78:AY141" si="10">SUM(B78:AX78)</f>
        <v>941492.08555307367</v>
      </c>
      <c r="AZ78" s="4">
        <f t="shared" ref="AZ78:AZ141" si="11">AY78/$AY$13*100</f>
        <v>96.070620974803433</v>
      </c>
    </row>
    <row r="79" spans="1:52" ht="14.25" customHeight="1" x14ac:dyDescent="0.3">
      <c r="A79" s="2">
        <v>45754</v>
      </c>
      <c r="B79" s="4">
        <f>$B$4*'NIFTY MEMBS'!C68</f>
        <v>19090.276356192426</v>
      </c>
      <c r="C79" s="4">
        <f>$C$4*'NIFTY MEMBS'!D68</f>
        <v>19718.862886759856</v>
      </c>
      <c r="D79" s="4">
        <f>$D$4*'NIFTY MEMBS'!E68</f>
        <v>21139.938584947045</v>
      </c>
      <c r="E79" s="4">
        <f>$E$4*'NIFTY MEMBS'!F68</f>
        <v>15922.625199090568</v>
      </c>
      <c r="F79" s="4">
        <f>$F$4*'NIFTY MEMBS'!G68</f>
        <v>20060.764227008916</v>
      </c>
      <c r="G79" s="4">
        <f>$G$4*'NIFTY MEMBS'!H68</f>
        <v>18832.576903681289</v>
      </c>
      <c r="H79" s="4">
        <f>$H$4*'NIFTY MEMBS'!I68</f>
        <v>14839.309428950863</v>
      </c>
      <c r="I79" s="4">
        <f>$I$4*'NIFTY MEMBS'!J68</f>
        <v>19373.842642435728</v>
      </c>
      <c r="J79" s="4">
        <f>$J$4*'NIFTY MEMBS'!K68</f>
        <v>24708.375989502976</v>
      </c>
      <c r="K79" s="4">
        <f>$K$4*'NIFTY MEMBS'!L68</f>
        <v>17738.412476519155</v>
      </c>
      <c r="L79" s="4">
        <f>$L$4*'NIFTY MEMBS'!M68</f>
        <v>16733.469665985001</v>
      </c>
      <c r="M79" s="4">
        <f>$M$4*'NIFTY MEMBS'!N68</f>
        <v>20216.714399150631</v>
      </c>
      <c r="N79" s="4">
        <f>$N$4*'NIFTY MEMBS'!O68</f>
        <v>16166.450356911097</v>
      </c>
      <c r="O79" s="4">
        <f>$O$4*'NIFTY MEMBS'!P68</f>
        <v>22789.644374860207</v>
      </c>
      <c r="P79" s="4">
        <f>$P$4*'NIFTY MEMBS'!Q68</f>
        <v>14373.806846413347</v>
      </c>
      <c r="Q79" s="4">
        <f>$Q$4*'NIFTY MEMBS'!R68</f>
        <v>17633.799835974496</v>
      </c>
      <c r="R79" s="4">
        <f>$R$4*'NIFTY MEMBS'!S68</f>
        <v>19553.769546606098</v>
      </c>
      <c r="S79" s="4">
        <f>$S$4*'NIFTY MEMBS'!T68</f>
        <v>19554.954282515395</v>
      </c>
      <c r="T79" s="4">
        <f>$T$4*'NIFTY MEMBS'!U68</f>
        <v>23504.821111393048</v>
      </c>
      <c r="U79" s="4">
        <f>$U$4*'NIFTY MEMBS'!V68</f>
        <v>18576.148255143908</v>
      </c>
      <c r="V79" s="4">
        <f>$V$4*'NIFTY MEMBS'!W68</f>
        <v>20968.080323692495</v>
      </c>
      <c r="W79" s="4">
        <f>$W$4*'NIFTY MEMBS'!X68</f>
        <v>15163.110307414107</v>
      </c>
      <c r="X79" s="4">
        <f>$X$4*'NIFTY MEMBS'!Y68</f>
        <v>18226.799048166078</v>
      </c>
      <c r="Y79" s="4">
        <f>$Y$4*'NIFTY MEMBS'!Z68</f>
        <v>18555.813462755857</v>
      </c>
      <c r="Z79" s="4">
        <f>$Z$4*'NIFTY MEMBS'!AA68</f>
        <v>18516.502211636616</v>
      </c>
      <c r="AA79" s="4">
        <f>$AA$4*'NIFTY MEMBS'!AB68</f>
        <v>20548.89833784306</v>
      </c>
      <c r="AB79" s="4">
        <f>$AB$4*'NIFTY MEMBS'!AC68</f>
        <v>16177.156177156177</v>
      </c>
      <c r="AC79" s="4">
        <f>$AC$4*'NIFTY MEMBS'!AD68</f>
        <v>18646.907216494845</v>
      </c>
      <c r="AD79" s="4">
        <f>$AD$4*'NIFTY MEMBS'!AE68</f>
        <v>15475.475475475474</v>
      </c>
      <c r="AE79" s="4">
        <f>$AE$4*'NIFTY MEMBS'!AF68</f>
        <v>16719.314001979281</v>
      </c>
      <c r="AF79" s="4">
        <f>$AF$4*'NIFTY MEMBS'!AG68</f>
        <v>20318.486538086043</v>
      </c>
      <c r="AG79" s="4">
        <f>$AG$4*'NIFTY MEMBS'!AH68</f>
        <v>19539.337474120082</v>
      </c>
      <c r="AH79" s="4">
        <f>$AH$4*'NIFTY MEMBS'!AI68</f>
        <v>20735.372757279049</v>
      </c>
      <c r="AI79" s="4">
        <f>$AI$4*'NIFTY MEMBS'!AJ68</f>
        <v>18938.130759104868</v>
      </c>
      <c r="AJ79" s="4">
        <f>$AJ$4*'NIFTY MEMBS'!AK68</f>
        <v>14026.605353916902</v>
      </c>
      <c r="AK79" s="4">
        <f>$AK$4*'NIFTY MEMBS'!AL68</f>
        <v>20548.287369735681</v>
      </c>
      <c r="AL79" s="4">
        <f>$AL$4*'NIFTY MEMBS'!AM68</f>
        <v>20736.699895605179</v>
      </c>
      <c r="AM79" s="4">
        <f>$AM$4*'NIFTY MEMBS'!AN68</f>
        <v>13415.156938618147</v>
      </c>
      <c r="AN79" s="4">
        <f>$AN$4*'NIFTY MEMBS'!AO68</f>
        <v>20862.610682662093</v>
      </c>
      <c r="AO79" s="4">
        <f>$AO$4*'NIFTY MEMBS'!AP68</f>
        <v>21579.714841218403</v>
      </c>
      <c r="AP79" s="4">
        <f>$AP$4*'NIFTY MEMBS'!AQ68</f>
        <v>18949.321190656883</v>
      </c>
      <c r="AQ79" s="4">
        <f>$AQ$4*'NIFTY MEMBS'!AR68</f>
        <v>15118.701763652904</v>
      </c>
      <c r="AR79" s="4">
        <f>$AR$4*'NIFTY MEMBS'!AS68</f>
        <v>18111.307304950624</v>
      </c>
      <c r="AS79" s="4">
        <f>$AS$4*'NIFTY MEMBS'!AT68</f>
        <v>18137.360661632505</v>
      </c>
      <c r="AT79" s="4">
        <f>$AT$4*'NIFTY MEMBS'!AU68</f>
        <v>21037.123327565823</v>
      </c>
      <c r="AU79" s="4">
        <f>$AU$4*'NIFTY MEMBS'!AV68</f>
        <v>22761.056177333478</v>
      </c>
      <c r="AV79" s="4">
        <f>$AV$4*'NIFTY MEMBS'!AW68</f>
        <v>15893.352812271733</v>
      </c>
      <c r="AW79" s="4">
        <f>$AW$4*'NIFTY MEMBS'!AX68</f>
        <v>16857.576445565021</v>
      </c>
      <c r="AX79" s="4">
        <f>$AX$4*'NIFTY MEMBS'!AY68</f>
        <v>13944.708066845473</v>
      </c>
      <c r="AY79" s="4">
        <f t="shared" si="10"/>
        <v>911037.53029347688</v>
      </c>
      <c r="AZ79" s="4">
        <f t="shared" si="11"/>
        <v>92.963013295252736</v>
      </c>
    </row>
    <row r="80" spans="1:52" ht="14.25" customHeight="1" x14ac:dyDescent="0.3">
      <c r="A80" s="2">
        <v>45755</v>
      </c>
      <c r="B80" s="4">
        <f>$B$4*'NIFTY MEMBS'!C69</f>
        <v>19360.491299897647</v>
      </c>
      <c r="C80" s="4">
        <f>$C$4*'NIFTY MEMBS'!D69</f>
        <v>19847.427584195295</v>
      </c>
      <c r="D80" s="4">
        <f>$D$4*'NIFTY MEMBS'!E69</f>
        <v>21562.950429278688</v>
      </c>
      <c r="E80" s="4">
        <f>$E$4*'NIFTY MEMBS'!F69</f>
        <v>16014.541210227479</v>
      </c>
      <c r="F80" s="4">
        <f>$F$4*'NIFTY MEMBS'!G69</f>
        <v>20253.184279203833</v>
      </c>
      <c r="G80" s="4">
        <f>$G$4*'NIFTY MEMBS'!H69</f>
        <v>19379.727685325262</v>
      </c>
      <c r="H80" s="4">
        <f>$H$4*'NIFTY MEMBS'!I69</f>
        <v>15179.81407702523</v>
      </c>
      <c r="I80" s="4">
        <f>$I$4*'NIFTY MEMBS'!J69</f>
        <v>19717.066448473368</v>
      </c>
      <c r="J80" s="4">
        <f>$J$4*'NIFTY MEMBS'!K69</f>
        <v>25441.437284616382</v>
      </c>
      <c r="K80" s="4">
        <f>$K$4*'NIFTY MEMBS'!L69</f>
        <v>18022.366869075184</v>
      </c>
      <c r="L80" s="4">
        <f>$L$4*'NIFTY MEMBS'!M69</f>
        <v>17238.445807770961</v>
      </c>
      <c r="M80" s="4">
        <f>$M$4*'NIFTY MEMBS'!N69</f>
        <v>20447.168616114843</v>
      </c>
      <c r="N80" s="4">
        <f>$N$4*'NIFTY MEMBS'!O69</f>
        <v>16376.703439325114</v>
      </c>
      <c r="O80" s="4">
        <f>$O$4*'NIFTY MEMBS'!P69</f>
        <v>22983.113397450234</v>
      </c>
      <c r="P80" s="4">
        <f>$P$4*'NIFTY MEMBS'!Q69</f>
        <v>14679.777190826118</v>
      </c>
      <c r="Q80" s="4">
        <f>$Q$4*'NIFTY MEMBS'!R69</f>
        <v>17866.6102277838</v>
      </c>
      <c r="R80" s="4">
        <f>$R$4*'NIFTY MEMBS'!S69</f>
        <v>19691.534899973791</v>
      </c>
      <c r="S80" s="4">
        <f>$S$4*'NIFTY MEMBS'!T69</f>
        <v>20112.894196678484</v>
      </c>
      <c r="T80" s="4">
        <f>$T$4*'NIFTY MEMBS'!U69</f>
        <v>24146.155798020805</v>
      </c>
      <c r="U80" s="4">
        <f>$U$4*'NIFTY MEMBS'!V69</f>
        <v>19191.419395485351</v>
      </c>
      <c r="V80" s="4">
        <f>$V$4*'NIFTY MEMBS'!W69</f>
        <v>21156.900944103101</v>
      </c>
      <c r="W80" s="4">
        <f>$W$4*'NIFTY MEMBS'!X69</f>
        <v>15565.280289330924</v>
      </c>
      <c r="X80" s="4">
        <f>$X$4*'NIFTY MEMBS'!Y69</f>
        <v>18566.505292524816</v>
      </c>
      <c r="Y80" s="4">
        <f>$Y$4*'NIFTY MEMBS'!Z69</f>
        <v>19131.462333825701</v>
      </c>
      <c r="Z80" s="4">
        <f>$Z$4*'NIFTY MEMBS'!AA69</f>
        <v>19152.773052058525</v>
      </c>
      <c r="AA80" s="4">
        <f>$AA$4*'NIFTY MEMBS'!AB69</f>
        <v>21085.648020321387</v>
      </c>
      <c r="AB80" s="4">
        <f>$AB$4*'NIFTY MEMBS'!AC69</f>
        <v>16466.866466866468</v>
      </c>
      <c r="AC80" s="4">
        <f>$AC$4*'NIFTY MEMBS'!AD69</f>
        <v>18617.912371134022</v>
      </c>
      <c r="AD80" s="4">
        <f>$AD$4*'NIFTY MEMBS'!AE69</f>
        <v>15718.385051718386</v>
      </c>
      <c r="AE80" s="4">
        <f>$AE$4*'NIFTY MEMBS'!AF69</f>
        <v>17156.929483842552</v>
      </c>
      <c r="AF80" s="4">
        <f>$AF$4*'NIFTY MEMBS'!AG69</f>
        <v>20777.124509144553</v>
      </c>
      <c r="AG80" s="4">
        <f>$AG$4*'NIFTY MEMBS'!AH69</f>
        <v>19816.252587991719</v>
      </c>
      <c r="AH80" s="4">
        <f>$AH$4*'NIFTY MEMBS'!AI69</f>
        <v>20978.775976839817</v>
      </c>
      <c r="AI80" s="4">
        <f>$AI$4*'NIFTY MEMBS'!AJ69</f>
        <v>19055.141143776509</v>
      </c>
      <c r="AJ80" s="4">
        <f>$AJ$4*'NIFTY MEMBS'!AK69</f>
        <v>14768.270651995404</v>
      </c>
      <c r="AK80" s="4">
        <f>$AK$4*'NIFTY MEMBS'!AL69</f>
        <v>21211.227811559485</v>
      </c>
      <c r="AL80" s="4">
        <f>$AL$4*'NIFTY MEMBS'!AM69</f>
        <v>21416.699076822304</v>
      </c>
      <c r="AM80" s="4">
        <f>$AM$4*'NIFTY MEMBS'!AN69</f>
        <v>13489.434851196582</v>
      </c>
      <c r="AN80" s="4">
        <f>$AN$4*'NIFTY MEMBS'!AO69</f>
        <v>21251.071122536414</v>
      </c>
      <c r="AO80" s="4">
        <f>$AO$4*'NIFTY MEMBS'!AP69</f>
        <v>22221.322099805569</v>
      </c>
      <c r="AP80" s="4">
        <f>$AP$4*'NIFTY MEMBS'!AQ69</f>
        <v>19170.250442701745</v>
      </c>
      <c r="AQ80" s="4">
        <f>$AQ$4*'NIFTY MEMBS'!AR69</f>
        <v>15428.58819731784</v>
      </c>
      <c r="AR80" s="4">
        <f>$AR$4*'NIFTY MEMBS'!AS69</f>
        <v>18737.165652998494</v>
      </c>
      <c r="AS80" s="4">
        <f>$AS$4*'NIFTY MEMBS'!AT69</f>
        <v>18333.570793728333</v>
      </c>
      <c r="AT80" s="4">
        <f>$AT$4*'NIFTY MEMBS'!AU69</f>
        <v>21977.626642454557</v>
      </c>
      <c r="AU80" s="4">
        <f>$AU$4*'NIFTY MEMBS'!AV69</f>
        <v>23247.853960665001</v>
      </c>
      <c r="AV80" s="4">
        <f>$AV$4*'NIFTY MEMBS'!AW69</f>
        <v>16186.267348429512</v>
      </c>
      <c r="AW80" s="4">
        <f>$AW$4*'NIFTY MEMBS'!AX69</f>
        <v>17083.417974117841</v>
      </c>
      <c r="AX80" s="4">
        <f>$AX$4*'NIFTY MEMBS'!AY69</f>
        <v>14022.075510625129</v>
      </c>
      <c r="AY80" s="4">
        <f t="shared" si="10"/>
        <v>929303.62979718053</v>
      </c>
      <c r="AZ80" s="4">
        <f t="shared" si="11"/>
        <v>94.826900999712308</v>
      </c>
    </row>
    <row r="81" spans="1:52" ht="14.25" customHeight="1" x14ac:dyDescent="0.3">
      <c r="A81" s="2">
        <v>45756</v>
      </c>
      <c r="B81" s="4">
        <f>$B$4*'NIFTY MEMBS'!C70</f>
        <v>19412.077789150459</v>
      </c>
      <c r="C81" s="4">
        <f>$C$4*'NIFTY MEMBS'!D70</f>
        <v>19800.75837465503</v>
      </c>
      <c r="D81" s="4">
        <f>$D$4*'NIFTY MEMBS'!E70</f>
        <v>21502.162060537692</v>
      </c>
      <c r="E81" s="4">
        <f>$E$4*'NIFTY MEMBS'!F70</f>
        <v>15789.128135296478</v>
      </c>
      <c r="F81" s="4">
        <f>$F$4*'NIFTY MEMBS'!G70</f>
        <v>20267.206793128968</v>
      </c>
      <c r="G81" s="4">
        <f>$G$4*'NIFTY MEMBS'!H70</f>
        <v>18714.069591527987</v>
      </c>
      <c r="H81" s="4">
        <f>$H$4*'NIFTY MEMBS'!I70</f>
        <v>14913.147410358566</v>
      </c>
      <c r="I81" s="4">
        <f>$I$4*'NIFTY MEMBS'!J70</f>
        <v>20240.299728693855</v>
      </c>
      <c r="J81" s="4">
        <f>$J$4*'NIFTY MEMBS'!K70</f>
        <v>25192.277190604589</v>
      </c>
      <c r="K81" s="4">
        <f>$K$4*'NIFTY MEMBS'!L70</f>
        <v>18186.186710934428</v>
      </c>
      <c r="L81" s="4">
        <f>$L$4*'NIFTY MEMBS'!M70</f>
        <v>16655.21472392638</v>
      </c>
      <c r="M81" s="4">
        <f>$M$4*'NIFTY MEMBS'!N70</f>
        <v>20444.49202822908</v>
      </c>
      <c r="N81" s="4">
        <f>$N$4*'NIFTY MEMBS'!O70</f>
        <v>16373.134328358208</v>
      </c>
      <c r="O81" s="4">
        <f>$O$4*'NIFTY MEMBS'!P70</f>
        <v>22955.714605233723</v>
      </c>
      <c r="P81" s="4">
        <f>$P$4*'NIFTY MEMBS'!Q70</f>
        <v>14435.523941525667</v>
      </c>
      <c r="Q81" s="4">
        <f>$Q$4*'NIFTY MEMBS'!R70</f>
        <v>17484.060424878964</v>
      </c>
      <c r="R81" s="4">
        <f>$R$4*'NIFTY MEMBS'!S70</f>
        <v>19912.728225735998</v>
      </c>
      <c r="S81" s="4">
        <f>$S$4*'NIFTY MEMBS'!T70</f>
        <v>19810.598992349322</v>
      </c>
      <c r="T81" s="4">
        <f>$T$4*'NIFTY MEMBS'!U70</f>
        <v>24051.002283684342</v>
      </c>
      <c r="U81" s="4">
        <f>$U$4*'NIFTY MEMBS'!V70</f>
        <v>19510.118782365509</v>
      </c>
      <c r="V81" s="4">
        <f>$V$4*'NIFTY MEMBS'!W70</f>
        <v>20941.105949348123</v>
      </c>
      <c r="W81" s="4">
        <f>$W$4*'NIFTY MEMBS'!X70</f>
        <v>15290.415913200724</v>
      </c>
      <c r="X81" s="4">
        <f>$X$4*'NIFTY MEMBS'!Y70</f>
        <v>18573.890210880443</v>
      </c>
      <c r="Y81" s="4">
        <f>$Y$4*'NIFTY MEMBS'!Z70</f>
        <v>18733.066047689386</v>
      </c>
      <c r="Z81" s="4">
        <f>$Z$4*'NIFTY MEMBS'!AA70</f>
        <v>19064.307587614836</v>
      </c>
      <c r="AA81" s="4">
        <f>$AA$4*'NIFTY MEMBS'!AB70</f>
        <v>20885.747418410734</v>
      </c>
      <c r="AB81" s="4">
        <f>$AB$4*'NIFTY MEMBS'!AC70</f>
        <v>15760.90576090576</v>
      </c>
      <c r="AC81" s="4">
        <f>$AC$4*'NIFTY MEMBS'!AD70</f>
        <v>18904.639175257733</v>
      </c>
      <c r="AD81" s="4">
        <f>$AD$4*'NIFTY MEMBS'!AE70</f>
        <v>15559.559559559559</v>
      </c>
      <c r="AE81" s="4">
        <f>$AE$4*'NIFTY MEMBS'!AF70</f>
        <v>17326.827259154172</v>
      </c>
      <c r="AF81" s="4">
        <f>$AF$4*'NIFTY MEMBS'!AG70</f>
        <v>20924.218427960859</v>
      </c>
      <c r="AG81" s="4">
        <f>$AG$4*'NIFTY MEMBS'!AH70</f>
        <v>19389.233954451349</v>
      </c>
      <c r="AH81" s="4">
        <f>$AH$4*'NIFTY MEMBS'!AI70</f>
        <v>21619.184599214477</v>
      </c>
      <c r="AI81" s="4">
        <f>$AI$4*'NIFTY MEMBS'!AJ70</f>
        <v>18601.725903173905</v>
      </c>
      <c r="AJ81" s="4">
        <f>$AJ$4*'NIFTY MEMBS'!AK70</f>
        <v>14512.727869929382</v>
      </c>
      <c r="AK81" s="4">
        <f>$AK$4*'NIFTY MEMBS'!AL70</f>
        <v>20946.706795241895</v>
      </c>
      <c r="AL81" s="4">
        <f>$AL$4*'NIFTY MEMBS'!AM70</f>
        <v>21527.03006980124</v>
      </c>
      <c r="AM81" s="4">
        <f>$AM$4*'NIFTY MEMBS'!AN70</f>
        <v>13073.478540757351</v>
      </c>
      <c r="AN81" s="4">
        <f>$AN$4*'NIFTY MEMBS'!AO70</f>
        <v>21160.382747786345</v>
      </c>
      <c r="AO81" s="4">
        <f>$AO$4*'NIFTY MEMBS'!AP70</f>
        <v>22190.537913156182</v>
      </c>
      <c r="AP81" s="4">
        <f>$AP$4*'NIFTY MEMBS'!AQ70</f>
        <v>19023.526435618514</v>
      </c>
      <c r="AQ81" s="4">
        <f>$AQ$4*'NIFTY MEMBS'!AR70</f>
        <v>14939.695395721455</v>
      </c>
      <c r="AR81" s="4">
        <f>$AR$4*'NIFTY MEMBS'!AS70</f>
        <v>18515.466614348308</v>
      </c>
      <c r="AS81" s="4">
        <f>$AS$4*'NIFTY MEMBS'!AT70</f>
        <v>18546.606690955472</v>
      </c>
      <c r="AT81" s="4">
        <f>$AT$4*'NIFTY MEMBS'!AU70</f>
        <v>21398.591814708852</v>
      </c>
      <c r="AU81" s="4">
        <f>$AU$4*'NIFTY MEMBS'!AV70</f>
        <v>23682.494838639574</v>
      </c>
      <c r="AV81" s="4">
        <f>$AV$4*'NIFTY MEMBS'!AW70</f>
        <v>15983.199415631849</v>
      </c>
      <c r="AW81" s="4">
        <f>$AW$4*'NIFTY MEMBS'!AX70</f>
        <v>17259.072496325593</v>
      </c>
      <c r="AX81" s="4">
        <f>$AX$4*'NIFTY MEMBS'!AY70</f>
        <v>13999.381060449763</v>
      </c>
      <c r="AY81" s="4">
        <f t="shared" si="10"/>
        <v>923983.62858706934</v>
      </c>
      <c r="AZ81" s="4">
        <f t="shared" si="11"/>
        <v>94.284043733374418</v>
      </c>
    </row>
    <row r="82" spans="1:52" ht="14.25" customHeight="1" x14ac:dyDescent="0.3">
      <c r="A82" s="2">
        <v>45758</v>
      </c>
      <c r="B82" s="4">
        <f>$B$4*'NIFTY MEMBS'!C71</f>
        <v>19962.333674513819</v>
      </c>
      <c r="C82" s="4">
        <f>$C$4*'NIFTY MEMBS'!D71</f>
        <v>20269.245439655366</v>
      </c>
      <c r="D82" s="4">
        <f>$D$4*'NIFTY MEMBS'!E71</f>
        <v>22016.669800087733</v>
      </c>
      <c r="E82" s="4">
        <f>$E$4*'NIFTY MEMBS'!F71</f>
        <v>15715.692592007197</v>
      </c>
      <c r="F82" s="4">
        <f>$F$4*'NIFTY MEMBS'!G71</f>
        <v>20436.255988781988</v>
      </c>
      <c r="G82" s="4">
        <f>$G$4*'NIFTY MEMBS'!H71</f>
        <v>19007.81643973777</v>
      </c>
      <c r="H82" s="4">
        <f>$H$4*'NIFTY MEMBS'!I71</f>
        <v>14974.236387782204</v>
      </c>
      <c r="I82" s="4">
        <f>$I$4*'NIFTY MEMBS'!J71</f>
        <v>20379.397958744245</v>
      </c>
      <c r="J82" s="4">
        <f>$J$4*'NIFTY MEMBS'!K71</f>
        <v>25726.644845933126</v>
      </c>
      <c r="K82" s="4">
        <f>$K$4*'NIFTY MEMBS'!L71</f>
        <v>18415.534489537371</v>
      </c>
      <c r="L82" s="4">
        <f>$L$4*'NIFTY MEMBS'!M71</f>
        <v>16992.229038854803</v>
      </c>
      <c r="M82" s="4">
        <f>$M$4*'NIFTY MEMBS'!N71</f>
        <v>20697.251144241323</v>
      </c>
      <c r="N82" s="4">
        <f>$N$4*'NIFTY MEMBS'!O71</f>
        <v>16744.646333549641</v>
      </c>
      <c r="O82" s="4">
        <f>$O$4*'NIFTY MEMBS'!P71</f>
        <v>23609.930664280917</v>
      </c>
      <c r="P82" s="4">
        <f>$P$4*'NIFTY MEMBS'!Q71</f>
        <v>14545.882476006171</v>
      </c>
      <c r="Q82" s="4">
        <f>$Q$4*'NIFTY MEMBS'!R71</f>
        <v>17858.144395354371</v>
      </c>
      <c r="R82" s="4">
        <f>$R$4*'NIFTY MEMBS'!S71</f>
        <v>20097.230715471302</v>
      </c>
      <c r="S82" s="4">
        <f>$S$4*'NIFTY MEMBS'!T71</f>
        <v>19946.818436275425</v>
      </c>
      <c r="T82" s="4">
        <f>$T$4*'NIFTY MEMBS'!U71</f>
        <v>24692.971327074345</v>
      </c>
      <c r="U82" s="4">
        <f>$U$4*'NIFTY MEMBS'!V71</f>
        <v>19883.522596308991</v>
      </c>
      <c r="V82" s="4">
        <f>$V$4*'NIFTY MEMBS'!W71</f>
        <v>21585.493780908138</v>
      </c>
      <c r="W82" s="4">
        <f>$W$4*'NIFTY MEMBS'!X71</f>
        <v>15710.669077757686</v>
      </c>
      <c r="X82" s="4">
        <f>$X$4*'NIFTY MEMBS'!Y71</f>
        <v>19111.348157873141</v>
      </c>
      <c r="Y82" s="4">
        <f>$Y$4*'NIFTY MEMBS'!Z71</f>
        <v>19444.608567208274</v>
      </c>
      <c r="Z82" s="4">
        <f>$Z$4*'NIFTY MEMBS'!AA71</f>
        <v>19394.351820347059</v>
      </c>
      <c r="AA82" s="4">
        <f>$AA$4*'NIFTY MEMBS'!AB71</f>
        <v>21873.101772599261</v>
      </c>
      <c r="AB82" s="4">
        <f>$AB$4*'NIFTY MEMBS'!AC71</f>
        <v>15967.365967365966</v>
      </c>
      <c r="AC82" s="4">
        <f>$AC$4*'NIFTY MEMBS'!AD71</f>
        <v>19594.072164948459</v>
      </c>
      <c r="AD82" s="4">
        <f>$AD$4*'NIFTY MEMBS'!AE71</f>
        <v>15883.883883883882</v>
      </c>
      <c r="AE82" s="4">
        <f>$AE$4*'NIFTY MEMBS'!AF71</f>
        <v>17776.570124305679</v>
      </c>
      <c r="AF82" s="4">
        <f>$AF$4*'NIFTY MEMBS'!AG71</f>
        <v>20771.917644761674</v>
      </c>
      <c r="AG82" s="4">
        <f>$AG$4*'NIFTY MEMBS'!AH71</f>
        <v>20295.031055900621</v>
      </c>
      <c r="AH82" s="4">
        <f>$AH$4*'NIFTY MEMBS'!AI71</f>
        <v>21771.680404196864</v>
      </c>
      <c r="AI82" s="4">
        <f>$AI$4*'NIFTY MEMBS'!AJ71</f>
        <v>19514.406903612693</v>
      </c>
      <c r="AJ82" s="4">
        <f>$AJ$4*'NIFTY MEMBS'!AK71</f>
        <v>15110.527180160949</v>
      </c>
      <c r="AK82" s="4">
        <f>$AK$4*'NIFTY MEMBS'!AL71</f>
        <v>21712.425526687548</v>
      </c>
      <c r="AL82" s="4">
        <f>$AL$4*'NIFTY MEMBS'!AM71</f>
        <v>21906.126542893984</v>
      </c>
      <c r="AM82" s="4">
        <f>$AM$4*'NIFTY MEMBS'!AN71</f>
        <v>13527.2104753079</v>
      </c>
      <c r="AN82" s="4">
        <f>$AN$4*'NIFTY MEMBS'!AO71</f>
        <v>21735.218508997426</v>
      </c>
      <c r="AO82" s="4">
        <f>$AO$4*'NIFTY MEMBS'!AP71</f>
        <v>22214.841218405698</v>
      </c>
      <c r="AP82" s="4">
        <f>$AP$4*'NIFTY MEMBS'!AQ71</f>
        <v>20247.912977485452</v>
      </c>
      <c r="AQ82" s="4">
        <f>$AQ$4*'NIFTY MEMBS'!AR71</f>
        <v>15051.207559350882</v>
      </c>
      <c r="AR82" s="4">
        <f>$AR$4*'NIFTY MEMBS'!AS71</f>
        <v>19136.093126675823</v>
      </c>
      <c r="AS82" s="4">
        <f>$AS$4*'NIFTY MEMBS'!AT71</f>
        <v>18402.366462450726</v>
      </c>
      <c r="AT82" s="4">
        <f>$AT$4*'NIFTY MEMBS'!AU71</f>
        <v>21886.831240470761</v>
      </c>
      <c r="AU82" s="4">
        <f>$AU$4*'NIFTY MEMBS'!AV71</f>
        <v>23859.610996414216</v>
      </c>
      <c r="AV82" s="4">
        <f>$AV$4*'NIFTY MEMBS'!AW71</f>
        <v>16208.911614317019</v>
      </c>
      <c r="AW82" s="4">
        <f>$AW$4*'NIFTY MEMBS'!AX71</f>
        <v>17522.434786764967</v>
      </c>
      <c r="AX82" s="4">
        <f>$AX$4*'NIFTY MEMBS'!AY71</f>
        <v>14225.293996286364</v>
      </c>
      <c r="AY82" s="4">
        <f t="shared" si="10"/>
        <v>943413.96828253707</v>
      </c>
      <c r="AZ82" s="4">
        <f t="shared" si="11"/>
        <v>96.266731457401747</v>
      </c>
    </row>
    <row r="83" spans="1:52" ht="14.25" customHeight="1" x14ac:dyDescent="0.3">
      <c r="A83" s="2">
        <v>45762</v>
      </c>
      <c r="B83" s="4">
        <f>$B$4*'NIFTY MEMBS'!C72</f>
        <v>20308.700102354142</v>
      </c>
      <c r="C83" s="4">
        <f>$C$4*'NIFTY MEMBS'!D72</f>
        <v>20921.492517220493</v>
      </c>
      <c r="D83" s="4">
        <f>$D$4*'NIFTY MEMBS'!E72</f>
        <v>22545.59127655574</v>
      </c>
      <c r="E83" s="4">
        <f>$E$4*'NIFTY MEMBS'!F72</f>
        <v>15796.909384916533</v>
      </c>
      <c r="F83" s="4">
        <f>$F$4*'NIFTY MEMBS'!G72</f>
        <v>21036.887001908621</v>
      </c>
      <c r="G83" s="4">
        <f>$G$4*'NIFTY MEMBS'!H72</f>
        <v>19251.134644478061</v>
      </c>
      <c r="H83" s="4">
        <f>$H$4*'NIFTY MEMBS'!I72</f>
        <v>15150.066401062417</v>
      </c>
      <c r="I83" s="4">
        <f>$I$4*'NIFTY MEMBS'!J72</f>
        <v>20339.348003961932</v>
      </c>
      <c r="J83" s="4">
        <f>$J$4*'NIFTY MEMBS'!K72</f>
        <v>26360.791890761757</v>
      </c>
      <c r="K83" s="4">
        <f>$K$4*'NIFTY MEMBS'!L72</f>
        <v>18365.296404700537</v>
      </c>
      <c r="L83" s="4">
        <f>$L$4*'NIFTY MEMBS'!M72</f>
        <v>17764.689843217449</v>
      </c>
      <c r="M83" s="4">
        <f>$M$4*'NIFTY MEMBS'!N72</f>
        <v>21153.966257148721</v>
      </c>
      <c r="N83" s="4">
        <f>$N$4*'NIFTY MEMBS'!O72</f>
        <v>17170.668397144709</v>
      </c>
      <c r="O83" s="4">
        <f>$O$4*'NIFTY MEMBS'!P72</f>
        <v>23710.579288749715</v>
      </c>
      <c r="P83" s="4">
        <f>$P$4*'NIFTY MEMBS'!Q72</f>
        <v>14921.938335207511</v>
      </c>
      <c r="Q83" s="4">
        <f>$Q$4*'NIFTY MEMBS'!R72</f>
        <v>18042.805365221302</v>
      </c>
      <c r="R83" s="4">
        <f>$R$4*'NIFTY MEMBS'!S72</f>
        <v>20475.233685681837</v>
      </c>
      <c r="S83" s="4">
        <f>$S$4*'NIFTY MEMBS'!T72</f>
        <v>20765.068109721964</v>
      </c>
      <c r="T83" s="4">
        <f>$T$4*'NIFTY MEMBS'!U72</f>
        <v>24968.282161887844</v>
      </c>
      <c r="U83" s="4">
        <f>$U$4*'NIFTY MEMBS'!V72</f>
        <v>20120.165342594159</v>
      </c>
      <c r="V83" s="4">
        <f>$V$4*'NIFTY MEMBS'!W72</f>
        <v>21729.357110744793</v>
      </c>
      <c r="W83" s="4">
        <f>$W$4*'NIFTY MEMBS'!X72</f>
        <v>16074.502712477397</v>
      </c>
      <c r="X83" s="4">
        <f>$X$4*'NIFTY MEMBS'!Y72</f>
        <v>19870.353655534582</v>
      </c>
      <c r="Y83" s="4">
        <f>$Y$4*'NIFTY MEMBS'!Z72</f>
        <v>19640.430470563409</v>
      </c>
      <c r="Z83" s="4">
        <f>$Z$4*'NIFTY MEMBS'!AA72</f>
        <v>19986.389928547127</v>
      </c>
      <c r="AA83" s="4">
        <f>$AA$4*'NIFTY MEMBS'!AB72</f>
        <v>22265.172013915733</v>
      </c>
      <c r="AB83" s="4">
        <f>$AB$4*'NIFTY MEMBS'!AC72</f>
        <v>16250.41625041625</v>
      </c>
      <c r="AC83" s="4">
        <f>$AC$4*'NIFTY MEMBS'!AD72</f>
        <v>19623.067010309282</v>
      </c>
      <c r="AD83" s="4">
        <f>$AD$4*'NIFTY MEMBS'!AE72</f>
        <v>16608.608608608611</v>
      </c>
      <c r="AE83" s="4">
        <f>$AE$4*'NIFTY MEMBS'!AF72</f>
        <v>18295.187373792269</v>
      </c>
      <c r="AF83" s="4">
        <f>$AF$4*'NIFTY MEMBS'!AG72</f>
        <v>20963.703816197685</v>
      </c>
      <c r="AG83" s="4">
        <f>$AG$4*'NIFTY MEMBS'!AH72</f>
        <v>20458.074534161493</v>
      </c>
      <c r="AH83" s="4">
        <f>$AH$4*'NIFTY MEMBS'!AI72</f>
        <v>21831.609227194782</v>
      </c>
      <c r="AI83" s="4">
        <f>$AI$4*'NIFTY MEMBS'!AJ72</f>
        <v>19951.733216322948</v>
      </c>
      <c r="AJ83" s="4">
        <f>$AJ$4*'NIFTY MEMBS'!AK72</f>
        <v>15672.195762851044</v>
      </c>
      <c r="AK83" s="4">
        <f>$AK$4*'NIFTY MEMBS'!AL72</f>
        <v>22263.988698482892</v>
      </c>
      <c r="AL83" s="4">
        <f>$AL$4*'NIFTY MEMBS'!AM72</f>
        <v>22635.252696866108</v>
      </c>
      <c r="AM83" s="4">
        <f>$AM$4*'NIFTY MEMBS'!AN72</f>
        <v>13800.128748381803</v>
      </c>
      <c r="AN83" s="4">
        <f>$AN$4*'NIFTY MEMBS'!AO72</f>
        <v>22316.481005427016</v>
      </c>
      <c r="AO83" s="4">
        <f>$AO$4*'NIFTY MEMBS'!AP72</f>
        <v>22835.38561244329</v>
      </c>
      <c r="AP83" s="4">
        <f>$AP$4*'NIFTY MEMBS'!AQ72</f>
        <v>20831.436040138291</v>
      </c>
      <c r="AQ83" s="4">
        <f>$AQ$4*'NIFTY MEMBS'!AR72</f>
        <v>15279.514041729026</v>
      </c>
      <c r="AR83" s="4">
        <f>$AR$4*'NIFTY MEMBS'!AS72</f>
        <v>19381.335426067621</v>
      </c>
      <c r="AS83" s="4">
        <f>$AS$4*'NIFTY MEMBS'!AT72</f>
        <v>18739.017456731322</v>
      </c>
      <c r="AT83" s="4">
        <f>$AT$4*'NIFTY MEMBS'!AU72</f>
        <v>23024.343446456405</v>
      </c>
      <c r="AU83" s="4">
        <f>$AU$4*'NIFTY MEMBS'!AV72</f>
        <v>23979.137237857223</v>
      </c>
      <c r="AV83" s="4">
        <f>$AV$4*'NIFTY MEMBS'!AW72</f>
        <v>16872.169466764062</v>
      </c>
      <c r="AW83" s="4">
        <f>$AW$4*'NIFTY MEMBS'!AX72</f>
        <v>18181.557470096908</v>
      </c>
      <c r="AX83" s="4">
        <f>$AX$4*'NIFTY MEMBS'!AY72</f>
        <v>15182.587167319993</v>
      </c>
      <c r="AY83" s="4">
        <f t="shared" si="10"/>
        <v>963712.7506208946</v>
      </c>
      <c r="AZ83" s="4">
        <f t="shared" si="11"/>
        <v>98.338035777642304</v>
      </c>
    </row>
    <row r="84" spans="1:52" ht="14.25" customHeight="1" x14ac:dyDescent="0.3">
      <c r="A84" s="2">
        <v>45763</v>
      </c>
      <c r="B84" s="4">
        <f>$B$4*'NIFTY MEMBS'!C73</f>
        <v>20295.598771750254</v>
      </c>
      <c r="C84" s="4">
        <f>$C$4*'NIFTY MEMBS'!D73</f>
        <v>21068.455653032379</v>
      </c>
      <c r="D84" s="4">
        <f>$D$4*'NIFTY MEMBS'!E73</f>
        <v>22843.892962336278</v>
      </c>
      <c r="E84" s="4">
        <f>$E$4*'NIFTY MEMBS'!F73</f>
        <v>15921.409378837434</v>
      </c>
      <c r="F84" s="4">
        <f>$F$4*'NIFTY MEMBS'!G73</f>
        <v>21133.486542281775</v>
      </c>
      <c r="G84" s="4">
        <f>$G$4*'NIFTY MEMBS'!H73</f>
        <v>19459.15279878971</v>
      </c>
      <c r="H84" s="4">
        <f>$H$4*'NIFTY MEMBS'!I73</f>
        <v>15013.014608233731</v>
      </c>
      <c r="I84" s="4">
        <f>$I$4*'NIFTY MEMBS'!J73</f>
        <v>20383.27376081995</v>
      </c>
      <c r="J84" s="4">
        <f>$J$4*'NIFTY MEMBS'!K73</f>
        <v>26117.111011780311</v>
      </c>
      <c r="K84" s="4">
        <f>$K$4*'NIFTY MEMBS'!L73</f>
        <v>18542.221833908523</v>
      </c>
      <c r="L84" s="4">
        <f>$L$4*'NIFTY MEMBS'!M73</f>
        <v>17601.63599182004</v>
      </c>
      <c r="M84" s="4">
        <f>$M$4*'NIFTY MEMBS'!N73</f>
        <v>20813.14739969487</v>
      </c>
      <c r="N84" s="4">
        <f>$N$4*'NIFTY MEMBS'!O73</f>
        <v>17096.690460739777</v>
      </c>
      <c r="O84" s="4">
        <f>$O$4*'NIFTY MEMBS'!P73</f>
        <v>23746.365466338626</v>
      </c>
      <c r="P84" s="4">
        <f>$P$4*'NIFTY MEMBS'!Q73</f>
        <v>14976.333063103115</v>
      </c>
      <c r="Q84" s="4">
        <f>$Q$4*'NIFTY MEMBS'!R73</f>
        <v>17916.876107833537</v>
      </c>
      <c r="R84" s="4">
        <f>$R$4*'NIFTY MEMBS'!S73</f>
        <v>20490.958329693367</v>
      </c>
      <c r="S84" s="4">
        <f>$S$4*'NIFTY MEMBS'!T73</f>
        <v>21670.08770292965</v>
      </c>
      <c r="T84" s="4">
        <f>$T$4*'NIFTY MEMBS'!U73</f>
        <v>24983.50672418168</v>
      </c>
      <c r="U84" s="4">
        <f>$U$4*'NIFTY MEMBS'!V73</f>
        <v>20112.174808304011</v>
      </c>
      <c r="V84" s="4">
        <f>$V$4*'NIFTY MEMBS'!W73</f>
        <v>21537.539337629252</v>
      </c>
      <c r="W84" s="4">
        <f>$W$4*'NIFTY MEMBS'!X73</f>
        <v>16063.652802893312</v>
      </c>
      <c r="X84" s="4">
        <f>$X$4*'NIFTY MEMBS'!Y73</f>
        <v>20233.03520144416</v>
      </c>
      <c r="Y84" s="4">
        <f>$Y$4*'NIFTY MEMBS'!Z73</f>
        <v>20360.413589364845</v>
      </c>
      <c r="Z84" s="4">
        <f>$Z$4*'NIFTY MEMBS'!AA73</f>
        <v>19979.584892820691</v>
      </c>
      <c r="AA84" s="4">
        <f>$AA$4*'NIFTY MEMBS'!AB73</f>
        <v>22296.095863935057</v>
      </c>
      <c r="AB84" s="4">
        <f>$AB$4*'NIFTY MEMBS'!AC73</f>
        <v>16493.506493506495</v>
      </c>
      <c r="AC84" s="4">
        <f>$AC$4*'NIFTY MEMBS'!AD73</f>
        <v>19700.386597938144</v>
      </c>
      <c r="AD84" s="4">
        <f>$AD$4*'NIFTY MEMBS'!AE73</f>
        <v>16444.444444444442</v>
      </c>
      <c r="AE84" s="4">
        <f>$AE$4*'NIFTY MEMBS'!AF73</f>
        <v>18217.389065905463</v>
      </c>
      <c r="AF84" s="4">
        <f>$AF$4*'NIFTY MEMBS'!AG73</f>
        <v>21347.276159069705</v>
      </c>
      <c r="AG84" s="4">
        <f>$AG$4*'NIFTY MEMBS'!AH73</f>
        <v>20665.113871635611</v>
      </c>
      <c r="AH84" s="4">
        <f>$AH$4*'NIFTY MEMBS'!AI73</f>
        <v>21973.594438605232</v>
      </c>
      <c r="AI84" s="4">
        <f>$AI$4*'NIFTY MEMBS'!AJ73</f>
        <v>20033.640485593096</v>
      </c>
      <c r="AJ84" s="4">
        <f>$AJ$4*'NIFTY MEMBS'!AK73</f>
        <v>15915.913943176221</v>
      </c>
      <c r="AK84" s="4">
        <f>$AK$4*'NIFTY MEMBS'!AL73</f>
        <v>22134.594517126301</v>
      </c>
      <c r="AL84" s="4">
        <f>$AL$4*'NIFTY MEMBS'!AM73</f>
        <v>22989.376292141729</v>
      </c>
      <c r="AM84" s="4">
        <f>$AM$4*'NIFTY MEMBS'!AN73</f>
        <v>14248.625858617299</v>
      </c>
      <c r="AN84" s="4">
        <f>$AN$4*'NIFTY MEMBS'!AO73</f>
        <v>22356.469580119963</v>
      </c>
      <c r="AO84" s="4">
        <f>$AO$4*'NIFTY MEMBS'!AP73</f>
        <v>23203.17563188593</v>
      </c>
      <c r="AP84" s="4">
        <f>$AP$4*'NIFTY MEMBS'!AQ73</f>
        <v>20571.717682772574</v>
      </c>
      <c r="AQ84" s="4">
        <f>$AQ$4*'NIFTY MEMBS'!AR73</f>
        <v>15361.680899140183</v>
      </c>
      <c r="AR84" s="4">
        <f>$AR$4*'NIFTY MEMBS'!AS73</f>
        <v>19572.297429860704</v>
      </c>
      <c r="AS84" s="4">
        <f>$AS$4*'NIFTY MEMBS'!AT73</f>
        <v>19011.757681843777</v>
      </c>
      <c r="AT84" s="4">
        <f>$AT$4*'NIFTY MEMBS'!AU73</f>
        <v>23163.106230620317</v>
      </c>
      <c r="AU84" s="4">
        <f>$AU$4*'NIFTY MEMBS'!AV73</f>
        <v>24033.467347604044</v>
      </c>
      <c r="AV84" s="4">
        <f>$AV$4*'NIFTY MEMBS'!AW73</f>
        <v>16923.301680058437</v>
      </c>
      <c r="AW84" s="4">
        <f>$AW$4*'NIFTY MEMBS'!AX73</f>
        <v>18076.403742516759</v>
      </c>
      <c r="AX84" s="4">
        <f>$AX$4*'NIFTY MEMBS'!AY73</f>
        <v>16262.636682484012</v>
      </c>
      <c r="AY84" s="4">
        <f t="shared" si="10"/>
        <v>969355.59182116296</v>
      </c>
      <c r="AZ84" s="4">
        <f t="shared" si="11"/>
        <v>98.91383590011867</v>
      </c>
    </row>
    <row r="85" spans="1:52" ht="14.25" customHeight="1" x14ac:dyDescent="0.3">
      <c r="A85" s="2">
        <v>45764</v>
      </c>
      <c r="B85" s="4">
        <f>$B$4*'NIFTY MEMBS'!C74</f>
        <v>20872.057318321393</v>
      </c>
      <c r="C85" s="4">
        <f>$C$4*'NIFTY MEMBS'!D74</f>
        <v>21390.428324620254</v>
      </c>
      <c r="D85" s="4">
        <f>$D$4*'NIFTY MEMBS'!E74</f>
        <v>23677.382966723068</v>
      </c>
      <c r="E85" s="4">
        <f>$E$4*'NIFTY MEMBS'!F74</f>
        <v>16043.477732252064</v>
      </c>
      <c r="F85" s="4">
        <f>$F$4*'NIFTY MEMBS'!G74</f>
        <v>21917.189264986562</v>
      </c>
      <c r="G85" s="4">
        <f>$G$4*'NIFTY MEMBS'!H74</f>
        <v>20107.160867372666</v>
      </c>
      <c r="H85" s="4">
        <f>$H$4*'NIFTY MEMBS'!I74</f>
        <v>15081.009296148737</v>
      </c>
      <c r="I85" s="4">
        <f>$I$4*'NIFTY MEMBS'!J74</f>
        <v>20455.622066233154</v>
      </c>
      <c r="J85" s="4">
        <f>$J$4*'NIFTY MEMBS'!K74</f>
        <v>26422.793534526263</v>
      </c>
      <c r="K85" s="4">
        <f>$K$4*'NIFTY MEMBS'!L74</f>
        <v>18664.540649163428</v>
      </c>
      <c r="L85" s="4">
        <f>$L$4*'NIFTY MEMBS'!M74</f>
        <v>17708.520790729381</v>
      </c>
      <c r="M85" s="4">
        <f>$M$4*'NIFTY MEMBS'!N74</f>
        <v>20868.463549333977</v>
      </c>
      <c r="N85" s="4">
        <f>$N$4*'NIFTY MEMBS'!O74</f>
        <v>17387.410772225827</v>
      </c>
      <c r="O85" s="4">
        <f>$O$4*'NIFTY MEMBS'!P74</f>
        <v>24469.917244464323</v>
      </c>
      <c r="P85" s="4">
        <f>$P$4*'NIFTY MEMBS'!Q74</f>
        <v>15042.234368053558</v>
      </c>
      <c r="Q85" s="4">
        <f>$Q$4*'NIFTY MEMBS'!R74</f>
        <v>18534.88187518188</v>
      </c>
      <c r="R85" s="4">
        <f>$R$4*'NIFTY MEMBS'!S74</f>
        <v>20793.220931248361</v>
      </c>
      <c r="S85" s="4">
        <f>$S$4*'NIFTY MEMBS'!T74</f>
        <v>22220.563537973503</v>
      </c>
      <c r="T85" s="4">
        <f>$T$4*'NIFTY MEMBS'!U74</f>
        <v>25822.126363867035</v>
      </c>
      <c r="U85" s="4">
        <f>$U$4*'NIFTY MEMBS'!V74</f>
        <v>20452.694500361111</v>
      </c>
      <c r="V85" s="4">
        <f>$V$4*'NIFTY MEMBS'!W74</f>
        <v>21819.271691892704</v>
      </c>
      <c r="W85" s="4">
        <f>$W$4*'NIFTY MEMBS'!X74</f>
        <v>16752.260397830018</v>
      </c>
      <c r="X85" s="4">
        <f>$X$4*'NIFTY MEMBS'!Y74</f>
        <v>20667.924837942068</v>
      </c>
      <c r="Y85" s="4">
        <f>$Y$4*'NIFTY MEMBS'!Z74</f>
        <v>20552.015193078711</v>
      </c>
      <c r="Z85" s="4">
        <f>$Z$4*'NIFTY MEMBS'!AA74</f>
        <v>20085.06294658047</v>
      </c>
      <c r="AA85" s="4">
        <f>$AA$4*'NIFTY MEMBS'!AB74</f>
        <v>22247.501242476119</v>
      </c>
      <c r="AB85" s="4">
        <f>$AB$4*'NIFTY MEMBS'!AC74</f>
        <v>15777.555777555777</v>
      </c>
      <c r="AC85" s="4">
        <f>$AC$4*'NIFTY MEMBS'!AD74</f>
        <v>19909.793814432993</v>
      </c>
      <c r="AD85" s="4">
        <f>$AD$4*'NIFTY MEMBS'!AE74</f>
        <v>16591.257924591257</v>
      </c>
      <c r="AE85" s="4">
        <f>$AE$4*'NIFTY MEMBS'!AF74</f>
        <v>18346.671548129121</v>
      </c>
      <c r="AF85" s="4">
        <f>$AF$4*'NIFTY MEMBS'!AG74</f>
        <v>21416.70101750808</v>
      </c>
      <c r="AG85" s="4">
        <f>$AG$4*'NIFTY MEMBS'!AH74</f>
        <v>20644.409937888202</v>
      </c>
      <c r="AH85" s="4">
        <f>$AH$4*'NIFTY MEMBS'!AI74</f>
        <v>22280.614408733014</v>
      </c>
      <c r="AI85" s="4">
        <f>$AI$4*'NIFTY MEMBS'!AJ74</f>
        <v>20058.505192335815</v>
      </c>
      <c r="AJ85" s="4">
        <f>$AJ$4*'NIFTY MEMBS'!AK74</f>
        <v>16191.164394810316</v>
      </c>
      <c r="AK85" s="4">
        <f>$AK$4*'NIFTY MEMBS'!AL74</f>
        <v>22608.766865262165</v>
      </c>
      <c r="AL85" s="4">
        <f>$AL$4*'NIFTY MEMBS'!AM74</f>
        <v>23247.292899105476</v>
      </c>
      <c r="AM85" s="4">
        <f>$AM$4*'NIFTY MEMBS'!AN74</f>
        <v>14517.441161282108</v>
      </c>
      <c r="AN85" s="4">
        <f>$AN$4*'NIFTY MEMBS'!AO74</f>
        <v>22967.723507569262</v>
      </c>
      <c r="AO85" s="4">
        <f>$AO$4*'NIFTY MEMBS'!AP74</f>
        <v>23332.793259883339</v>
      </c>
      <c r="AP85" s="4">
        <f>$AP$4*'NIFTY MEMBS'!AQ74</f>
        <v>20558.225820052277</v>
      </c>
      <c r="AQ85" s="4">
        <f>$AQ$4*'NIFTY MEMBS'!AR74</f>
        <v>15339.378466414297</v>
      </c>
      <c r="AR85" s="4">
        <f>$AR$4*'NIFTY MEMBS'!AS74</f>
        <v>19818.193708717547</v>
      </c>
      <c r="AS85" s="4">
        <f>$AS$4*'NIFTY MEMBS'!AT74</f>
        <v>19196.298331671111</v>
      </c>
      <c r="AT85" s="4">
        <f>$AT$4*'NIFTY MEMBS'!AU74</f>
        <v>23701.026159354493</v>
      </c>
      <c r="AU85" s="4">
        <f>$AU$4*'NIFTY MEMBS'!AV74</f>
        <v>24344.235575355866</v>
      </c>
      <c r="AV85" s="4">
        <f>$AV$4*'NIFTY MEMBS'!AW74</f>
        <v>16999.26953981008</v>
      </c>
      <c r="AW85" s="4">
        <f>$AW$4*'NIFTY MEMBS'!AX74</f>
        <v>18028.12862212769</v>
      </c>
      <c r="AX85" s="4">
        <f>$AX$4*'NIFTY MEMBS'!AY74</f>
        <v>16395.708685785023</v>
      </c>
      <c r="AY85" s="4">
        <f t="shared" si="10"/>
        <v>982326.88888196216</v>
      </c>
      <c r="AZ85" s="4">
        <f t="shared" si="11"/>
        <v>100.23743764101656</v>
      </c>
    </row>
    <row r="86" spans="1:52" ht="14.25" customHeight="1" x14ac:dyDescent="0.3">
      <c r="A86" s="2">
        <v>45768</v>
      </c>
      <c r="B86" s="4">
        <f>$B$4*'NIFTY MEMBS'!C75</f>
        <v>21215.967246673488</v>
      </c>
      <c r="C86" s="4">
        <f>$C$4*'NIFTY MEMBS'!D75</f>
        <v>21619.286948327313</v>
      </c>
      <c r="D86" s="4">
        <f>$D$4*'NIFTY MEMBS'!E75</f>
        <v>23605.940966347058</v>
      </c>
      <c r="E86" s="4">
        <f>$E$4*'NIFTY MEMBS'!F75</f>
        <v>16153.874211236611</v>
      </c>
      <c r="F86" s="4">
        <f>$F$4*'NIFTY MEMBS'!G75</f>
        <v>21965.489035173137</v>
      </c>
      <c r="G86" s="4">
        <f>$G$4*'NIFTY MEMBS'!H75</f>
        <v>20592.536560766515</v>
      </c>
      <c r="H86" s="4">
        <f>$H$4*'NIFTY MEMBS'!I75</f>
        <v>15415.670650730412</v>
      </c>
      <c r="I86" s="4">
        <f>$I$4*'NIFTY MEMBS'!J75</f>
        <v>20248.912622195428</v>
      </c>
      <c r="J86" s="4">
        <f>$J$4*'NIFTY MEMBS'!K75</f>
        <v>26742.895044194196</v>
      </c>
      <c r="K86" s="4">
        <f>$K$4*'NIFTY MEMBS'!L75</f>
        <v>18472.32536804858</v>
      </c>
      <c r="L86" s="4">
        <f>$L$4*'NIFTY MEMBS'!M75</f>
        <v>17889.570552147237</v>
      </c>
      <c r="M86" s="4">
        <f>$M$4*'NIFTY MEMBS'!N75</f>
        <v>20957.683145526084</v>
      </c>
      <c r="N86" s="4">
        <f>$N$4*'NIFTY MEMBS'!O75</f>
        <v>17936.404931862427</v>
      </c>
      <c r="O86" s="4">
        <f>$O$4*'NIFTY MEMBS'!P75</f>
        <v>25065.980764929544</v>
      </c>
      <c r="P86" s="4">
        <f>$P$4*'NIFTY MEMBS'!Q75</f>
        <v>15502.497450247129</v>
      </c>
      <c r="Q86" s="4">
        <f>$Q$4*'NIFTY MEMBS'!R75</f>
        <v>18465.038757639089</v>
      </c>
      <c r="R86" s="4">
        <f>$R$4*'NIFTY MEMBS'!S75</f>
        <v>20850.877959290643</v>
      </c>
      <c r="S86" s="4">
        <f>$S$4*'NIFTY MEMBS'!T75</f>
        <v>22821.421907072217</v>
      </c>
      <c r="T86" s="4">
        <f>$T$4*'NIFTY MEMBS'!U75</f>
        <v>26687.388987566606</v>
      </c>
      <c r="U86" s="4">
        <f>$U$4*'NIFTY MEMBS'!V75</f>
        <v>20505.554957972865</v>
      </c>
      <c r="V86" s="4">
        <f>$V$4*'NIFTY MEMBS'!W75</f>
        <v>21852.240371646938</v>
      </c>
      <c r="W86" s="4">
        <f>$W$4*'NIFTY MEMBS'!X75</f>
        <v>16943.218806509947</v>
      </c>
      <c r="X86" s="4">
        <f>$X$4*'NIFTY MEMBS'!Y75</f>
        <v>20400.426684171653</v>
      </c>
      <c r="Y86" s="4">
        <f>$Y$4*'NIFTY MEMBS'!Z75</f>
        <v>21082.928887951046</v>
      </c>
      <c r="Z86" s="4">
        <f>$Z$4*'NIFTY MEMBS'!AA75</f>
        <v>20411.704661449476</v>
      </c>
      <c r="AA86" s="4">
        <f>$AA$4*'NIFTY MEMBS'!AB75</f>
        <v>22839.472085703241</v>
      </c>
      <c r="AB86" s="4">
        <f>$AB$4*'NIFTY MEMBS'!AC75</f>
        <v>15880.785880785879</v>
      </c>
      <c r="AC86" s="4">
        <f>$AC$4*'NIFTY MEMBS'!AD75</f>
        <v>20618.556701030931</v>
      </c>
      <c r="AD86" s="4">
        <f>$AD$4*'NIFTY MEMBS'!AE75</f>
        <v>16818.15148481815</v>
      </c>
      <c r="AE86" s="4">
        <f>$AE$4*'NIFTY MEMBS'!AF75</f>
        <v>18871.810126365046</v>
      </c>
      <c r="AF86" s="4">
        <f>$AF$4*'NIFTY MEMBS'!AG75</f>
        <v>21217.972360228232</v>
      </c>
      <c r="AG86" s="4">
        <f>$AG$4*'NIFTY MEMBS'!AH75</f>
        <v>20729.813664596273</v>
      </c>
      <c r="AH86" s="4">
        <f>$AH$4*'NIFTY MEMBS'!AI75</f>
        <v>22122.033523261609</v>
      </c>
      <c r="AI86" s="4">
        <f>$AI$4*'NIFTY MEMBS'!AJ75</f>
        <v>20356.881673248499</v>
      </c>
      <c r="AJ86" s="4">
        <f>$AJ$4*'NIFTY MEMBS'!AK75</f>
        <v>16185.252093939893</v>
      </c>
      <c r="AK86" s="4">
        <f>$AK$4*'NIFTY MEMBS'!AL75</f>
        <v>22577.646745695391</v>
      </c>
      <c r="AL86" s="4">
        <f>$AL$4*'NIFTY MEMBS'!AM75</f>
        <v>23787.689599410474</v>
      </c>
      <c r="AM86" s="4">
        <f>$AM$4*'NIFTY MEMBS'!AN75</f>
        <v>15166.842339824987</v>
      </c>
      <c r="AN86" s="4">
        <f>$AN$4*'NIFTY MEMBS'!AO75</f>
        <v>23257.640674093112</v>
      </c>
      <c r="AO86" s="4">
        <f>$AO$4*'NIFTY MEMBS'!AP75</f>
        <v>23078.418664938428</v>
      </c>
      <c r="AP86" s="4">
        <f>$AP$4*'NIFTY MEMBS'!AQ75</f>
        <v>20979.846530061553</v>
      </c>
      <c r="AQ86" s="4">
        <f>$AQ$4*'NIFTY MEMBS'!AR75</f>
        <v>16122.311236317752</v>
      </c>
      <c r="AR86" s="4">
        <f>$AR$4*'NIFTY MEMBS'!AS75</f>
        <v>19764.567392583871</v>
      </c>
      <c r="AS86" s="4">
        <f>$AS$4*'NIFTY MEMBS'!AT75</f>
        <v>19383.552814584138</v>
      </c>
      <c r="AT86" s="4">
        <f>$AT$4*'NIFTY MEMBS'!AU75</f>
        <v>24086.478337587581</v>
      </c>
      <c r="AU86" s="4">
        <f>$AU$4*'NIFTY MEMBS'!AV75</f>
        <v>24361.621210474845</v>
      </c>
      <c r="AV86" s="4">
        <f>$AV$4*'NIFTY MEMBS'!AW75</f>
        <v>17200.876552227906</v>
      </c>
      <c r="AW86" s="4">
        <f>$AW$4*'NIFTY MEMBS'!AX75</f>
        <v>18722.143224156676</v>
      </c>
      <c r="AX86" s="4">
        <f>$AX$4*'NIFTY MEMBS'!AY75</f>
        <v>17086.857850216631</v>
      </c>
      <c r="AY86" s="4">
        <f t="shared" si="10"/>
        <v>994623.06024582684</v>
      </c>
      <c r="AZ86" s="4">
        <f t="shared" si="11"/>
        <v>101.49214900467621</v>
      </c>
    </row>
    <row r="87" spans="1:52" ht="14.25" customHeight="1" x14ac:dyDescent="0.3">
      <c r="A87" s="2">
        <v>45769</v>
      </c>
      <c r="B87" s="4">
        <f>$B$4*'NIFTY MEMBS'!C76</f>
        <v>21145.547594677584</v>
      </c>
      <c r="C87" s="4">
        <f>$C$4*'NIFTY MEMBS'!D76</f>
        <v>22007.449123830469</v>
      </c>
      <c r="D87" s="4">
        <f>$D$4*'NIFTY MEMBS'!E76</f>
        <v>23214.890016920475</v>
      </c>
      <c r="E87" s="4">
        <f>$E$4*'NIFTY MEMBS'!F76</f>
        <v>16118.858587946359</v>
      </c>
      <c r="F87" s="4">
        <f>$F$4*'NIFTY MEMBS'!G76</f>
        <v>22069.878861060257</v>
      </c>
      <c r="G87" s="4">
        <f>$G$4*'NIFTY MEMBS'!H76</f>
        <v>20736.258194654562</v>
      </c>
      <c r="H87" s="4">
        <f>$H$4*'NIFTY MEMBS'!I76</f>
        <v>15116.069057104913</v>
      </c>
      <c r="I87" s="4">
        <f>$I$4*'NIFTY MEMBS'!J76</f>
        <v>20659.747642220405</v>
      </c>
      <c r="J87" s="4">
        <f>$J$4*'NIFTY MEMBS'!K76</f>
        <v>26705.405678197047</v>
      </c>
      <c r="K87" s="4">
        <f>$K$4*'NIFTY MEMBS'!L76</f>
        <v>18941.942248045085</v>
      </c>
      <c r="L87" s="4">
        <f>$L$4*'NIFTY MEMBS'!M76</f>
        <v>17765.780504430812</v>
      </c>
      <c r="M87" s="4">
        <f>$M$4*'NIFTY MEMBS'!N76</f>
        <v>20938.054834363822</v>
      </c>
      <c r="N87" s="4">
        <f>$N$4*'NIFTY MEMBS'!O76</f>
        <v>18280.986372485397</v>
      </c>
      <c r="O87" s="4">
        <f>$O$4*'NIFTY MEMBS'!P76</f>
        <v>25372.399910534554</v>
      </c>
      <c r="P87" s="4">
        <f>$P$4*'NIFTY MEMBS'!Q76</f>
        <v>15480.530348596983</v>
      </c>
      <c r="Q87" s="4">
        <f>$Q$4*'NIFTY MEMBS'!R76</f>
        <v>18491.494483981056</v>
      </c>
      <c r="R87" s="4">
        <f>$R$4*'NIFTY MEMBS'!S76</f>
        <v>20894.557525989341</v>
      </c>
      <c r="S87" s="4">
        <f>$S$4*'NIFTY MEMBS'!T76</f>
        <v>22705.728680724016</v>
      </c>
      <c r="T87" s="4">
        <f>$T$4*'NIFTY MEMBS'!U76</f>
        <v>26351.179903577769</v>
      </c>
      <c r="U87" s="4">
        <f>$U$4*'NIFTY MEMBS'!V76</f>
        <v>20513.545492263012</v>
      </c>
      <c r="V87" s="4">
        <f>$V$4*'NIFTY MEMBS'!W76</f>
        <v>21594.485239022928</v>
      </c>
      <c r="W87" s="4">
        <f>$W$4*'NIFTY MEMBS'!X76</f>
        <v>17176.853526220617</v>
      </c>
      <c r="X87" s="4">
        <f>$X$4*'NIFTY MEMBS'!Y76</f>
        <v>20237.958480347908</v>
      </c>
      <c r="Y87" s="4">
        <f>$Y$4*'NIFTY MEMBS'!Z76</f>
        <v>20914.116902300066</v>
      </c>
      <c r="Z87" s="4">
        <f>$Z$4*'NIFTY MEMBS'!AA76</f>
        <v>20643.075876148356</v>
      </c>
      <c r="AA87" s="4">
        <f>$AA$4*'NIFTY MEMBS'!AB76</f>
        <v>23064.774421558341</v>
      </c>
      <c r="AB87" s="4">
        <f>$AB$4*'NIFTY MEMBS'!AC76</f>
        <v>15594.405594405594</v>
      </c>
      <c r="AC87" s="4">
        <f>$AC$4*'NIFTY MEMBS'!AD76</f>
        <v>20138.530927835054</v>
      </c>
      <c r="AD87" s="4">
        <f>$AD$4*'NIFTY MEMBS'!AE76</f>
        <v>16839.506172839505</v>
      </c>
      <c r="AE87" s="4">
        <f>$AE$4*'NIFTY MEMBS'!AF76</f>
        <v>18628.118367837265</v>
      </c>
      <c r="AF87" s="4">
        <f>$AF$4*'NIFTY MEMBS'!AG76</f>
        <v>21105.156965265873</v>
      </c>
      <c r="AG87" s="4">
        <f>$AG$4*'NIFTY MEMBS'!AH76</f>
        <v>20631.469979296067</v>
      </c>
      <c r="AH87" s="4">
        <f>$AH$4*'NIFTY MEMBS'!AI76</f>
        <v>22194.870092751382</v>
      </c>
      <c r="AI87" s="4">
        <f>$AI$4*'NIFTY MEMBS'!AJ76</f>
        <v>20207.693432792159</v>
      </c>
      <c r="AJ87" s="4">
        <f>$AJ$4*'NIFTY MEMBS'!AK76</f>
        <v>16459.845623255052</v>
      </c>
      <c r="AK87" s="4">
        <f>$AK$4*'NIFTY MEMBS'!AL76</f>
        <v>22516.225457076755</v>
      </c>
      <c r="AL87" s="4">
        <f>$AL$4*'NIFTY MEMBS'!AM76</f>
        <v>23679.200867909851</v>
      </c>
      <c r="AM87" s="4">
        <f>$AM$4*'NIFTY MEMBS'!AN76</f>
        <v>15062.145853523956</v>
      </c>
      <c r="AN87" s="4">
        <f>$AN$4*'NIFTY MEMBS'!AO76</f>
        <v>23121.965152813478</v>
      </c>
      <c r="AO87" s="4">
        <f>$AO$4*'NIFTY MEMBS'!AP76</f>
        <v>23089.760207388201</v>
      </c>
      <c r="AP87" s="4">
        <f>$AP$4*'NIFTY MEMBS'!AQ76</f>
        <v>20915.760182140144</v>
      </c>
      <c r="AQ87" s="4">
        <f>$AQ$4*'NIFTY MEMBS'!AR76</f>
        <v>16157.525603779675</v>
      </c>
      <c r="AR87" s="4">
        <f>$AR$4*'NIFTY MEMBS'!AS76</f>
        <v>19988.228369629196</v>
      </c>
      <c r="AS87" s="4">
        <f>$AS$4*'NIFTY MEMBS'!AT76</f>
        <v>19237.005827956549</v>
      </c>
      <c r="AT87" s="4">
        <f>$AT$4*'NIFTY MEMBS'!AU76</f>
        <v>24103.609545509051</v>
      </c>
      <c r="AU87" s="4">
        <f>$AU$4*'NIFTY MEMBS'!AV76</f>
        <v>24702.814299684887</v>
      </c>
      <c r="AV87" s="4">
        <f>$AV$4*'NIFTY MEMBS'!AW76</f>
        <v>17165.814463111761</v>
      </c>
      <c r="AW87" s="4">
        <f>$AW$4*'NIFTY MEMBS'!AX76</f>
        <v>18323.51500233011</v>
      </c>
      <c r="AX87" s="4">
        <f>$AX$4*'NIFTY MEMBS'!AY76</f>
        <v>16247.16319372808</v>
      </c>
      <c r="AY87" s="4">
        <f t="shared" si="10"/>
        <v>993251.90069006197</v>
      </c>
      <c r="AZ87" s="4">
        <f t="shared" si="11"/>
        <v>101.35223476429205</v>
      </c>
    </row>
    <row r="88" spans="1:52" ht="14.25" customHeight="1" x14ac:dyDescent="0.3">
      <c r="A88" s="2">
        <v>45770</v>
      </c>
      <c r="B88" s="4">
        <f>$B$4*'NIFTY MEMBS'!C77</f>
        <v>21289.662231320366</v>
      </c>
      <c r="C88" s="4">
        <f>$C$4*'NIFTY MEMBS'!D77</f>
        <v>21583.387556373265</v>
      </c>
      <c r="D88" s="4">
        <f>$D$4*'NIFTY MEMBS'!E77</f>
        <v>23583.38033464937</v>
      </c>
      <c r="E88" s="4">
        <f>$E$4*'NIFTY MEMBS'!F77</f>
        <v>16598.378095782318</v>
      </c>
      <c r="F88" s="4">
        <f>$F$4*'NIFTY MEMBS'!G77</f>
        <v>22192.96537218089</v>
      </c>
      <c r="G88" s="4">
        <f>$G$4*'NIFTY MEMBS'!H77</f>
        <v>20510.590015128593</v>
      </c>
      <c r="H88" s="4">
        <f>$H$4*'NIFTY MEMBS'!I77</f>
        <v>15669.588313413014</v>
      </c>
      <c r="I88" s="4">
        <f>$I$4*'NIFTY MEMBS'!J77</f>
        <v>20875.93126910986</v>
      </c>
      <c r="J88" s="4">
        <f>$J$4*'NIFTY MEMBS'!K77</f>
        <v>26885.643014721783</v>
      </c>
      <c r="K88" s="4">
        <f>$K$4*'NIFTY MEMBS'!L77</f>
        <v>18821.807697348304</v>
      </c>
      <c r="L88" s="4">
        <f>$L$4*'NIFTY MEMBS'!M77</f>
        <v>18001.363326516701</v>
      </c>
      <c r="M88" s="4">
        <f>$M$4*'NIFTY MEMBS'!N77</f>
        <v>21246.754637188515</v>
      </c>
      <c r="N88" s="4">
        <f>$N$4*'NIFTY MEMBS'!O77</f>
        <v>18934.458144062297</v>
      </c>
      <c r="O88" s="4">
        <f>$O$4*'NIFTY MEMBS'!P77</f>
        <v>24904.942965779464</v>
      </c>
      <c r="P88" s="4">
        <f>$P$4*'NIFTY MEMBS'!Q77</f>
        <v>16674.076204921676</v>
      </c>
      <c r="Q88" s="4">
        <f>$Q$4*'NIFTY MEMBS'!R77</f>
        <v>18929.601312204024</v>
      </c>
      <c r="R88" s="4">
        <f>$R$4*'NIFTY MEMBS'!S77</f>
        <v>20877.085699309861</v>
      </c>
      <c r="S88" s="4">
        <f>$S$4*'NIFTY MEMBS'!T77</f>
        <v>22520.99272252286</v>
      </c>
      <c r="T88" s="4">
        <f>$T$4*'NIFTY MEMBS'!U77</f>
        <v>26653.133722405481</v>
      </c>
      <c r="U88" s="4">
        <f>$U$4*'NIFTY MEMBS'!V77</f>
        <v>20635.862132550672</v>
      </c>
      <c r="V88" s="4">
        <f>$V$4*'NIFTY MEMBS'!W77</f>
        <v>21807.283081072983</v>
      </c>
      <c r="W88" s="4">
        <f>$W$4*'NIFTY MEMBS'!X77</f>
        <v>17304.882459312841</v>
      </c>
      <c r="X88" s="4">
        <f>$X$4*'NIFTY MEMBS'!Y77</f>
        <v>20334.78296545499</v>
      </c>
      <c r="Y88" s="4">
        <f>$Y$4*'NIFTY MEMBS'!Z77</f>
        <v>21284.659210803966</v>
      </c>
      <c r="Z88" s="4">
        <f>$Z$4*'NIFTY MEMBS'!AA77</f>
        <v>20813.201769309293</v>
      </c>
      <c r="AA88" s="4">
        <f>$AA$4*'NIFTY MEMBS'!AB77</f>
        <v>22954.332100060743</v>
      </c>
      <c r="AB88" s="4">
        <f>$AB$4*'NIFTY MEMBS'!AC77</f>
        <v>16223.776223776224</v>
      </c>
      <c r="AC88" s="4">
        <f>$AC$4*'NIFTY MEMBS'!AD77</f>
        <v>20293.170103092783</v>
      </c>
      <c r="AD88" s="4">
        <f>$AD$4*'NIFTY MEMBS'!AE77</f>
        <v>17614.948281614947</v>
      </c>
      <c r="AE88" s="4">
        <f>$AE$4*'NIFTY MEMBS'!AF77</f>
        <v>18903.844723730199</v>
      </c>
      <c r="AF88" s="4">
        <f>$AF$4*'NIFTY MEMBS'!AG77</f>
        <v>21288.265029397087</v>
      </c>
      <c r="AG88" s="4">
        <f>$AG$4*'NIFTY MEMBS'!AH77</f>
        <v>20649.585921325051</v>
      </c>
      <c r="AH88" s="4">
        <f>$AH$4*'NIFTY MEMBS'!AI77</f>
        <v>22435.507366635324</v>
      </c>
      <c r="AI88" s="4">
        <f>$AI$4*'NIFTY MEMBS'!AJ77</f>
        <v>20646.482375310807</v>
      </c>
      <c r="AJ88" s="4">
        <f>$AJ$4*'NIFTY MEMBS'!AK77</f>
        <v>16957.792741008376</v>
      </c>
      <c r="AK88" s="4">
        <f>$AK$4*'NIFTY MEMBS'!AL77</f>
        <v>21993.735028560895</v>
      </c>
      <c r="AL88" s="4">
        <f>$AL$4*'NIFTY MEMBS'!AM77</f>
        <v>23499.06863447485</v>
      </c>
      <c r="AM88" s="4">
        <f>$AM$4*'NIFTY MEMBS'!AN77</f>
        <v>15079.123662113314</v>
      </c>
      <c r="AN88" s="4">
        <f>$AN$4*'NIFTY MEMBS'!AO77</f>
        <v>23071.979434447298</v>
      </c>
      <c r="AO88" s="4">
        <f>$AO$4*'NIFTY MEMBS'!AP77</f>
        <v>22977.965003240439</v>
      </c>
      <c r="AP88" s="4">
        <f>$AP$4*'NIFTY MEMBS'!AQ77</f>
        <v>21219.327093346823</v>
      </c>
      <c r="AQ88" s="4">
        <f>$AQ$4*'NIFTY MEMBS'!AR77</f>
        <v>16898.20113272882</v>
      </c>
      <c r="AR88" s="4">
        <f>$AR$4*'NIFTY MEMBS'!AS77</f>
        <v>20060.166110784121</v>
      </c>
      <c r="AS88" s="4">
        <f>$AS$4*'NIFTY MEMBS'!AT77</f>
        <v>19382.195898041289</v>
      </c>
      <c r="AT88" s="4">
        <f>$AT$4*'NIFTY MEMBS'!AU77</f>
        <v>24117.314511846227</v>
      </c>
      <c r="AU88" s="4">
        <f>$AU$4*'NIFTY MEMBS'!AV77</f>
        <v>24994.023687927849</v>
      </c>
      <c r="AV88" s="4">
        <f>$AV$4*'NIFTY MEMBS'!AW77</f>
        <v>17326.515704894086</v>
      </c>
      <c r="AW88" s="4">
        <f>$AW$4*'NIFTY MEMBS'!AX77</f>
        <v>18834.466524071839</v>
      </c>
      <c r="AX88" s="4">
        <f>$AX$4*'NIFTY MEMBS'!AY77</f>
        <v>16385.393026614402</v>
      </c>
      <c r="AY88" s="4">
        <f t="shared" si="10"/>
        <v>1002741.5945724873</v>
      </c>
      <c r="AZ88" s="4">
        <f t="shared" si="11"/>
        <v>102.32057087474359</v>
      </c>
    </row>
    <row r="89" spans="1:52" ht="14.25" customHeight="1" x14ac:dyDescent="0.3">
      <c r="A89" s="2">
        <v>45771</v>
      </c>
      <c r="B89" s="4">
        <f>$B$4*'NIFTY MEMBS'!C78</f>
        <v>21315.864892528145</v>
      </c>
      <c r="C89" s="4">
        <f>$C$4*'NIFTY MEMBS'!D78</f>
        <v>21503.735780475221</v>
      </c>
      <c r="D89" s="4">
        <f>$D$4*'NIFTY MEMBS'!E78</f>
        <v>23132.167700695616</v>
      </c>
      <c r="E89" s="4">
        <f>$E$4*'NIFTY MEMBS'!F78</f>
        <v>16542.936692239418</v>
      </c>
      <c r="F89" s="4">
        <f>$F$4*'NIFTY MEMBS'!G78</f>
        <v>21854.866980874849</v>
      </c>
      <c r="G89" s="4">
        <f>$G$4*'NIFTY MEMBS'!H78</f>
        <v>20509.329299041852</v>
      </c>
      <c r="H89" s="4">
        <f>$H$4*'NIFTY MEMBS'!I78</f>
        <v>15632.403718459496</v>
      </c>
      <c r="I89" s="4">
        <f>$I$4*'NIFTY MEMBS'!J78</f>
        <v>20027.561259205035</v>
      </c>
      <c r="J89" s="4">
        <f>$J$4*'NIFTY MEMBS'!K78</f>
        <v>26822.199472265078</v>
      </c>
      <c r="K89" s="4">
        <f>$K$4*'NIFTY MEMBS'!L78</f>
        <v>18786.859464418329</v>
      </c>
      <c r="L89" s="4">
        <f>$L$4*'NIFTY MEMBS'!M78</f>
        <v>17999.18200408998</v>
      </c>
      <c r="M89" s="4">
        <f>$M$4*'NIFTY MEMBS'!N78</f>
        <v>21223.557542178565</v>
      </c>
      <c r="N89" s="4">
        <f>$N$4*'NIFTY MEMBS'!O78</f>
        <v>18828.033744321867</v>
      </c>
      <c r="O89" s="4">
        <f>$O$4*'NIFTY MEMBS'!P78</f>
        <v>24860.210243793332</v>
      </c>
      <c r="P89" s="4">
        <f>$P$4*'NIFTY MEMBS'!Q78</f>
        <v>16597.714375375926</v>
      </c>
      <c r="Q89" s="4">
        <f>$Q$4*'NIFTY MEMBS'!R78</f>
        <v>19089.393899309503</v>
      </c>
      <c r="R89" s="4">
        <f>$R$4*'NIFTY MEMBS'!S78</f>
        <v>21243.994059578927</v>
      </c>
      <c r="S89" s="4">
        <f>$S$4*'NIFTY MEMBS'!T78</f>
        <v>22524.724762082478</v>
      </c>
      <c r="T89" s="4">
        <f>$T$4*'NIFTY MEMBS'!U78</f>
        <v>26706.419690433897</v>
      </c>
      <c r="U89" s="4">
        <f>$U$4*'NIFTY MEMBS'!V78</f>
        <v>20791.370222966641</v>
      </c>
      <c r="V89" s="4">
        <f>$V$4*'NIFTY MEMBS'!W78</f>
        <v>21771.317248613817</v>
      </c>
      <c r="W89" s="4">
        <f>$W$4*'NIFTY MEMBS'!X78</f>
        <v>17098.010849909584</v>
      </c>
      <c r="X89" s="4">
        <f>$X$4*'NIFTY MEMBS'!Y78</f>
        <v>20290.473455321244</v>
      </c>
      <c r="Y89" s="4">
        <f>$Y$4*'NIFTY MEMBS'!Z78</f>
        <v>21048.322430892596</v>
      </c>
      <c r="Z89" s="4">
        <f>$Z$4*'NIFTY MEMBS'!AA78</f>
        <v>20802.994215719635</v>
      </c>
      <c r="AA89" s="4">
        <f>$AA$4*'NIFTY MEMBS'!AB78</f>
        <v>23071.400960848197</v>
      </c>
      <c r="AB89" s="4">
        <f>$AB$4*'NIFTY MEMBS'!AC78</f>
        <v>16167.166167166166</v>
      </c>
      <c r="AC89" s="4">
        <f>$AC$4*'NIFTY MEMBS'!AD78</f>
        <v>20257.731958762888</v>
      </c>
      <c r="AD89" s="4">
        <f>$AD$4*'NIFTY MEMBS'!AE78</f>
        <v>17840.507173840506</v>
      </c>
      <c r="AE89" s="4">
        <f>$AE$4*'NIFTY MEMBS'!AF78</f>
        <v>18766.553592165252</v>
      </c>
      <c r="AF89" s="4">
        <f>$AF$4*'NIFTY MEMBS'!AG78</f>
        <v>21386.32764194129</v>
      </c>
      <c r="AG89" s="4">
        <f>$AG$4*'NIFTY MEMBS'!AH78</f>
        <v>20696.16977225673</v>
      </c>
      <c r="AH89" s="4">
        <f>$AH$4*'NIFTY MEMBS'!AI78</f>
        <v>22433.663402850769</v>
      </c>
      <c r="AI89" s="4">
        <f>$AI$4*'NIFTY MEMBS'!AJ78</f>
        <v>20699.137048413046</v>
      </c>
      <c r="AJ89" s="4">
        <f>$AJ$4*'NIFTY MEMBS'!AK78</f>
        <v>16999.835769420268</v>
      </c>
      <c r="AK89" s="4">
        <f>$AK$4*'NIFTY MEMBS'!AL78</f>
        <v>22350.797453063897</v>
      </c>
      <c r="AL89" s="4">
        <f>$AL$4*'NIFTY MEMBS'!AM78</f>
        <v>23132.66329601048</v>
      </c>
      <c r="AM89" s="4">
        <f>$AM$4*'NIFTY MEMBS'!AN78</f>
        <v>15063.560670906403</v>
      </c>
      <c r="AN89" s="4">
        <f>$AN$4*'NIFTY MEMBS'!AO78</f>
        <v>22967.723507569262</v>
      </c>
      <c r="AO89" s="4">
        <f>$AO$4*'NIFTY MEMBS'!AP78</f>
        <v>22955.28191834089</v>
      </c>
      <c r="AP89" s="4">
        <f>$AP$4*'NIFTY MEMBS'!AQ78</f>
        <v>21194.029850746268</v>
      </c>
      <c r="AQ89" s="4">
        <f>$AQ$4*'NIFTY MEMBS'!AR78</f>
        <v>16963.934618657746</v>
      </c>
      <c r="AR89" s="4">
        <f>$AR$4*'NIFTY MEMBS'!AS78</f>
        <v>20295.59871820025</v>
      </c>
      <c r="AS89" s="4">
        <f>$AS$4*'NIFTY MEMBS'!AT78</f>
        <v>19429.687977040972</v>
      </c>
      <c r="AT89" s="4">
        <f>$AT$4*'NIFTY MEMBS'!AU78</f>
        <v>23868.911996984905</v>
      </c>
      <c r="AU89" s="4">
        <f>$AU$4*'NIFTY MEMBS'!AV78</f>
        <v>25237.422579593611</v>
      </c>
      <c r="AV89" s="4">
        <f>$AV$4*'NIFTY MEMBS'!AW78</f>
        <v>17538.349159970781</v>
      </c>
      <c r="AW89" s="4">
        <f>$AW$4*'NIFTY MEMBS'!AX78</f>
        <v>18901.382532531934</v>
      </c>
      <c r="AX89" s="4">
        <f>$AX$4*'NIFTY MEMBS'!AY78</f>
        <v>16912.523210233136</v>
      </c>
      <c r="AY89" s="4">
        <f t="shared" si="10"/>
        <v>1002134.0049823069</v>
      </c>
      <c r="AZ89" s="4">
        <f t="shared" si="11"/>
        <v>102.25857193697007</v>
      </c>
    </row>
    <row r="90" spans="1:52" ht="14.25" customHeight="1" x14ac:dyDescent="0.3">
      <c r="A90" s="2">
        <v>45772</v>
      </c>
      <c r="B90" s="4">
        <f>$B$4*'NIFTY MEMBS'!C79</f>
        <v>21296.212896622314</v>
      </c>
      <c r="C90" s="4">
        <f>$C$4*'NIFTY MEMBS'!D79</f>
        <v>21440.911844555634</v>
      </c>
      <c r="D90" s="4">
        <f>$D$4*'NIFTY MEMBS'!E79</f>
        <v>22776.211067243217</v>
      </c>
      <c r="E90" s="4">
        <f>$E$4*'NIFTY MEMBS'!F79</f>
        <v>16768.59293122105</v>
      </c>
      <c r="F90" s="4">
        <f>$F$4*'NIFTY MEMBS'!G79</f>
        <v>21887.586180033497</v>
      </c>
      <c r="G90" s="4">
        <f>$G$4*'NIFTY MEMBS'!H79</f>
        <v>20137.418053454359</v>
      </c>
      <c r="H90" s="4">
        <f>$H$4*'NIFTY MEMBS'!I79</f>
        <v>15725.896414342629</v>
      </c>
      <c r="I90" s="4">
        <f>$I$4*'NIFTY MEMBS'!J79</f>
        <v>20086.990224365876</v>
      </c>
      <c r="J90" s="4">
        <f>$J$4*'NIFTY MEMBS'!K79</f>
        <v>26277.161766614277</v>
      </c>
      <c r="K90" s="4">
        <f>$K$4*'NIFTY MEMBS'!L79</f>
        <v>18688.567559302781</v>
      </c>
      <c r="L90" s="4">
        <f>$L$4*'NIFTY MEMBS'!M79</f>
        <v>17843.762781186091</v>
      </c>
      <c r="M90" s="4">
        <f>$M$4*'NIFTY MEMBS'!N79</f>
        <v>20873.816725105506</v>
      </c>
      <c r="N90" s="4">
        <f>$N$4*'NIFTY MEMBS'!O79</f>
        <v>18586.632057105773</v>
      </c>
      <c r="O90" s="4">
        <f>$O$4*'NIFTY MEMBS'!P79</f>
        <v>24652.203086557816</v>
      </c>
      <c r="P90" s="4">
        <f>$P$4*'NIFTY MEMBS'!Q79</f>
        <v>16508.799916315802</v>
      </c>
      <c r="Q90" s="4">
        <f>$Q$4*'NIFTY MEMBS'!R79</f>
        <v>18914.786105452524</v>
      </c>
      <c r="R90" s="4">
        <f>$R$4*'NIFTY MEMBS'!S79</f>
        <v>21380.274307678868</v>
      </c>
      <c r="S90" s="4">
        <f>$S$4*'NIFTY MEMBS'!T79</f>
        <v>21763.388691920136</v>
      </c>
      <c r="T90" s="4">
        <f>$T$4*'NIFTY MEMBS'!U79</f>
        <v>25951.535143364625</v>
      </c>
      <c r="U90" s="4">
        <f>$U$4*'NIFTY MEMBS'!V79</f>
        <v>20684.41999477542</v>
      </c>
      <c r="V90" s="4">
        <f>$V$4*'NIFTY MEMBS'!W79</f>
        <v>21366.701633448225</v>
      </c>
      <c r="W90" s="4">
        <f>$W$4*'NIFTY MEMBS'!X79</f>
        <v>16550.452079566006</v>
      </c>
      <c r="X90" s="4">
        <f>$X$4*'NIFTY MEMBS'!Y79</f>
        <v>19578.239107245423</v>
      </c>
      <c r="Y90" s="4">
        <f>$Y$4*'NIFTY MEMBS'!Z79</f>
        <v>20791.728212703103</v>
      </c>
      <c r="Z90" s="4">
        <f>$Z$4*'NIFTY MEMBS'!AA79</f>
        <v>20251.786321878193</v>
      </c>
      <c r="AA90" s="4">
        <f>$AA$4*'NIFTY MEMBS'!AB79</f>
        <v>22715.776685625933</v>
      </c>
      <c r="AB90" s="4">
        <f>$AB$4*'NIFTY MEMBS'!AC79</f>
        <v>16043.956043956043</v>
      </c>
      <c r="AC90" s="4">
        <f>$AC$4*'NIFTY MEMBS'!AD79</f>
        <v>19748.711340206188</v>
      </c>
      <c r="AD90" s="4">
        <f>$AD$4*'NIFTY MEMBS'!AE79</f>
        <v>17490.824157490824</v>
      </c>
      <c r="AE90" s="4">
        <f>$AE$4*'NIFTY MEMBS'!AF79</f>
        <v>18383.282516546442</v>
      </c>
      <c r="AF90" s="4">
        <f>$AF$4*'NIFTY MEMBS'!AG79</f>
        <v>21101.685722343955</v>
      </c>
      <c r="AG90" s="4">
        <f>$AG$4*'NIFTY MEMBS'!AH79</f>
        <v>20349.378881987577</v>
      </c>
      <c r="AH90" s="4">
        <f>$AH$4*'NIFTY MEMBS'!AI79</f>
        <v>22252.032970072472</v>
      </c>
      <c r="AI90" s="4">
        <f>$AI$4*'NIFTY MEMBS'!AJ79</f>
        <v>20308.614889571447</v>
      </c>
      <c r="AJ90" s="4">
        <f>$AJ$4*'NIFTY MEMBS'!AK79</f>
        <v>16623.419280670063</v>
      </c>
      <c r="AK90" s="4">
        <f>$AK$4*'NIFTY MEMBS'!AL79</f>
        <v>22396.658681899145</v>
      </c>
      <c r="AL90" s="4">
        <f>$AL$4*'NIFTY MEMBS'!AM79</f>
        <v>22825.619716291731</v>
      </c>
      <c r="AM90" s="4">
        <f>$AM$4*'NIFTY MEMBS'!AN79</f>
        <v>14558.470865373052</v>
      </c>
      <c r="AN90" s="4">
        <f>$AN$4*'NIFTY MEMBS'!AO79</f>
        <v>24208.797486432442</v>
      </c>
      <c r="AO90" s="4">
        <f>$AO$4*'NIFTY MEMBS'!AP79</f>
        <v>22830.524951393385</v>
      </c>
      <c r="AP90" s="4">
        <f>$AP$4*'NIFTY MEMBS'!AQ79</f>
        <v>20983.219495741629</v>
      </c>
      <c r="AQ90" s="4">
        <f>$AQ$4*'NIFTY MEMBS'!AR79</f>
        <v>17161.135076444523</v>
      </c>
      <c r="AR90" s="4">
        <f>$AR$4*'NIFTY MEMBS'!AS79</f>
        <v>19958.145314237136</v>
      </c>
      <c r="AS90" s="4">
        <f>$AS$4*'NIFTY MEMBS'!AT79</f>
        <v>18869.281444844735</v>
      </c>
      <c r="AT90" s="4">
        <f>$AT$4*'NIFTY MEMBS'!AU79</f>
        <v>22448.734860294997</v>
      </c>
      <c r="AU90" s="4">
        <f>$AU$4*'NIFTY MEMBS'!AV79</f>
        <v>25115.723133760734</v>
      </c>
      <c r="AV90" s="4">
        <f>$AV$4*'NIFTY MEMBS'!AW79</f>
        <v>17162.892622352083</v>
      </c>
      <c r="AW90" s="4">
        <f>$AW$4*'NIFTY MEMBS'!AX79</f>
        <v>18619.37935402153</v>
      </c>
      <c r="AX90" s="4">
        <f>$AX$4*'NIFTY MEMBS'!AY79</f>
        <v>16966.164637920367</v>
      </c>
      <c r="AY90" s="4">
        <f t="shared" si="10"/>
        <v>989906.50523153762</v>
      </c>
      <c r="AZ90" s="4">
        <f t="shared" si="11"/>
        <v>101.01086788076914</v>
      </c>
    </row>
    <row r="91" spans="1:52" ht="14.25" customHeight="1" x14ac:dyDescent="0.3">
      <c r="A91" s="2">
        <v>45775</v>
      </c>
      <c r="B91" s="4">
        <f>$B$4*'NIFTY MEMBS'!C80</f>
        <v>22416.376663254861</v>
      </c>
      <c r="C91" s="4">
        <f>$C$4*'NIFTY MEMBS'!D80</f>
        <v>21541.878884426398</v>
      </c>
      <c r="D91" s="4">
        <f>$D$4*'NIFTY MEMBS'!E80</f>
        <v>22833.866014915082</v>
      </c>
      <c r="E91" s="4">
        <f>$E$4*'NIFTY MEMBS'!F80</f>
        <v>16746.708166664641</v>
      </c>
      <c r="F91" s="4">
        <f>$F$4*'NIFTY MEMBS'!G80</f>
        <v>22261.519884703772</v>
      </c>
      <c r="G91" s="4">
        <f>$G$4*'NIFTY MEMBS'!H80</f>
        <v>20608.925869894098</v>
      </c>
      <c r="H91" s="4">
        <f>$H$4*'NIFTY MEMBS'!I80</f>
        <v>15746.082337317395</v>
      </c>
      <c r="I91" s="4">
        <f>$I$4*'NIFTY MEMBS'!J80</f>
        <v>19969.854872744501</v>
      </c>
      <c r="J91" s="4">
        <f>$J$4*'NIFTY MEMBS'!K80</f>
        <v>26222.369616310756</v>
      </c>
      <c r="K91" s="4">
        <f>$K$4*'NIFTY MEMBS'!L80</f>
        <v>18732.252850465247</v>
      </c>
      <c r="L91" s="4">
        <f>$L$4*'NIFTY MEMBS'!M80</f>
        <v>18144.78527607362</v>
      </c>
      <c r="M91" s="4">
        <f>$M$4*'NIFTY MEMBS'!N80</f>
        <v>21137.906729834143</v>
      </c>
      <c r="N91" s="4">
        <f>$N$4*'NIFTY MEMBS'!O80</f>
        <v>19017.521090201168</v>
      </c>
      <c r="O91" s="4">
        <f>$O$4*'NIFTY MEMBS'!P80</f>
        <v>24889.286513084317</v>
      </c>
      <c r="P91" s="4">
        <f>$P$4*'NIFTY MEMBS'!Q80</f>
        <v>16206.490755511388</v>
      </c>
      <c r="Q91" s="4">
        <f>$Q$4*'NIFTY MEMBS'!R80</f>
        <v>19488.346252546362</v>
      </c>
      <c r="R91" s="4">
        <f>$R$4*'NIFTY MEMBS'!S80</f>
        <v>21165.370839521271</v>
      </c>
      <c r="S91" s="4">
        <f>$S$4*'NIFTY MEMBS'!T80</f>
        <v>22257.883933569698</v>
      </c>
      <c r="T91" s="4">
        <f>$T$4*'NIFTY MEMBS'!U80</f>
        <v>26004.821111393045</v>
      </c>
      <c r="U91" s="4">
        <f>$U$4*'NIFTY MEMBS'!V80</f>
        <v>20708.391597645867</v>
      </c>
      <c r="V91" s="4">
        <f>$V$4*'NIFTY MEMBS'!W80</f>
        <v>21669.414056646187</v>
      </c>
      <c r="W91" s="4">
        <f>$W$4*'NIFTY MEMBS'!X80</f>
        <v>16434.71971066908</v>
      </c>
      <c r="X91" s="4">
        <f>$X$4*'NIFTY MEMBS'!Y80</f>
        <v>19855.583818823336</v>
      </c>
      <c r="Y91" s="4">
        <f>$Y$4*'NIFTY MEMBS'!Z80</f>
        <v>21152.141802067948</v>
      </c>
      <c r="Z91" s="4">
        <f>$Z$4*'NIFTY MEMBS'!AA80</f>
        <v>20758.761483497794</v>
      </c>
      <c r="AA91" s="4">
        <f>$AA$4*'NIFTY MEMBS'!AB80</f>
        <v>23290.076757413441</v>
      </c>
      <c r="AB91" s="4">
        <f>$AB$4*'NIFTY MEMBS'!AC80</f>
        <v>16017.316017316016</v>
      </c>
      <c r="AC91" s="4">
        <f>$AC$4*'NIFTY MEMBS'!AD80</f>
        <v>19880.798969072166</v>
      </c>
      <c r="AD91" s="4">
        <f>$AD$4*'NIFTY MEMBS'!AE80</f>
        <v>17835.168501835167</v>
      </c>
      <c r="AE91" s="4">
        <f>$AE$4*'NIFTY MEMBS'!AF80</f>
        <v>18525.150019163553</v>
      </c>
      <c r="AF91" s="4">
        <f>$AF$4*'NIFTY MEMBS'!AG80</f>
        <v>21280.454732822767</v>
      </c>
      <c r="AG91" s="4">
        <f>$AG$4*'NIFTY MEMBS'!AH80</f>
        <v>20556.418219461699</v>
      </c>
      <c r="AH91" s="4">
        <f>$AH$4*'NIFTY MEMBS'!AI80</f>
        <v>22182.884328151798</v>
      </c>
      <c r="AI91" s="4">
        <f>$AI$4*'NIFTY MEMBS'!AJ80</f>
        <v>20779.581687874797</v>
      </c>
      <c r="AJ91" s="4">
        <f>$AJ$4*'NIFTY MEMBS'!AK80</f>
        <v>16942.026605353916</v>
      </c>
      <c r="AK91" s="4">
        <f>$AK$4*'NIFTY MEMBS'!AL80</f>
        <v>22548.983477673362</v>
      </c>
      <c r="AL91" s="4">
        <f>$AL$4*'NIFTY MEMBS'!AM80</f>
        <v>23015.986735717353</v>
      </c>
      <c r="AM91" s="4">
        <f>$AM$4*'NIFTY MEMBS'!AN80</f>
        <v>14740.982307708633</v>
      </c>
      <c r="AN91" s="4">
        <f>$AN$4*'NIFTY MEMBS'!AO80</f>
        <v>24794.344473007706</v>
      </c>
      <c r="AO91" s="4">
        <f>$AO$4*'NIFTY MEMBS'!AP80</f>
        <v>23034.672715489301</v>
      </c>
      <c r="AP91" s="4">
        <f>$AP$4*'NIFTY MEMBS'!AQ80</f>
        <v>21204.148747786487</v>
      </c>
      <c r="AQ91" s="4">
        <f>$AQ$4*'NIFTY MEMBS'!AR80</f>
        <v>17155.266015200868</v>
      </c>
      <c r="AR91" s="4">
        <f>$AR$4*'NIFTY MEMBS'!AS80</f>
        <v>20340.069321823295</v>
      </c>
      <c r="AS91" s="4">
        <f>$AS$4*'NIFTY MEMBS'!AT80</f>
        <v>19118.954088728773</v>
      </c>
      <c r="AT91" s="4">
        <f>$AT$4*'NIFTY MEMBS'!AU80</f>
        <v>21311.222654309353</v>
      </c>
      <c r="AU91" s="4">
        <f>$AU$4*'NIFTY MEMBS'!AV80</f>
        <v>25104.857111811369</v>
      </c>
      <c r="AV91" s="4">
        <f>$AV$4*'NIFTY MEMBS'!AW80</f>
        <v>17512.052593133674</v>
      </c>
      <c r="AW91" s="4">
        <f>$AW$4*'NIFTY MEMBS'!AX80</f>
        <v>18696.81073523964</v>
      </c>
      <c r="AX91" s="4">
        <f>$AX$4*'NIFTY MEMBS'!AY80</f>
        <v>17135.341448318548</v>
      </c>
      <c r="AY91" s="4">
        <f t="shared" si="10"/>
        <v>998974.82839619566</v>
      </c>
      <c r="AZ91" s="4">
        <f t="shared" si="11"/>
        <v>101.93620697920365</v>
      </c>
    </row>
    <row r="92" spans="1:52" ht="14.25" customHeight="1" x14ac:dyDescent="0.3">
      <c r="A92" s="2">
        <v>45776</v>
      </c>
      <c r="B92" s="4">
        <f>$B$4*'NIFTY MEMBS'!C81</f>
        <v>22922.415557830092</v>
      </c>
      <c r="C92" s="4">
        <f>$C$4*'NIFTY MEMBS'!D81</f>
        <v>21413.987300590099</v>
      </c>
      <c r="D92" s="4">
        <f>$D$4*'NIFTY MEMBS'!E81</f>
        <v>22858.933383468069</v>
      </c>
      <c r="E92" s="4">
        <f>$E$4*'NIFTY MEMBS'!F81</f>
        <v>16887.743316028158</v>
      </c>
      <c r="F92" s="4">
        <f>$F$4*'NIFTY MEMBS'!G81</f>
        <v>22277.100455731699</v>
      </c>
      <c r="G92" s="4">
        <f>$G$4*'NIFTY MEMBS'!H81</f>
        <v>20487.89712556732</v>
      </c>
      <c r="H92" s="4">
        <f>$H$4*'NIFTY MEMBS'!I81</f>
        <v>15909.694555112881</v>
      </c>
      <c r="I92" s="4">
        <f>$I$4*'NIFTY MEMBS'!J81</f>
        <v>19996.554842599373</v>
      </c>
      <c r="J92" s="4">
        <f>$J$4*'NIFTY MEMBS'!K81</f>
        <v>26222.369616310756</v>
      </c>
      <c r="K92" s="4">
        <f>$K$4*'NIFTY MEMBS'!L81</f>
        <v>18609.934035210343</v>
      </c>
      <c r="L92" s="4">
        <f>$L$4*'NIFTY MEMBS'!M81</f>
        <v>18117.518745739606</v>
      </c>
      <c r="M92" s="4">
        <f>$M$4*'NIFTY MEMBS'!N81</f>
        <v>21128.984770214931</v>
      </c>
      <c r="N92" s="4">
        <f>$N$4*'NIFTY MEMBS'!O81</f>
        <v>18881.24594419208</v>
      </c>
      <c r="O92" s="4">
        <f>$O$4*'NIFTY MEMBS'!P81</f>
        <v>24658.912994855735</v>
      </c>
      <c r="P92" s="4">
        <f>$P$4*'NIFTY MEMBS'!Q81</f>
        <v>16412.563090038966</v>
      </c>
      <c r="Q92" s="4">
        <f>$Q$4*'NIFTY MEMBS'!R81</f>
        <v>19106.325564168365</v>
      </c>
      <c r="R92" s="4">
        <f>$R$4*'NIFTY MEMBS'!S81</f>
        <v>20737.311085874026</v>
      </c>
      <c r="S92" s="4">
        <f>$S$4*'NIFTY MEMBS'!T81</f>
        <v>22155.252845680163</v>
      </c>
      <c r="T92" s="4">
        <f>$T$4*'NIFTY MEMBS'!U81</f>
        <v>26223.039837604669</v>
      </c>
      <c r="U92" s="4">
        <f>$U$4*'NIFTY MEMBS'!V81</f>
        <v>20766.783963612335</v>
      </c>
      <c r="V92" s="4">
        <f>$V$4*'NIFTY MEMBS'!W81</f>
        <v>21396.673160497528</v>
      </c>
      <c r="W92" s="4">
        <f>$W$4*'NIFTY MEMBS'!X81</f>
        <v>16716.817359855337</v>
      </c>
      <c r="X92" s="4">
        <f>$X$4*'NIFTY MEMBS'!Y81</f>
        <v>19962.254861737918</v>
      </c>
      <c r="Y92" s="4">
        <f>$Y$4*'NIFTY MEMBS'!Z81</f>
        <v>20736.864317366533</v>
      </c>
      <c r="Z92" s="4">
        <f>$Z$4*'NIFTY MEMBS'!AA81</f>
        <v>21578.76828853352</v>
      </c>
      <c r="AA92" s="4">
        <f>$AA$4*'NIFTY MEMBS'!AB81</f>
        <v>22874.813628582469</v>
      </c>
      <c r="AB92" s="4">
        <f>$AB$4*'NIFTY MEMBS'!AC81</f>
        <v>16077.256077256077</v>
      </c>
      <c r="AC92" s="4">
        <f>$AC$4*'NIFTY MEMBS'!AD81</f>
        <v>19519.974226804126</v>
      </c>
      <c r="AD92" s="4">
        <f>$AD$4*'NIFTY MEMBS'!AE81</f>
        <v>17767.1004337671</v>
      </c>
      <c r="AE92" s="4">
        <f>$AE$4*'NIFTY MEMBS'!AF81</f>
        <v>18485.106772457111</v>
      </c>
      <c r="AF92" s="4">
        <f>$AF$4*'NIFTY MEMBS'!AG81</f>
        <v>21270.908814787494</v>
      </c>
      <c r="AG92" s="4">
        <f>$AG$4*'NIFTY MEMBS'!AH81</f>
        <v>20139.751552795035</v>
      </c>
      <c r="AH92" s="4">
        <f>$AH$4*'NIFTY MEMBS'!AI81</f>
        <v>22012.317678080806</v>
      </c>
      <c r="AI92" s="4">
        <f>$AI$4*'NIFTY MEMBS'!AJ81</f>
        <v>20696.211788796256</v>
      </c>
      <c r="AJ92" s="4">
        <f>$AJ$4*'NIFTY MEMBS'!AK81</f>
        <v>16924.289702742652</v>
      </c>
      <c r="AK92" s="4">
        <f>$AK$4*'NIFTY MEMBS'!AL81</f>
        <v>22485.924288024893</v>
      </c>
      <c r="AL92" s="4">
        <f>$AL$4*'NIFTY MEMBS'!AM81</f>
        <v>22839.948416678606</v>
      </c>
      <c r="AM92" s="4">
        <f>$AM$4*'NIFTY MEMBS'!AN81</f>
        <v>15255.975834919109</v>
      </c>
      <c r="AN92" s="4">
        <f>$AN$4*'NIFTY MEMBS'!AO81</f>
        <v>24708.654670094253</v>
      </c>
      <c r="AO92" s="4">
        <f>$AO$4*'NIFTY MEMBS'!AP81</f>
        <v>23170.771224886579</v>
      </c>
      <c r="AP92" s="4">
        <f>$AP$4*'NIFTY MEMBS'!AQ81</f>
        <v>20998.397841301961</v>
      </c>
      <c r="AQ92" s="4">
        <f>$AQ$4*'NIFTY MEMBS'!AR81</f>
        <v>17552.014555271886</v>
      </c>
      <c r="AR92" s="4">
        <f>$AR$4*'NIFTY MEMBS'!AS81</f>
        <v>20162.18690733111</v>
      </c>
      <c r="AS92" s="4">
        <f>$AS$4*'NIFTY MEMBS'!AT81</f>
        <v>18976.477851729727</v>
      </c>
      <c r="AT92" s="4">
        <f>$AT$4*'NIFTY MEMBS'!AU81</f>
        <v>21061.107018655883</v>
      </c>
      <c r="AU92" s="4">
        <f>$AU$4*'NIFTY MEMBS'!AV81</f>
        <v>25402.586113223952</v>
      </c>
      <c r="AV92" s="4">
        <f>$AV$4*'NIFTY MEMBS'!AW81</f>
        <v>17180.423666910156</v>
      </c>
      <c r="AW92" s="4">
        <f>$AW$4*'NIFTY MEMBS'!AX81</f>
        <v>18414.80755672924</v>
      </c>
      <c r="AX92" s="4">
        <f>$AX$4*'NIFTY MEMBS'!AY81</f>
        <v>17267.3818857025</v>
      </c>
      <c r="AY92" s="4">
        <f t="shared" si="10"/>
        <v>997410.33552594925</v>
      </c>
      <c r="AZ92" s="4">
        <f t="shared" si="11"/>
        <v>101.77656484958666</v>
      </c>
    </row>
    <row r="93" spans="1:52" ht="14.25" customHeight="1" x14ac:dyDescent="0.3">
      <c r="A93" s="2">
        <v>45777</v>
      </c>
      <c r="B93" s="4">
        <f>$B$4*'NIFTY MEMBS'!C82</f>
        <v>23009.211873080858</v>
      </c>
      <c r="C93" s="4">
        <f>$C$4*'NIFTY MEMBS'!D82</f>
        <v>21595.727972357468</v>
      </c>
      <c r="D93" s="4">
        <f>$D$4*'NIFTY MEMBS'!E82</f>
        <v>23369.054333521337</v>
      </c>
      <c r="E93" s="4">
        <f>$E$4*'NIFTY MEMBS'!F82</f>
        <v>16796.313632992496</v>
      </c>
      <c r="F93" s="4">
        <f>$F$4*'NIFTY MEMBS'!G82</f>
        <v>22233.474856853503</v>
      </c>
      <c r="G93" s="4">
        <f>$G$4*'NIFTY MEMBS'!H82</f>
        <v>19885.274836106906</v>
      </c>
      <c r="H93" s="4">
        <f>$H$4*'NIFTY MEMBS'!I82</f>
        <v>15937.317397078352</v>
      </c>
      <c r="I93" s="4">
        <f>$I$4*'NIFTY MEMBS'!J82</f>
        <v>20172.257870031437</v>
      </c>
      <c r="J93" s="4">
        <f>$J$4*'NIFTY MEMBS'!K82</f>
        <v>24900.148515565299</v>
      </c>
      <c r="K93" s="4">
        <f>$K$4*'NIFTY MEMBS'!L82</f>
        <v>18601.196976977852</v>
      </c>
      <c r="L93" s="4">
        <f>$L$4*'NIFTY MEMBS'!M82</f>
        <v>18219.495569188821</v>
      </c>
      <c r="M93" s="4">
        <f>$M$4*'NIFTY MEMBS'!N82</f>
        <v>21871.291810533268</v>
      </c>
      <c r="N93" s="4">
        <f>$N$4*'NIFTY MEMBS'!O82</f>
        <v>19005.840363400388</v>
      </c>
      <c r="O93" s="4">
        <f>$O$4*'NIFTY MEMBS'!P82</f>
        <v>24693.580854394986</v>
      </c>
      <c r="P93" s="4">
        <f>$P$4*'NIFTY MEMBS'!Q82</f>
        <v>16396.872303146003</v>
      </c>
      <c r="Q93" s="4">
        <f>$Q$4*'NIFTY MEMBS'!R82</f>
        <v>19389.930950554244</v>
      </c>
      <c r="R93" s="4">
        <f>$R$4*'NIFTY MEMBS'!S82</f>
        <v>20338.953437581898</v>
      </c>
      <c r="S93" s="4">
        <f>$S$4*'NIFTY MEMBS'!T82</f>
        <v>22112.334390744541</v>
      </c>
      <c r="T93" s="4">
        <f>$T$4*'NIFTY MEMBS'!U82</f>
        <v>24760.213143872112</v>
      </c>
      <c r="U93" s="4">
        <f>$U$4*'NIFTY MEMBS'!V82</f>
        <v>20773.54518493477</v>
      </c>
      <c r="V93" s="4">
        <f>$V$4*'NIFTY MEMBS'!W82</f>
        <v>21252.809830660874</v>
      </c>
      <c r="W93" s="4">
        <f>$W$4*'NIFTY MEMBS'!X82</f>
        <v>16818.806509945753</v>
      </c>
      <c r="X93" s="4">
        <f>$X$4*'NIFTY MEMBS'!Y82</f>
        <v>19963.895954705833</v>
      </c>
      <c r="Y93" s="4">
        <f>$Y$4*'NIFTY MEMBS'!Z82</f>
        <v>20633.044946191181</v>
      </c>
      <c r="Z93" s="4">
        <f>$Z$4*'NIFTY MEMBS'!AA82</f>
        <v>21374.617216740393</v>
      </c>
      <c r="AA93" s="4">
        <f>$AA$4*'NIFTY MEMBS'!AB82</f>
        <v>22746.700535645257</v>
      </c>
      <c r="AB93" s="4">
        <f>$AB$4*'NIFTY MEMBS'!AC82</f>
        <v>16083.916083916083</v>
      </c>
      <c r="AC93" s="4">
        <f>$AC$4*'NIFTY MEMBS'!AD82</f>
        <v>19809.922680412372</v>
      </c>
      <c r="AD93" s="4">
        <f>$AD$4*'NIFTY MEMBS'!AE82</f>
        <v>17197.197197197198</v>
      </c>
      <c r="AE93" s="4">
        <f>$AE$4*'NIFTY MEMBS'!AF82</f>
        <v>18374.129774442114</v>
      </c>
      <c r="AF93" s="4">
        <f>$AF$4*'NIFTY MEMBS'!AG82</f>
        <v>21050.484889245654</v>
      </c>
      <c r="AG93" s="4">
        <f>$AG$4*'NIFTY MEMBS'!AH82</f>
        <v>19943.064182194619</v>
      </c>
      <c r="AH93" s="4">
        <f>$AH$4*'NIFTY MEMBS'!AI82</f>
        <v>22018.771551326732</v>
      </c>
      <c r="AI93" s="4">
        <f>$AI$4*'NIFTY MEMBS'!AJ82</f>
        <v>20488.518356004097</v>
      </c>
      <c r="AJ93" s="4">
        <f>$AJ$4*'NIFTY MEMBS'!AK82</f>
        <v>17107.571029725739</v>
      </c>
      <c r="AK93" s="4">
        <f>$AK$4*'NIFTY MEMBS'!AL82</f>
        <v>22418.770345801855</v>
      </c>
      <c r="AL93" s="4">
        <f>$AL$4*'NIFTY MEMBS'!AM82</f>
        <v>22790.821443923604</v>
      </c>
      <c r="AM93" s="4">
        <f>$AM$4*'NIFTY MEMBS'!AN82</f>
        <v>14636.285821407602</v>
      </c>
      <c r="AN93" s="4">
        <f>$AN$4*'NIFTY MEMBS'!AO82</f>
        <v>25218.508997429301</v>
      </c>
      <c r="AO93" s="4">
        <f>$AO$4*'NIFTY MEMBS'!AP82</f>
        <v>24099.157485418014</v>
      </c>
      <c r="AP93" s="4">
        <f>$AP$4*'NIFTY MEMBS'!AQ82</f>
        <v>21069.230120583521</v>
      </c>
      <c r="AQ93" s="4">
        <f>$AQ$4*'NIFTY MEMBS'!AR82</f>
        <v>17642.398098424157</v>
      </c>
      <c r="AR93" s="4">
        <f>$AR$4*'NIFTY MEMBS'!AS82</f>
        <v>20274.671375318812</v>
      </c>
      <c r="AS93" s="4">
        <f>$AS$4*'NIFTY MEMBS'!AT82</f>
        <v>18934.41343890144</v>
      </c>
      <c r="AT93" s="4">
        <f>$AT$4*'NIFTY MEMBS'!AU82</f>
        <v>20958.319771127062</v>
      </c>
      <c r="AU93" s="4">
        <f>$AU$4*'NIFTY MEMBS'!AV82</f>
        <v>25335.216777137888</v>
      </c>
      <c r="AV93" s="4">
        <f>$AV$4*'NIFTY MEMBS'!AW82</f>
        <v>17295.836376917461</v>
      </c>
      <c r="AW93" s="4">
        <f>$AW$4*'NIFTY MEMBS'!AX82</f>
        <v>18293.880770012067</v>
      </c>
      <c r="AX93" s="4">
        <f>$AX$4*'NIFTY MEMBS'!AY82</f>
        <v>17297.2972972973</v>
      </c>
      <c r="AY93" s="4">
        <f t="shared" si="10"/>
        <v>995190.29513097054</v>
      </c>
      <c r="AZ93" s="4">
        <f t="shared" si="11"/>
        <v>101.55003011540515</v>
      </c>
    </row>
    <row r="94" spans="1:52" ht="14.25" customHeight="1" x14ac:dyDescent="0.3">
      <c r="A94" s="2">
        <v>45779</v>
      </c>
      <c r="B94" s="4">
        <f>$B$4*'NIFTY MEMBS'!C83</f>
        <v>23294.165813715455</v>
      </c>
      <c r="C94" s="4">
        <f>$C$4*'NIFTY MEMBS'!D83</f>
        <v>21595.727972357468</v>
      </c>
      <c r="D94" s="4">
        <f>$D$4*'NIFTY MEMBS'!E83</f>
        <v>23211.129911637527</v>
      </c>
      <c r="E94" s="4">
        <f>$E$4*'NIFTY MEMBS'!F83</f>
        <v>16752.544103879682</v>
      </c>
      <c r="F94" s="4">
        <f>$F$4*'NIFTY MEMBS'!G83</f>
        <v>22317.609940404316</v>
      </c>
      <c r="G94" s="4">
        <f>$G$4*'NIFTY MEMBS'!H83</f>
        <v>20171.457387796265</v>
      </c>
      <c r="H94" s="4">
        <f>$H$4*'NIFTY MEMBS'!I83</f>
        <v>16008.499335989374</v>
      </c>
      <c r="I94" s="4">
        <f>$I$4*'NIFTY MEMBS'!J83</f>
        <v>20015.503208302831</v>
      </c>
      <c r="J94" s="4">
        <f>$J$4*'NIFTY MEMBS'!K83</f>
        <v>25557.654319207533</v>
      </c>
      <c r="K94" s="4">
        <f>$K$4*'NIFTY MEMBS'!L83</f>
        <v>18795.596522650823</v>
      </c>
      <c r="L94" s="4">
        <f>$L$4*'NIFTY MEMBS'!M83</f>
        <v>18158.418541240626</v>
      </c>
      <c r="M94" s="4">
        <f>$M$4*'NIFTY MEMBS'!N83</f>
        <v>22137.166207185746</v>
      </c>
      <c r="N94" s="4">
        <f>$N$4*'NIFTY MEMBS'!O83</f>
        <v>18988.968202465931</v>
      </c>
      <c r="O94" s="4">
        <f>$O$4*'NIFTY MEMBS'!P83</f>
        <v>24437.486021024375</v>
      </c>
      <c r="P94" s="4">
        <f>$P$4*'NIFTY MEMBS'!Q83</f>
        <v>16491.017024503777</v>
      </c>
      <c r="Q94" s="4">
        <f>$Q$4*'NIFTY MEMBS'!R83</f>
        <v>19359.242307997567</v>
      </c>
      <c r="R94" s="4">
        <f>$R$4*'NIFTY MEMBS'!S83</f>
        <v>20344.194985585742</v>
      </c>
      <c r="S94" s="4">
        <f>$S$4*'NIFTY MEMBS'!T83</f>
        <v>22060.085836909875</v>
      </c>
      <c r="T94" s="4">
        <f>$T$4*'NIFTY MEMBS'!U83</f>
        <v>24841.410809439225</v>
      </c>
      <c r="U94" s="4">
        <f>$U$4*'NIFTY MEMBS'!V83</f>
        <v>20535.673125681886</v>
      </c>
      <c r="V94" s="4">
        <f>$V$4*'NIFTY MEMBS'!W83</f>
        <v>20887.157200659374</v>
      </c>
      <c r="W94" s="4">
        <f>$W$4*'NIFTY MEMBS'!X83</f>
        <v>16946.835443037977</v>
      </c>
      <c r="X94" s="4">
        <f>$X$4*'NIFTY MEMBS'!Y83</f>
        <v>20794.288996471645</v>
      </c>
      <c r="Y94" s="4">
        <f>$Y$4*'NIFTY MEMBS'!Z83</f>
        <v>20546.106773580923</v>
      </c>
      <c r="Z94" s="4">
        <f>$Z$4*'NIFTY MEMBS'!AA83</f>
        <v>21187.478734263361</v>
      </c>
      <c r="AA94" s="4">
        <f>$AA$4*'NIFTY MEMBS'!AB83</f>
        <v>21496.493456292454</v>
      </c>
      <c r="AB94" s="4">
        <f>$AB$4*'NIFTY MEMBS'!AC83</f>
        <v>16175.158175158174</v>
      </c>
      <c r="AC94" s="4">
        <f>$AC$4*'NIFTY MEMBS'!AD83</f>
        <v>19584.407216494845</v>
      </c>
      <c r="AD94" s="4">
        <f>$AD$4*'NIFTY MEMBS'!AE83</f>
        <v>17404.070737404068</v>
      </c>
      <c r="AE94" s="4">
        <f>$AE$4*'NIFTY MEMBS'!AF83</f>
        <v>17931.365875145158</v>
      </c>
      <c r="AF94" s="4">
        <f>$AF$4*'NIFTY MEMBS'!AG83</f>
        <v>20912.502983099384</v>
      </c>
      <c r="AG94" s="4">
        <f>$AG$4*'NIFTY MEMBS'!AH83</f>
        <v>19896.480331262941</v>
      </c>
      <c r="AH94" s="4">
        <f>$AH$4*'NIFTY MEMBS'!AI83</f>
        <v>21553.170695727538</v>
      </c>
      <c r="AI94" s="4">
        <f>$AI$4*'NIFTY MEMBS'!AJ83</f>
        <v>20649.4076349276</v>
      </c>
      <c r="AJ94" s="4">
        <f>$AJ$4*'NIFTY MEMBS'!AK83</f>
        <v>17001.14961405814</v>
      </c>
      <c r="AK94" s="4">
        <f>$AK$4*'NIFTY MEMBS'!AL83</f>
        <v>22261.531846938149</v>
      </c>
      <c r="AL94" s="4">
        <f>$AL$4*'NIFTY MEMBS'!AM83</f>
        <v>22260.659529609235</v>
      </c>
      <c r="AM94" s="4">
        <f>$AM$4*'NIFTY MEMBS'!AN83</f>
        <v>14566.95976966773</v>
      </c>
      <c r="AN94" s="4">
        <f>$AN$4*'NIFTY MEMBS'!AO83</f>
        <v>25202.799200228503</v>
      </c>
      <c r="AO94" s="4">
        <f>$AO$4*'NIFTY MEMBS'!AP83</f>
        <v>23582.30719377835</v>
      </c>
      <c r="AP94" s="4">
        <f>$AP$4*'NIFTY MEMBS'!AQ83</f>
        <v>21320.516063749052</v>
      </c>
      <c r="AQ94" s="4">
        <f>$AQ$4*'NIFTY MEMBS'!AR83</f>
        <v>17563.752677759192</v>
      </c>
      <c r="AR94" s="4">
        <f>$AR$4*'NIFTY MEMBS'!AS83</f>
        <v>19954.221437446864</v>
      </c>
      <c r="AS94" s="4">
        <f>$AS$4*'NIFTY MEMBS'!AT83</f>
        <v>18873.352194473278</v>
      </c>
      <c r="AT94" s="4">
        <f>$AT$4*'NIFTY MEMBS'!AU83</f>
        <v>20701.351652305002</v>
      </c>
      <c r="AU94" s="4">
        <f>$AU$4*'NIFTY MEMBS'!AV83</f>
        <v>25139.628382049334</v>
      </c>
      <c r="AV94" s="4">
        <f>$AV$4*'NIFTY MEMBS'!AW83</f>
        <v>17281.227173119067</v>
      </c>
      <c r="AW94" s="4">
        <f>$AW$4*'NIFTY MEMBS'!AX83</f>
        <v>17878.523546070475</v>
      </c>
      <c r="AX94" s="4">
        <f>$AX$4*'NIFTY MEMBS'!AY83</f>
        <v>17598.514545079433</v>
      </c>
      <c r="AY94" s="4">
        <f t="shared" si="10"/>
        <v>992224.97065783327</v>
      </c>
      <c r="AZ94" s="4">
        <f t="shared" si="11"/>
        <v>101.2474459854932</v>
      </c>
    </row>
    <row r="95" spans="1:52" ht="14.25" customHeight="1" x14ac:dyDescent="0.3">
      <c r="A95" s="2">
        <v>45782</v>
      </c>
      <c r="B95" s="4">
        <f>$B$4*'NIFTY MEMBS'!C84</f>
        <v>23439.918116683722</v>
      </c>
      <c r="C95" s="4">
        <f>$C$4*'NIFTY MEMBS'!D84</f>
        <v>21728.106980188026</v>
      </c>
      <c r="D95" s="4">
        <f>$D$4*'NIFTY MEMBS'!E84</f>
        <v>23387.854859936077</v>
      </c>
      <c r="E95" s="4">
        <f>$E$4*'NIFTY MEMBS'!F84</f>
        <v>16799.231601600022</v>
      </c>
      <c r="F95" s="4">
        <f>$F$4*'NIFTY MEMBS'!G84</f>
        <v>22270.86822732053</v>
      </c>
      <c r="G95" s="4">
        <f>$G$4*'NIFTY MEMBS'!H84</f>
        <v>19919.314170448812</v>
      </c>
      <c r="H95" s="4">
        <f>$H$4*'NIFTY MEMBS'!I84</f>
        <v>16027.622841965469</v>
      </c>
      <c r="I95" s="4">
        <f>$I$4*'NIFTY MEMBS'!J84</f>
        <v>20228.241677791655</v>
      </c>
      <c r="J95" s="4">
        <f>$J$4*'NIFTY MEMBS'!K84</f>
        <v>25758.07823742304</v>
      </c>
      <c r="K95" s="4">
        <f>$K$4*'NIFTY MEMBS'!L84</f>
        <v>19088.287973439343</v>
      </c>
      <c r="L95" s="4">
        <f>$L$4*'NIFTY MEMBS'!M84</f>
        <v>18160.599863667347</v>
      </c>
      <c r="M95" s="4">
        <f>$M$4*'NIFTY MEMBS'!N84</f>
        <v>22229.95458722554</v>
      </c>
      <c r="N95" s="4">
        <f>$N$4*'NIFTY MEMBS'!O84</f>
        <v>19607.397793640492</v>
      </c>
      <c r="O95" s="4">
        <f>$O$4*'NIFTY MEMBS'!P84</f>
        <v>23315.813017222095</v>
      </c>
      <c r="P95" s="4">
        <f>$P$4*'NIFTY MEMBS'!Q84</f>
        <v>16408.378880200842</v>
      </c>
      <c r="Q95" s="4">
        <f>$Q$4*'NIFTY MEMBS'!R84</f>
        <v>19435.434799862429</v>
      </c>
      <c r="R95" s="4">
        <f>$R$4*'NIFTY MEMBS'!S84</f>
        <v>20389.621734952387</v>
      </c>
      <c r="S95" s="4">
        <f>$S$4*'NIFTY MEMBS'!T84</f>
        <v>21892.144056727004</v>
      </c>
      <c r="T95" s="4">
        <f>$T$4*'NIFTY MEMBS'!U84</f>
        <v>25706.673433138796</v>
      </c>
      <c r="U95" s="4">
        <f>$U$4*'NIFTY MEMBS'!V84</f>
        <v>20417.659080781232</v>
      </c>
      <c r="V95" s="4">
        <f>$V$4*'NIFTY MEMBS'!W84</f>
        <v>20896.148658774167</v>
      </c>
      <c r="W95" s="4">
        <f>$W$4*'NIFTY MEMBS'!X84</f>
        <v>17352.622061482823</v>
      </c>
      <c r="X95" s="4">
        <f>$X$4*'NIFTY MEMBS'!Y84</f>
        <v>22107.163370804952</v>
      </c>
      <c r="Y95" s="4">
        <f>$Y$4*'NIFTY MEMBS'!Z84</f>
        <v>20189.913483857355</v>
      </c>
      <c r="Z95" s="4">
        <f>$Z$4*'NIFTY MEMBS'!AA84</f>
        <v>21456.277645457641</v>
      </c>
      <c r="AA95" s="4">
        <f>$AA$4*'NIFTY MEMBS'!AB84</f>
        <v>21105.527638190953</v>
      </c>
      <c r="AB95" s="4">
        <f>$AB$4*'NIFTY MEMBS'!AC84</f>
        <v>16221.778221778221</v>
      </c>
      <c r="AC95" s="4">
        <f>$AC$4*'NIFTY MEMBS'!AD84</f>
        <v>19858.247422680412</v>
      </c>
      <c r="AD95" s="4">
        <f>$AD$4*'NIFTY MEMBS'!AE84</f>
        <v>17658.99232565899</v>
      </c>
      <c r="AE95" s="4">
        <f>$AE$4*'NIFTY MEMBS'!AF84</f>
        <v>18123.573459336083</v>
      </c>
      <c r="AF95" s="4">
        <f>$AF$4*'NIFTY MEMBS'!AG84</f>
        <v>21147.67969105938</v>
      </c>
      <c r="AG95" s="4">
        <f>$AG$4*'NIFTY MEMBS'!AH84</f>
        <v>19958.592132505179</v>
      </c>
      <c r="AH95" s="4">
        <f>$AH$4*'NIFTY MEMBS'!AI84</f>
        <v>21465.582415961351</v>
      </c>
      <c r="AI95" s="4">
        <f>$AI$4*'NIFTY MEMBS'!AJ84</f>
        <v>20781.044317683194</v>
      </c>
      <c r="AJ95" s="4">
        <f>$AJ$4*'NIFTY MEMBS'!AK84</f>
        <v>17119.395631466585</v>
      </c>
      <c r="AK95" s="4">
        <f>$AK$4*'NIFTY MEMBS'!AL84</f>
        <v>22562.905636426916</v>
      </c>
      <c r="AL95" s="4">
        <f>$AL$4*'NIFTY MEMBS'!AM84</f>
        <v>22354.819560722983</v>
      </c>
      <c r="AM95" s="4">
        <f>$AM$4*'NIFTY MEMBS'!AN84</f>
        <v>15196.553504856362</v>
      </c>
      <c r="AN95" s="4">
        <f>$AN$4*'NIFTY MEMBS'!AO84</f>
        <v>25277.063696086829</v>
      </c>
      <c r="AO95" s="4">
        <f>$AO$4*'NIFTY MEMBS'!AP84</f>
        <v>23943.616331821122</v>
      </c>
      <c r="AP95" s="4">
        <f>$AP$4*'NIFTY MEMBS'!AQ84</f>
        <v>21364.364617590014</v>
      </c>
      <c r="AQ95" s="4">
        <f>$AQ$4*'NIFTY MEMBS'!AR84</f>
        <v>17543.797869530768</v>
      </c>
      <c r="AR95" s="4">
        <f>$AR$4*'NIFTY MEMBS'!AS84</f>
        <v>20180.498332352367</v>
      </c>
      <c r="AS95" s="4">
        <f>$AS$4*'NIFTY MEMBS'!AT84</f>
        <v>18926.27193964435</v>
      </c>
      <c r="AT95" s="4">
        <f>$AT$4*'NIFTY MEMBS'!AU84</f>
        <v>21545.920202833498</v>
      </c>
      <c r="AU95" s="4">
        <f>$AU$4*'NIFTY MEMBS'!AV84</f>
        <v>25241.768988373358</v>
      </c>
      <c r="AV95" s="4">
        <f>$AV$4*'NIFTY MEMBS'!AW84</f>
        <v>17111.760409057708</v>
      </c>
      <c r="AW95" s="4">
        <f>$AW$4*'NIFTY MEMBS'!AX84</f>
        <v>18008.053819589659</v>
      </c>
      <c r="AX95" s="4">
        <f>$AX$4*'NIFTY MEMBS'!AY84</f>
        <v>17469.56880544667</v>
      </c>
      <c r="AY95" s="4">
        <f t="shared" si="10"/>
        <v>998380.70412524452</v>
      </c>
      <c r="AZ95" s="4">
        <f t="shared" si="11"/>
        <v>101.87558205359637</v>
      </c>
    </row>
    <row r="96" spans="1:52" ht="14.25" customHeight="1" x14ac:dyDescent="0.3">
      <c r="A96" s="2">
        <v>45783</v>
      </c>
      <c r="B96" s="4">
        <f>$B$4*'NIFTY MEMBS'!C85</f>
        <v>23269.600818833162</v>
      </c>
      <c r="C96" s="4">
        <f>$C$4*'NIFTY MEMBS'!D85</f>
        <v>21670.892324261258</v>
      </c>
      <c r="D96" s="4">
        <f>$D$4*'NIFTY MEMBS'!E85</f>
        <v>23826.533809613335</v>
      </c>
      <c r="E96" s="4">
        <f>$E$4*'NIFTY MEMBS'!F85</f>
        <v>16826.952303371469</v>
      </c>
      <c r="F96" s="4">
        <f>$F$4*'NIFTY MEMBS'!G85</f>
        <v>22305.145483581971</v>
      </c>
      <c r="G96" s="4">
        <f>$G$4*'NIFTY MEMBS'!H85</f>
        <v>19518.406454866363</v>
      </c>
      <c r="H96" s="4">
        <f>$H$4*'NIFTY MEMBS'!I85</f>
        <v>16058.432934926957</v>
      </c>
      <c r="I96" s="4">
        <f>$I$4*'NIFTY MEMBS'!J85</f>
        <v>20514.189742043844</v>
      </c>
      <c r="J96" s="4">
        <f>$J$4*'NIFTY MEMBS'!K85</f>
        <v>25370.207489221808</v>
      </c>
      <c r="K96" s="4">
        <f>$K$4*'NIFTY MEMBS'!L85</f>
        <v>19027.12856581189</v>
      </c>
      <c r="L96" s="4">
        <f>$L$4*'NIFTY MEMBS'!M85</f>
        <v>18181.322426721199</v>
      </c>
      <c r="M96" s="4">
        <f>$M$4*'NIFTY MEMBS'!N85</f>
        <v>22449.434793858123</v>
      </c>
      <c r="N96" s="4">
        <f>$N$4*'NIFTY MEMBS'!O85</f>
        <v>19911.745619727448</v>
      </c>
      <c r="O96" s="4">
        <f>$O$4*'NIFTY MEMBS'!P85</f>
        <v>23193.916349809882</v>
      </c>
      <c r="P96" s="4">
        <f>$P$4*'NIFTY MEMBS'!Q85</f>
        <v>16518.214388451579</v>
      </c>
      <c r="Q96" s="4">
        <f>$Q$4*'NIFTY MEMBS'!R85</f>
        <v>19250.24471546866</v>
      </c>
      <c r="R96" s="4">
        <f>$R$4*'NIFTY MEMBS'!S85</f>
        <v>20429.806936315192</v>
      </c>
      <c r="S96" s="4">
        <f>$S$4*'NIFTY MEMBS'!T85</f>
        <v>21671.953722709462</v>
      </c>
      <c r="T96" s="4">
        <f>$T$4*'NIFTY MEMBS'!U85</f>
        <v>25828.469931489468</v>
      </c>
      <c r="U96" s="4">
        <f>$U$4*'NIFTY MEMBS'!V85</f>
        <v>20279.361371913274</v>
      </c>
      <c r="V96" s="4">
        <f>$V$4*'NIFTY MEMBS'!W85</f>
        <v>20488.535890903644</v>
      </c>
      <c r="W96" s="4">
        <f>$W$4*'NIFTY MEMBS'!X85</f>
        <v>16827.486437613021</v>
      </c>
      <c r="X96" s="4">
        <f>$X$4*'NIFTY MEMBS'!Y85</f>
        <v>21675.555920242878</v>
      </c>
      <c r="Y96" s="4">
        <f>$Y$4*'NIFTY MEMBS'!Z85</f>
        <v>20004.220299641274</v>
      </c>
      <c r="Z96" s="4">
        <f>$Z$4*'NIFTY MEMBS'!AA85</f>
        <v>21129.63593058864</v>
      </c>
      <c r="AA96" s="4">
        <f>$AA$4*'NIFTY MEMBS'!AB85</f>
        <v>21370.58920978519</v>
      </c>
      <c r="AB96" s="4">
        <f>$AB$4*'NIFTY MEMBS'!AC85</f>
        <v>16063.270063270062</v>
      </c>
      <c r="AC96" s="4">
        <f>$AC$4*'NIFTY MEMBS'!AD85</f>
        <v>19819.587628865982</v>
      </c>
      <c r="AD96" s="4">
        <f>$AD$4*'NIFTY MEMBS'!AE85</f>
        <v>17302.635969302635</v>
      </c>
      <c r="AE96" s="4">
        <f>$AE$4*'NIFTY MEMBS'!AF85</f>
        <v>18180.778097488146</v>
      </c>
      <c r="AF96" s="4">
        <f>$AF$4*'NIFTY MEMBS'!AG85</f>
        <v>20983.663462998717</v>
      </c>
      <c r="AG96" s="4">
        <f>$AG$4*'NIFTY MEMBS'!AH85</f>
        <v>19578.157349896483</v>
      </c>
      <c r="AH96" s="4">
        <f>$AH$4*'NIFTY MEMBS'!AI85</f>
        <v>21726.503291475357</v>
      </c>
      <c r="AI96" s="4">
        <f>$AI$4*'NIFTY MEMBS'!AJ85</f>
        <v>21126.22495246453</v>
      </c>
      <c r="AJ96" s="4">
        <f>$AJ$4*'NIFTY MEMBS'!AK85</f>
        <v>16501.888651666941</v>
      </c>
      <c r="AK96" s="4">
        <f>$AK$4*'NIFTY MEMBS'!AL85</f>
        <v>22346.702700489321</v>
      </c>
      <c r="AL96" s="4">
        <f>$AL$4*'NIFTY MEMBS'!AM85</f>
        <v>22577.937895318606</v>
      </c>
      <c r="AM96" s="4">
        <f>$AM$4*'NIFTY MEMBS'!AN85</f>
        <v>14782.012011799578</v>
      </c>
      <c r="AN96" s="4">
        <f>$AN$4*'NIFTY MEMBS'!AO85</f>
        <v>24650.099971436728</v>
      </c>
      <c r="AO96" s="4">
        <f>$AO$4*'NIFTY MEMBS'!AP85</f>
        <v>23415.424497731688</v>
      </c>
      <c r="AP96" s="4">
        <f>$AP$4*'NIFTY MEMBS'!AQ85</f>
        <v>21251.370267307528</v>
      </c>
      <c r="AQ96" s="4">
        <f>$AQ$4*'NIFTY MEMBS'!AR85</f>
        <v>17562.578865510462</v>
      </c>
      <c r="AR96" s="4">
        <f>$AR$4*'NIFTY MEMBS'!AS85</f>
        <v>19768.491269374143</v>
      </c>
      <c r="AS96" s="4">
        <f>$AS$4*'NIFTY MEMBS'!AT85</f>
        <v>19021.256097643713</v>
      </c>
      <c r="AT96" s="4">
        <f>$AT$4*'NIFTY MEMBS'!AU85</f>
        <v>21360.90315728162</v>
      </c>
      <c r="AU96" s="4">
        <f>$AU$4*'NIFTY MEMBS'!AV85</f>
        <v>25107.030316201239</v>
      </c>
      <c r="AV96" s="4">
        <f>$AV$4*'NIFTY MEMBS'!AW85</f>
        <v>16952.520087655226</v>
      </c>
      <c r="AW96" s="4">
        <f>$AW$4*'NIFTY MEMBS'!AX85</f>
        <v>18509.923883040374</v>
      </c>
      <c r="AX96" s="4">
        <f>$AX$4*'NIFTY MEMBS'!AY85</f>
        <v>17161.130596245101</v>
      </c>
      <c r="AY96" s="4">
        <f t="shared" si="10"/>
        <v>993348.07495623524</v>
      </c>
      <c r="AZ96" s="4">
        <f t="shared" si="11"/>
        <v>101.36204846492195</v>
      </c>
    </row>
    <row r="97" spans="1:52" ht="14.25" customHeight="1" x14ac:dyDescent="0.3">
      <c r="A97" s="2">
        <v>45784</v>
      </c>
      <c r="B97" s="4">
        <f>$B$4*'NIFTY MEMBS'!C86</f>
        <v>23025.588536335719</v>
      </c>
      <c r="C97" s="4">
        <f>$C$4*'NIFTY MEMBS'!D86</f>
        <v>21826.830308061657</v>
      </c>
      <c r="D97" s="4">
        <f>$D$4*'NIFTY MEMBS'!E86</f>
        <v>23773.892335652065</v>
      </c>
      <c r="E97" s="4">
        <f>$E$4*'NIFTY MEMBS'!F86</f>
        <v>16754.489416284698</v>
      </c>
      <c r="F97" s="4">
        <f>$F$4*'NIFTY MEMBS'!G86</f>
        <v>22364.351653488102</v>
      </c>
      <c r="G97" s="4">
        <f>$G$4*'NIFTY MEMBS'!H86</f>
        <v>19568.835098335854</v>
      </c>
      <c r="H97" s="4">
        <f>$H$4*'NIFTY MEMBS'!I86</f>
        <v>16024.435590969455</v>
      </c>
      <c r="I97" s="4">
        <f>$I$4*'NIFTY MEMBS'!J86</f>
        <v>20419.447913526554</v>
      </c>
      <c r="J97" s="4">
        <f>$J$4*'NIFTY MEMBS'!K86</f>
        <v>25915.245194872608</v>
      </c>
      <c r="K97" s="4">
        <f>$K$4*'NIFTY MEMBS'!L86</f>
        <v>18834.913284697042</v>
      </c>
      <c r="L97" s="4">
        <f>$L$4*'NIFTY MEMBS'!M86</f>
        <v>18112.610770279483</v>
      </c>
      <c r="M97" s="4">
        <f>$M$4*'NIFTY MEMBS'!N86</f>
        <v>22542.223173897917</v>
      </c>
      <c r="N97" s="4">
        <f>$N$4*'NIFTY MEMBS'!O86</f>
        <v>20245.944192083061</v>
      </c>
      <c r="O97" s="4">
        <f>$O$4*'NIFTY MEMBS'!P86</f>
        <v>23427.644822187427</v>
      </c>
      <c r="P97" s="4">
        <f>$P$4*'NIFTY MEMBS'!Q86</f>
        <v>16352.938099845707</v>
      </c>
      <c r="Q97" s="4">
        <f>$Q$4*'NIFTY MEMBS'!R86</f>
        <v>18850.234133178124</v>
      </c>
      <c r="R97" s="4">
        <f>$R$4*'NIFTY MEMBS'!S86</f>
        <v>20368.655542937013</v>
      </c>
      <c r="S97" s="4">
        <f>$S$4*'NIFTY MEMBS'!T86</f>
        <v>21670.08770292965</v>
      </c>
      <c r="T97" s="4">
        <f>$T$4*'NIFTY MEMBS'!U86</f>
        <v>25758.690687642727</v>
      </c>
      <c r="U97" s="4">
        <f>$U$4*'NIFTY MEMBS'!V86</f>
        <v>20522.765339520876</v>
      </c>
      <c r="V97" s="4">
        <f>$V$4*'NIFTY MEMBS'!W86</f>
        <v>20503.521654428296</v>
      </c>
      <c r="W97" s="4">
        <f>$W$4*'NIFTY MEMBS'!X86</f>
        <v>17135.623869801086</v>
      </c>
      <c r="X97" s="4">
        <f>$X$4*'NIFTY MEMBS'!Y86</f>
        <v>21961.106096660373</v>
      </c>
      <c r="Y97" s="4">
        <f>$Y$4*'NIFTY MEMBS'!Z86</f>
        <v>20145.178307659844</v>
      </c>
      <c r="Z97" s="4">
        <f>$Z$4*'NIFTY MEMBS'!AA86</f>
        <v>21092.208234093232</v>
      </c>
      <c r="AA97" s="4">
        <f>$AA$4*'NIFTY MEMBS'!AB86</f>
        <v>21339.665359765862</v>
      </c>
      <c r="AB97" s="4">
        <f>$AB$4*'NIFTY MEMBS'!AC86</f>
        <v>16253.080253080252</v>
      </c>
      <c r="AC97" s="4">
        <f>$AC$4*'NIFTY MEMBS'!AD86</f>
        <v>20045.103092783509</v>
      </c>
      <c r="AD97" s="4">
        <f>$AD$4*'NIFTY MEMBS'!AE86</f>
        <v>18159.492826159491</v>
      </c>
      <c r="AE97" s="4">
        <f>$AE$4*'NIFTY MEMBS'!AF86</f>
        <v>17959.968194221186</v>
      </c>
      <c r="AF97" s="4">
        <f>$AF$4*'NIFTY MEMBS'!AG86</f>
        <v>20255.570260126264</v>
      </c>
      <c r="AG97" s="4">
        <f>$AG$4*'NIFTY MEMBS'!AH86</f>
        <v>19839.544513457557</v>
      </c>
      <c r="AH97" s="4">
        <f>$AH$4*'NIFTY MEMBS'!AI86</f>
        <v>21559.624568973468</v>
      </c>
      <c r="AI97" s="4">
        <f>$AI$4*'NIFTY MEMBS'!AJ86</f>
        <v>21354.395202574226</v>
      </c>
      <c r="AJ97" s="4">
        <f>$AJ$4*'NIFTY MEMBS'!AK86</f>
        <v>16823.780587945479</v>
      </c>
      <c r="AK97" s="4">
        <f>$AK$4*'NIFTY MEMBS'!AL86</f>
        <v>22110.844952193762</v>
      </c>
      <c r="AL97" s="4">
        <f>$AL$4*'NIFTY MEMBS'!AM86</f>
        <v>22471.496121016105</v>
      </c>
      <c r="AM97" s="4">
        <f>$AM$4*'NIFTY MEMBS'!AN86</f>
        <v>14807.478724683611</v>
      </c>
      <c r="AN97" s="4">
        <f>$AN$4*'NIFTY MEMBS'!AO86</f>
        <v>24914.310197086543</v>
      </c>
      <c r="AO97" s="4">
        <f>$AO$4*'NIFTY MEMBS'!AP86</f>
        <v>23457.550226830845</v>
      </c>
      <c r="AP97" s="4">
        <f>$AP$4*'NIFTY MEMBS'!AQ86</f>
        <v>21462.180622312164</v>
      </c>
      <c r="AQ97" s="4">
        <f>$AQ$4*'NIFTY MEMBS'!AR86</f>
        <v>17550.840743023153</v>
      </c>
      <c r="AR97" s="4">
        <f>$AR$4*'NIFTY MEMBS'!AS86</f>
        <v>19734.48433719181</v>
      </c>
      <c r="AS97" s="4">
        <f>$AS$4*'NIFTY MEMBS'!AT86</f>
        <v>18950.696437415616</v>
      </c>
      <c r="AT97" s="4">
        <f>$AT$4*'NIFTY MEMBS'!AU86</f>
        <v>21813.167046408438</v>
      </c>
      <c r="AU97" s="4">
        <f>$AU$4*'NIFTY MEMBS'!AV86</f>
        <v>24904.922307943063</v>
      </c>
      <c r="AV97" s="4">
        <f>$AV$4*'NIFTY MEMBS'!AW86</f>
        <v>16956.902848794743</v>
      </c>
      <c r="AW97" s="4">
        <f>$AW$4*'NIFTY MEMBS'!AX86</f>
        <v>18487.937194546343</v>
      </c>
      <c r="AX97" s="4">
        <f>$AX$4*'NIFTY MEMBS'!AY86</f>
        <v>17202.393232927585</v>
      </c>
      <c r="AY97" s="4">
        <f t="shared" si="10"/>
        <v>995612.89181082952</v>
      </c>
      <c r="AZ97" s="4">
        <f t="shared" si="11"/>
        <v>101.59315222559484</v>
      </c>
    </row>
    <row r="98" spans="1:52" ht="14.25" customHeight="1" x14ac:dyDescent="0.3">
      <c r="A98" s="2">
        <v>45785</v>
      </c>
      <c r="B98" s="4">
        <f>$B$4*'NIFTY MEMBS'!C87</f>
        <v>23041.965199590581</v>
      </c>
      <c r="C98" s="4">
        <f>$C$4*'NIFTY MEMBS'!D87</f>
        <v>21634.99293230721</v>
      </c>
      <c r="D98" s="4">
        <f>$D$4*'NIFTY MEMBS'!E87</f>
        <v>23499.404649996868</v>
      </c>
      <c r="E98" s="4">
        <f>$E$4*'NIFTY MEMBS'!F87</f>
        <v>16772.96988413233</v>
      </c>
      <c r="F98" s="4">
        <f>$F$4*'NIFTY MEMBS'!G87</f>
        <v>22365.909710590891</v>
      </c>
      <c r="G98" s="4">
        <f>$G$4*'NIFTY MEMBS'!H87</f>
        <v>19389.813414019161</v>
      </c>
      <c r="H98" s="4">
        <f>$H$4*'NIFTY MEMBS'!I87</f>
        <v>16057.370517928288</v>
      </c>
      <c r="I98" s="4">
        <f>$I$4*'NIFTY MEMBS'!J87</f>
        <v>20282.502906851561</v>
      </c>
      <c r="J98" s="4">
        <f>$J$4*'NIFTY MEMBS'!K87</f>
        <v>25471.140397675659</v>
      </c>
      <c r="K98" s="4">
        <f>$K$4*'NIFTY MEMBS'!L87</f>
        <v>18810.886374557685</v>
      </c>
      <c r="L98" s="4">
        <f>$L$4*'NIFTY MEMBS'!M87</f>
        <v>18126.244035446489</v>
      </c>
      <c r="M98" s="4">
        <f>$M$4*'NIFTY MEMBS'!N87</f>
        <v>22112.184720251957</v>
      </c>
      <c r="N98" s="4">
        <f>$N$4*'NIFTY MEMBS'!O87</f>
        <v>19682.673588578844</v>
      </c>
      <c r="O98" s="4">
        <f>$O$4*'NIFTY MEMBS'!P87</f>
        <v>23625.587116976065</v>
      </c>
      <c r="P98" s="4">
        <f>$P$4*'NIFTY MEMBS'!Q87</f>
        <v>16534.951227804075</v>
      </c>
      <c r="Q98" s="4">
        <f>$Q$4*'NIFTY MEMBS'!R87</f>
        <v>18701.023836609435</v>
      </c>
      <c r="R98" s="4">
        <f>$R$4*'NIFTY MEMBS'!S87</f>
        <v>20321.481610902418</v>
      </c>
      <c r="S98" s="4">
        <f>$S$4*'NIFTY MEMBS'!T87</f>
        <v>21873.483858928907</v>
      </c>
      <c r="T98" s="4">
        <f>$T$4*'NIFTY MEMBS'!U87</f>
        <v>25450.393301192587</v>
      </c>
      <c r="U98" s="4">
        <f>$U$4*'NIFTY MEMBS'!V87</f>
        <v>20709.620910613583</v>
      </c>
      <c r="V98" s="4">
        <f>$V$4*'NIFTY MEMBS'!W87</f>
        <v>20380.638393526151</v>
      </c>
      <c r="W98" s="4">
        <f>$W$4*'NIFTY MEMBS'!X87</f>
        <v>16622.784810126584</v>
      </c>
      <c r="X98" s="4">
        <f>$X$4*'NIFTY MEMBS'!Y87</f>
        <v>21877.410355296623</v>
      </c>
      <c r="Y98" s="4">
        <f>$Y$4*'NIFTY MEMBS'!Z87</f>
        <v>19685.165646760921</v>
      </c>
      <c r="Z98" s="4">
        <f>$Z$4*'NIFTY MEMBS'!AA87</f>
        <v>20901.667233752978</v>
      </c>
      <c r="AA98" s="4">
        <f>$AA$4*'NIFTY MEMBS'!AB87</f>
        <v>21054.724170302059</v>
      </c>
      <c r="AB98" s="4">
        <f>$AB$4*'NIFTY MEMBS'!AC87</f>
        <v>16088.578088578088</v>
      </c>
      <c r="AC98" s="4">
        <f>$AC$4*'NIFTY MEMBS'!AD87</f>
        <v>19861.469072164949</v>
      </c>
      <c r="AD98" s="4">
        <f>$AD$4*'NIFTY MEMBS'!AE87</f>
        <v>18227.560894227561</v>
      </c>
      <c r="AE98" s="4">
        <f>$AE$4*'NIFTY MEMBS'!AF87</f>
        <v>17675.089096223921</v>
      </c>
      <c r="AF98" s="4">
        <f>$AF$4*'NIFTY MEMBS'!AG87</f>
        <v>19982.209880025162</v>
      </c>
      <c r="AG98" s="4">
        <f>$AG$4*'NIFTY MEMBS'!AH87</f>
        <v>19950.828157349897</v>
      </c>
      <c r="AH98" s="4">
        <f>$AH$4*'NIFTY MEMBS'!AI87</f>
        <v>21580.830152495808</v>
      </c>
      <c r="AI98" s="4">
        <f>$AI$4*'NIFTY MEMBS'!AJ87</f>
        <v>21013.602457218076</v>
      </c>
      <c r="AJ98" s="4">
        <f>$AJ$4*'NIFTY MEMBS'!AK87</f>
        <v>16518.311709640337</v>
      </c>
      <c r="AK98" s="4">
        <f>$AK$4*'NIFTY MEMBS'!AL87</f>
        <v>22101.01754601478</v>
      </c>
      <c r="AL98" s="4">
        <f>$AL$4*'NIFTY MEMBS'!AM87</f>
        <v>21994.555093852985</v>
      </c>
      <c r="AM98" s="4">
        <f>$AM$4*'NIFTY MEMBS'!AN87</f>
        <v>14789.086098711809</v>
      </c>
      <c r="AN98" s="4">
        <f>$AN$4*'NIFTY MEMBS'!AO87</f>
        <v>24728.648957440728</v>
      </c>
      <c r="AO98" s="4">
        <f>$AO$4*'NIFTY MEMBS'!AP87</f>
        <v>23426.766040181461</v>
      </c>
      <c r="AP98" s="4">
        <f>$AP$4*'NIFTY MEMBS'!AQ87</f>
        <v>20919.133147820219</v>
      </c>
      <c r="AQ98" s="4">
        <f>$AQ$4*'NIFTY MEMBS'!AR87</f>
        <v>17640.050473926694</v>
      </c>
      <c r="AR98" s="4">
        <f>$AR$4*'NIFTY MEMBS'!AS87</f>
        <v>19446.7333725721</v>
      </c>
      <c r="AS98" s="4">
        <f>$AS$4*'NIFTY MEMBS'!AT87</f>
        <v>18593.827386646582</v>
      </c>
      <c r="AT98" s="4">
        <f>$AT$4*'NIFTY MEMBS'!AU87</f>
        <v>21098.795676083115</v>
      </c>
      <c r="AU98" s="4">
        <f>$AU$4*'NIFTY MEMBS'!AV87</f>
        <v>24252.960990981202</v>
      </c>
      <c r="AV98" s="4">
        <f>$AV$4*'NIFTY MEMBS'!AW87</f>
        <v>16771.365960555151</v>
      </c>
      <c r="AW98" s="4">
        <f>$AW$4*'NIFTY MEMBS'!AX87</f>
        <v>18165.306439470885</v>
      </c>
      <c r="AX98" s="4">
        <f>$AX$4*'NIFTY MEMBS'!AY87</f>
        <v>17057.97400453889</v>
      </c>
      <c r="AY98" s="4">
        <f t="shared" si="10"/>
        <v>986871.69150144013</v>
      </c>
      <c r="AZ98" s="4">
        <f t="shared" si="11"/>
        <v>100.70119301035103</v>
      </c>
    </row>
    <row r="99" spans="1:52" ht="14.25" customHeight="1" x14ac:dyDescent="0.3">
      <c r="A99" s="2">
        <v>45786</v>
      </c>
      <c r="B99" s="4">
        <f>$B$4*'NIFTY MEMBS'!C88</f>
        <v>22553.9406345957</v>
      </c>
      <c r="C99" s="4">
        <f>$C$4*'NIFTY MEMBS'!D88</f>
        <v>21199.712804864368</v>
      </c>
      <c r="D99" s="4">
        <f>$D$4*'NIFTY MEMBS'!E88</f>
        <v>23167.2620166698</v>
      </c>
      <c r="E99" s="4">
        <f>$E$4*'NIFTY MEMBS'!F88</f>
        <v>16731.145667424531</v>
      </c>
      <c r="F99" s="4">
        <f>$F$4*'NIFTY MEMBS'!G88</f>
        <v>21639.855100689441</v>
      </c>
      <c r="G99" s="4">
        <f>$G$4*'NIFTY MEMBS'!H88</f>
        <v>19648.260211800301</v>
      </c>
      <c r="H99" s="4">
        <f>$H$4*'NIFTY MEMBS'!I88</f>
        <v>16016.99867197875</v>
      </c>
      <c r="I99" s="4">
        <f>$I$4*'NIFTY MEMBS'!J88</f>
        <v>20093.019249816978</v>
      </c>
      <c r="J99" s="4">
        <f>$J$4*'NIFTY MEMBS'!K88</f>
        <v>24918.89319856387</v>
      </c>
      <c r="K99" s="4">
        <f>$K$4*'NIFTY MEMBS'!L88</f>
        <v>18502.905071862304</v>
      </c>
      <c r="L99" s="4">
        <f>$L$4*'NIFTY MEMBS'!M88</f>
        <v>18780.640763462849</v>
      </c>
      <c r="M99" s="4">
        <f>$M$4*'NIFTY MEMBS'!N88</f>
        <v>21858.801067066372</v>
      </c>
      <c r="N99" s="4">
        <f>$N$4*'NIFTY MEMBS'!O88</f>
        <v>19351.719662556781</v>
      </c>
      <c r="O99" s="4">
        <f>$O$4*'NIFTY MEMBS'!P88</f>
        <v>23519.346902259</v>
      </c>
      <c r="P99" s="4">
        <f>$P$4*'NIFTY MEMBS'!Q88</f>
        <v>16416.74729987709</v>
      </c>
      <c r="Q99" s="4">
        <f>$Q$4*'NIFTY MEMBS'!R88</f>
        <v>18463.980528585409</v>
      </c>
      <c r="R99" s="4">
        <f>$R$4*'NIFTY MEMBS'!S88</f>
        <v>19854.983838560322</v>
      </c>
      <c r="S99" s="4">
        <f>$S$4*'NIFTY MEMBS'!T88</f>
        <v>21479.753685389063</v>
      </c>
      <c r="T99" s="4">
        <f>$T$4*'NIFTY MEMBS'!U88</f>
        <v>24993.656432377567</v>
      </c>
      <c r="U99" s="4">
        <f>$U$4*'NIFTY MEMBS'!V88</f>
        <v>21576.286552852776</v>
      </c>
      <c r="V99" s="4">
        <f>$V$4*'NIFTY MEMBS'!W88</f>
        <v>20065.937359508469</v>
      </c>
      <c r="W99" s="4">
        <f>$W$4*'NIFTY MEMBS'!X88</f>
        <v>16429.656419529838</v>
      </c>
      <c r="X99" s="4">
        <f>$X$4*'NIFTY MEMBS'!Y88</f>
        <v>21437.597439894966</v>
      </c>
      <c r="Y99" s="4">
        <f>$Y$4*'NIFTY MEMBS'!Z88</f>
        <v>19832.032074277275</v>
      </c>
      <c r="Z99" s="4">
        <f>$Z$4*'NIFTY MEMBS'!AA88</f>
        <v>21493.705341953049</v>
      </c>
      <c r="AA99" s="4">
        <f>$AA$4*'NIFTY MEMBS'!AB88</f>
        <v>21138.660334640233</v>
      </c>
      <c r="AB99" s="4">
        <f>$AB$4*'NIFTY MEMBS'!AC88</f>
        <v>16117.882117882116</v>
      </c>
      <c r="AC99" s="4">
        <f>$AC$4*'NIFTY MEMBS'!AD88</f>
        <v>19284.793814432993</v>
      </c>
      <c r="AD99" s="4">
        <f>$AD$4*'NIFTY MEMBS'!AE88</f>
        <v>18912.245578912243</v>
      </c>
      <c r="AE99" s="4">
        <f>$AE$4*'NIFTY MEMBS'!AF88</f>
        <v>17578.985304128459</v>
      </c>
      <c r="AF99" s="4">
        <f>$AF$4*'NIFTY MEMBS'!AG88</f>
        <v>19956.175558110775</v>
      </c>
      <c r="AG99" s="4">
        <f>$AG$4*'NIFTY MEMBS'!AH88</f>
        <v>19792.960662525878</v>
      </c>
      <c r="AH99" s="4">
        <f>$AH$4*'NIFTY MEMBS'!AI88</f>
        <v>21439.766922977637</v>
      </c>
      <c r="AI99" s="4">
        <f>$AI$4*'NIFTY MEMBS'!AJ88</f>
        <v>20883.428404270879</v>
      </c>
      <c r="AJ99" s="4">
        <f>$AJ$4*'NIFTY MEMBS'!AK88</f>
        <v>16314.665790770243</v>
      </c>
      <c r="AK99" s="4">
        <f>$AK$4*'NIFTY MEMBS'!AL88</f>
        <v>21577.708166984012</v>
      </c>
      <c r="AL99" s="4">
        <f>$AL$4*'NIFTY MEMBS'!AM88</f>
        <v>21796.000245634863</v>
      </c>
      <c r="AM99" s="4">
        <f>$AM$4*'NIFTY MEMBS'!AN88</f>
        <v>14467.922552896485</v>
      </c>
      <c r="AN99" s="4">
        <f>$AN$4*'NIFTY MEMBS'!AO88</f>
        <v>24275.921165381314</v>
      </c>
      <c r="AO99" s="4">
        <f>$AO$4*'NIFTY MEMBS'!AP88</f>
        <v>23123.784834737522</v>
      </c>
      <c r="AP99" s="4">
        <f>$AP$4*'NIFTY MEMBS'!AQ88</f>
        <v>21153.554262585374</v>
      </c>
      <c r="AQ99" s="4">
        <f>$AQ$4*'NIFTY MEMBS'!AR88</f>
        <v>17533.233559292192</v>
      </c>
      <c r="AR99" s="4">
        <f>$AR$4*'NIFTY MEMBS'!AS88</f>
        <v>19357.792165326009</v>
      </c>
      <c r="AS99" s="4">
        <f>$AS$4*'NIFTY MEMBS'!AT88</f>
        <v>18242.386002048945</v>
      </c>
      <c r="AT99" s="4">
        <f>$AT$4*'NIFTY MEMBS'!AU88</f>
        <v>20607.130008736916</v>
      </c>
      <c r="AU99" s="4">
        <f>$AU$4*'NIFTY MEMBS'!AV88</f>
        <v>24202.977290014129</v>
      </c>
      <c r="AV99" s="4">
        <f>$AV$4*'NIFTY MEMBS'!AW88</f>
        <v>16886.778670562457</v>
      </c>
      <c r="AW99" s="4">
        <f>$AW$4*'NIFTY MEMBS'!AX88</f>
        <v>18420.543214597248</v>
      </c>
      <c r="AX99" s="4">
        <f>$AX$4*'NIFTY MEMBS'!AY88</f>
        <v>16880.54466680421</v>
      </c>
      <c r="AY99" s="4">
        <f t="shared" si="10"/>
        <v>979972.67929066997</v>
      </c>
      <c r="AZ99" s="4">
        <f t="shared" si="11"/>
        <v>99.997212172517351</v>
      </c>
    </row>
    <row r="100" spans="1:52" ht="14.25" customHeight="1" x14ac:dyDescent="0.3">
      <c r="A100" s="2">
        <v>45789</v>
      </c>
      <c r="B100" s="4">
        <f>$B$4*'NIFTY MEMBS'!C89</f>
        <v>23525.076765609007</v>
      </c>
      <c r="C100" s="4">
        <f>$C$4*'NIFTY MEMBS'!D89</f>
        <v>21956.965603895085</v>
      </c>
      <c r="D100" s="4">
        <f>$D$4*'NIFTY MEMBS'!E89</f>
        <v>23448.016544463244</v>
      </c>
      <c r="E100" s="4">
        <f>$E$4*'NIFTY MEMBS'!F89</f>
        <v>17607.022577782103</v>
      </c>
      <c r="F100" s="4">
        <f>$F$4*'NIFTY MEMBS'!G89</f>
        <v>22568.457133953958</v>
      </c>
      <c r="G100" s="4">
        <f>$G$4*'NIFTY MEMBS'!H89</f>
        <v>20213.061018658595</v>
      </c>
      <c r="H100" s="4">
        <f>$H$4*'NIFTY MEMBS'!I89</f>
        <v>17284.462151394422</v>
      </c>
      <c r="I100" s="4">
        <f>$I$4*'NIFTY MEMBS'!J89</f>
        <v>20520.218767494942</v>
      </c>
      <c r="J100" s="4">
        <f>$J$4*'NIFTY MEMBS'!K89</f>
        <v>26007.526711173272</v>
      </c>
      <c r="K100" s="4">
        <f>$K$4*'NIFTY MEMBS'!L89</f>
        <v>19024.944301253767</v>
      </c>
      <c r="L100" s="4">
        <f>$L$4*'NIFTY MEMBS'!M89</f>
        <v>19562.099522835717</v>
      </c>
      <c r="M100" s="4">
        <f>$M$4*'NIFTY MEMBS'!N89</f>
        <v>22511.888511192599</v>
      </c>
      <c r="N100" s="4">
        <f>$N$4*'NIFTY MEMBS'!O89</f>
        <v>20147.306943543153</v>
      </c>
      <c r="O100" s="4">
        <f>$O$4*'NIFTY MEMBS'!P89</f>
        <v>23987.922165063741</v>
      </c>
      <c r="P100" s="4">
        <f>$P$4*'NIFTY MEMBS'!Q89</f>
        <v>17472.214231543712</v>
      </c>
      <c r="Q100" s="4">
        <f>$Q$4*'NIFTY MEMBS'!R89</f>
        <v>17843.858303129713</v>
      </c>
      <c r="R100" s="4">
        <f>$R$4*'NIFTY MEMBS'!S89</f>
        <v>20504.935791036951</v>
      </c>
      <c r="S100" s="4">
        <f>$S$4*'NIFTY MEMBS'!T89</f>
        <v>22448.217951110284</v>
      </c>
      <c r="T100" s="4">
        <f>$T$4*'NIFTY MEMBS'!U89</f>
        <v>26013.702106064451</v>
      </c>
      <c r="U100" s="4">
        <f>$U$4*'NIFTY MEMBS'!V89</f>
        <v>21899.595863361865</v>
      </c>
      <c r="V100" s="4">
        <f>$V$4*'NIFTY MEMBS'!W89</f>
        <v>20893.151506069236</v>
      </c>
      <c r="W100" s="4">
        <f>$W$4*'NIFTY MEMBS'!X89</f>
        <v>17323.68896925859</v>
      </c>
      <c r="X100" s="4">
        <f>$X$4*'NIFTY MEMBS'!Y89</f>
        <v>22353.327315992447</v>
      </c>
      <c r="Y100" s="4">
        <f>$Y$4*'NIFTY MEMBS'!Z89</f>
        <v>20596.750369276222</v>
      </c>
      <c r="Z100" s="4">
        <f>$Z$4*'NIFTY MEMBS'!AA89</f>
        <v>21966.655324940461</v>
      </c>
      <c r="AA100" s="4">
        <f>$AA$4*'NIFTY MEMBS'!AB89</f>
        <v>22203.324313877078</v>
      </c>
      <c r="AB100" s="4">
        <f>$AB$4*'NIFTY MEMBS'!AC89</f>
        <v>17134.865134865133</v>
      </c>
      <c r="AC100" s="4">
        <f>$AC$4*'NIFTY MEMBS'!AD89</f>
        <v>19913.015463917527</v>
      </c>
      <c r="AD100" s="4">
        <f>$AD$4*'NIFTY MEMBS'!AE89</f>
        <v>19240.57390724057</v>
      </c>
      <c r="AE100" s="4">
        <f>$AE$4*'NIFTY MEMBS'!AF89</f>
        <v>18395.867536939895</v>
      </c>
      <c r="AF100" s="4">
        <f>$AF$4*'NIFTY MEMBS'!AG89</f>
        <v>20449.092053023236</v>
      </c>
      <c r="AG100" s="4">
        <f>$AG$4*'NIFTY MEMBS'!AH89</f>
        <v>20471.014492753624</v>
      </c>
      <c r="AH100" s="4">
        <f>$AH$4*'NIFTY MEMBS'!AI89</f>
        <v>21978.204348066611</v>
      </c>
      <c r="AI100" s="4">
        <f>$AI$4*'NIFTY MEMBS'!AJ89</f>
        <v>22177.855784700889</v>
      </c>
      <c r="AJ100" s="4">
        <f>$AJ$4*'NIFTY MEMBS'!AK89</f>
        <v>17270.48776482181</v>
      </c>
      <c r="AK100" s="4">
        <f>$AK$4*'NIFTY MEMBS'!AL89</f>
        <v>22462.174723092357</v>
      </c>
      <c r="AL100" s="4">
        <f>$AL$4*'NIFTY MEMBS'!AM89</f>
        <v>22598.407467299858</v>
      </c>
      <c r="AM100" s="4">
        <f>$AM$4*'NIFTY MEMBS'!AN89</f>
        <v>15396.042755781298</v>
      </c>
      <c r="AN100" s="4">
        <f>$AN$4*'NIFTY MEMBS'!AO89</f>
        <v>25014.281633818904</v>
      </c>
      <c r="AO100" s="4">
        <f>$AO$4*'NIFTY MEMBS'!AP89</f>
        <v>23804.27738172391</v>
      </c>
      <c r="AP100" s="4">
        <f>$AP$4*'NIFTY MEMBS'!AQ89</f>
        <v>21990.04975124378</v>
      </c>
      <c r="AQ100" s="4">
        <f>$AQ$4*'NIFTY MEMBS'!AR89</f>
        <v>18465.240484784459</v>
      </c>
      <c r="AR100" s="4">
        <f>$AR$4*'NIFTY MEMBS'!AS89</f>
        <v>19771.10718723432</v>
      </c>
      <c r="AS100" s="4">
        <f>$AS$4*'NIFTY MEMBS'!AT89</f>
        <v>18796.007951530941</v>
      </c>
      <c r="AT100" s="4">
        <f>$AT$4*'NIFTY MEMBS'!AU89</f>
        <v>22131.807513747794</v>
      </c>
      <c r="AU100" s="4">
        <f>$AU$4*'NIFTY MEMBS'!AV89</f>
        <v>24896.229490383568</v>
      </c>
      <c r="AV100" s="4">
        <f>$AV$4*'NIFTY MEMBS'!AW89</f>
        <v>17466.764061358655</v>
      </c>
      <c r="AW100" s="4">
        <f>$AW$4*'NIFTY MEMBS'!AX89</f>
        <v>19046.685865188141</v>
      </c>
      <c r="AX100" s="4">
        <f>$AX$4*'NIFTY MEMBS'!AY89</f>
        <v>16267.794512069322</v>
      </c>
      <c r="AY100" s="4">
        <f t="shared" si="10"/>
        <v>1015022.2380295611</v>
      </c>
      <c r="AZ100" s="4">
        <f t="shared" si="11"/>
        <v>103.57369775811848</v>
      </c>
    </row>
    <row r="101" spans="1:52" ht="14.25" customHeight="1" x14ac:dyDescent="0.3">
      <c r="A101" s="2">
        <v>45790</v>
      </c>
      <c r="B101" s="4">
        <f>$B$4*'NIFTY MEMBS'!C90</f>
        <v>23184.442169907881</v>
      </c>
      <c r="C101" s="4">
        <f>$C$4*'NIFTY MEMBS'!D90</f>
        <v>21568.803428391933</v>
      </c>
      <c r="D101" s="4">
        <f>$D$4*'NIFTY MEMBS'!E90</f>
        <v>22818.825593783291</v>
      </c>
      <c r="E101" s="4">
        <f>$E$4*'NIFTY MEMBS'!F90</f>
        <v>17094.432759060899</v>
      </c>
      <c r="F101" s="4">
        <f>$F$4*'NIFTY MEMBS'!G90</f>
        <v>22289.564912554044</v>
      </c>
      <c r="G101" s="4">
        <f>$G$4*'NIFTY MEMBS'!H90</f>
        <v>20215.582450832069</v>
      </c>
      <c r="H101" s="4">
        <f>$H$4*'NIFTY MEMBS'!I90</f>
        <v>16665.073041168656</v>
      </c>
      <c r="I101" s="4">
        <f>$I$4*'NIFTY MEMBS'!J90</f>
        <v>20326.428663709576</v>
      </c>
      <c r="J101" s="4">
        <f>$J$4*'NIFTY MEMBS'!K90</f>
        <v>26075.295949706575</v>
      </c>
      <c r="K101" s="4">
        <f>$K$4*'NIFTY MEMBS'!L90</f>
        <v>18692.936088419028</v>
      </c>
      <c r="L101" s="4">
        <f>$L$4*'NIFTY MEMBS'!M90</f>
        <v>19451.942740286297</v>
      </c>
      <c r="M101" s="4">
        <f>$M$4*'NIFTY MEMBS'!N90</f>
        <v>22272.779993397751</v>
      </c>
      <c r="N101" s="4">
        <f>$N$4*'NIFTY MEMBS'!O90</f>
        <v>19817.001946787801</v>
      </c>
      <c r="O101" s="4">
        <f>$O$4*'NIFTY MEMBS'!P90</f>
        <v>23659.136658465664</v>
      </c>
      <c r="P101" s="4">
        <f>$P$4*'NIFTY MEMBS'!Q90</f>
        <v>16941.865634561571</v>
      </c>
      <c r="Q101" s="4">
        <f>$Q$4*'NIFTY MEMBS'!R90</f>
        <v>17989.893912537369</v>
      </c>
      <c r="R101" s="4">
        <f>$R$4*'NIFTY MEMBS'!S90</f>
        <v>20373.897090940856</v>
      </c>
      <c r="S101" s="4">
        <f>$S$4*'NIFTY MEMBS'!T90</f>
        <v>22272.812091808173</v>
      </c>
      <c r="T101" s="4">
        <f>$T$4*'NIFTY MEMBS'!U90</f>
        <v>25605.176351179904</v>
      </c>
      <c r="U101" s="4">
        <f>$U$4*'NIFTY MEMBS'!V90</f>
        <v>21901.439832813438</v>
      </c>
      <c r="V101" s="4">
        <f>$V$4*'NIFTY MEMBS'!W90</f>
        <v>20470.552974674061</v>
      </c>
      <c r="W101" s="4">
        <f>$W$4*'NIFTY MEMBS'!X90</f>
        <v>16755.877034358047</v>
      </c>
      <c r="X101" s="4">
        <f>$X$4*'NIFTY MEMBS'!Y90</f>
        <v>22469.84491671453</v>
      </c>
      <c r="Y101" s="4">
        <f>$Y$4*'NIFTY MEMBS'!Z90</f>
        <v>20355.349229795316</v>
      </c>
      <c r="Z101" s="4">
        <f>$Z$4*'NIFTY MEMBS'!AA90</f>
        <v>22847.907451514126</v>
      </c>
      <c r="AA101" s="4">
        <f>$AA$4*'NIFTY MEMBS'!AB90</f>
        <v>21865.370810094428</v>
      </c>
      <c r="AB101" s="4">
        <f>$AB$4*'NIFTY MEMBS'!AC90</f>
        <v>16754.578754578753</v>
      </c>
      <c r="AC101" s="4">
        <f>$AC$4*'NIFTY MEMBS'!AD90</f>
        <v>19230.025773195877</v>
      </c>
      <c r="AD101" s="4">
        <f>$AD$4*'NIFTY MEMBS'!AE90</f>
        <v>18890.890890890892</v>
      </c>
      <c r="AE101" s="4">
        <f>$AE$4*'NIFTY MEMBS'!AF90</f>
        <v>18449.639896802833</v>
      </c>
      <c r="AF101" s="4">
        <f>$AF$4*'NIFTY MEMBS'!AG90</f>
        <v>20173.128240730694</v>
      </c>
      <c r="AG101" s="4">
        <f>$AG$4*'NIFTY MEMBS'!AH90</f>
        <v>20452.898550724636</v>
      </c>
      <c r="AH101" s="4">
        <f>$AH$4*'NIFTY MEMBS'!AI90</f>
        <v>21852.814810717118</v>
      </c>
      <c r="AI101" s="4">
        <f>$AI$4*'NIFTY MEMBS'!AJ90</f>
        <v>21856.077226853882</v>
      </c>
      <c r="AJ101" s="4">
        <f>$AJ$4*'NIFTY MEMBS'!AK90</f>
        <v>17566.102808342916</v>
      </c>
      <c r="AK101" s="4">
        <f>$AK$4*'NIFTY MEMBS'!AL90</f>
        <v>22182.912597506293</v>
      </c>
      <c r="AL101" s="4">
        <f>$AL$4*'NIFTY MEMBS'!AM90</f>
        <v>22184.922113278608</v>
      </c>
      <c r="AM101" s="4">
        <f>$AM$4*'NIFTY MEMBS'!AN90</f>
        <v>15072.049575201081</v>
      </c>
      <c r="AN101" s="4">
        <f>$AN$4*'NIFTY MEMBS'!AO90</f>
        <v>24850.042844901454</v>
      </c>
      <c r="AO101" s="4">
        <f>$AO$4*'NIFTY MEMBS'!AP90</f>
        <v>23818.859364873617</v>
      </c>
      <c r="AP101" s="4">
        <f>$AP$4*'NIFTY MEMBS'!AQ90</f>
        <v>21409.899654271016</v>
      </c>
      <c r="AQ101" s="4">
        <f>$AQ$4*'NIFTY MEMBS'!AR90</f>
        <v>18458.197611292075</v>
      </c>
      <c r="AR101" s="4">
        <f>$AR$4*'NIFTY MEMBS'!AS90</f>
        <v>19882.283696291935</v>
      </c>
      <c r="AS101" s="4">
        <f>$AS$4*'NIFTY MEMBS'!AT90</f>
        <v>18772.940370302524</v>
      </c>
      <c r="AT101" s="4">
        <f>$AT$4*'NIFTY MEMBS'!AU90</f>
        <v>21708.666678087469</v>
      </c>
      <c r="AU101" s="4">
        <f>$AU$4*'NIFTY MEMBS'!AV90</f>
        <v>24309.464305117894</v>
      </c>
      <c r="AV101" s="4">
        <f>$AV$4*'NIFTY MEMBS'!AW90</f>
        <v>17634.769905040175</v>
      </c>
      <c r="AW101" s="4">
        <f>$AW$4*'NIFTY MEMBS'!AX90</f>
        <v>19422.849427031677</v>
      </c>
      <c r="AX101" s="4">
        <f>$AX$4*'NIFTY MEMBS'!AY90</f>
        <v>15888.17825459047</v>
      </c>
      <c r="AY101" s="4">
        <f t="shared" si="10"/>
        <v>1004804.4270780872</v>
      </c>
      <c r="AZ101" s="4">
        <f t="shared" si="11"/>
        <v>102.53106398755992</v>
      </c>
    </row>
    <row r="102" spans="1:52" ht="14.25" customHeight="1" x14ac:dyDescent="0.3">
      <c r="A102" s="2">
        <v>45791</v>
      </c>
      <c r="B102" s="4">
        <f>$B$4*'NIFTY MEMBS'!C91</f>
        <v>23326.919140225178</v>
      </c>
      <c r="C102" s="4">
        <f>$C$4*'NIFTY MEMBS'!D91</f>
        <v>21434.18070856425</v>
      </c>
      <c r="D102" s="4">
        <f>$D$4*'NIFTY MEMBS'!E91</f>
        <v>22989.283699943597</v>
      </c>
      <c r="E102" s="4">
        <f>$E$4*'NIFTY MEMBS'!F91</f>
        <v>17258.325329183332</v>
      </c>
      <c r="F102" s="4">
        <f>$F$4*'NIFTY MEMBS'!G91</f>
        <v>22221.010400031162</v>
      </c>
      <c r="G102" s="4">
        <f>$G$4*'NIFTY MEMBS'!H91</f>
        <v>20189.107413010588</v>
      </c>
      <c r="H102" s="4">
        <f>$H$4*'NIFTY MEMBS'!I91</f>
        <v>16917.928286852588</v>
      </c>
      <c r="I102" s="4">
        <f>$I$4*'NIFTY MEMBS'!J91</f>
        <v>20244.606175444642</v>
      </c>
      <c r="J102" s="4">
        <f>$J$4*'NIFTY MEMBS'!K91</f>
        <v>26187.764047698009</v>
      </c>
      <c r="K102" s="4">
        <f>$K$4*'NIFTY MEMBS'!L91</f>
        <v>18745.358437813989</v>
      </c>
      <c r="L102" s="4">
        <f>$L$4*'NIFTY MEMBS'!M91</f>
        <v>19485.207907293796</v>
      </c>
      <c r="M102" s="4">
        <f>$M$4*'NIFTY MEMBS'!N91</f>
        <v>22608.245675080077</v>
      </c>
      <c r="N102" s="4">
        <f>$N$4*'NIFTY MEMBS'!O91</f>
        <v>20128.487994808565</v>
      </c>
      <c r="O102" s="4">
        <f>$O$4*'NIFTY MEMBS'!P91</f>
        <v>23399.686870946094</v>
      </c>
      <c r="P102" s="4">
        <f>$P$4*'NIFTY MEMBS'!Q91</f>
        <v>17131.201129736655</v>
      </c>
      <c r="Q102" s="4">
        <f>$Q$4*'NIFTY MEMBS'!R91</f>
        <v>18076.668694939017</v>
      </c>
      <c r="R102" s="4">
        <f>$R$4*'NIFTY MEMBS'!S91</f>
        <v>20393.116100288284</v>
      </c>
      <c r="S102" s="4">
        <f>$S$4*'NIFTY MEMBS'!T91</f>
        <v>22308.266467624559</v>
      </c>
      <c r="T102" s="4">
        <f>$T$4*'NIFTY MEMBS'!U91</f>
        <v>25633.088048718597</v>
      </c>
      <c r="U102" s="4">
        <f>$U$4*'NIFTY MEMBS'!V91</f>
        <v>22051.416014874689</v>
      </c>
      <c r="V102" s="4">
        <f>$V$4*'NIFTY MEMBS'!W91</f>
        <v>20293.720965083172</v>
      </c>
      <c r="W102" s="4">
        <f>$W$4*'NIFTY MEMBS'!X91</f>
        <v>17132.730560578664</v>
      </c>
      <c r="X102" s="4">
        <f>$X$4*'NIFTY MEMBS'!Y91</f>
        <v>22512.513333880361</v>
      </c>
      <c r="Y102" s="4">
        <f>$Y$4*'NIFTY MEMBS'!Z91</f>
        <v>20764.718294998944</v>
      </c>
      <c r="Z102" s="4">
        <f>$Z$4*'NIFTY MEMBS'!AA91</f>
        <v>23433.140523987757</v>
      </c>
      <c r="AA102" s="4">
        <f>$AA$4*'NIFTY MEMBS'!AB91</f>
        <v>21852.117731514714</v>
      </c>
      <c r="AB102" s="4">
        <f>$AB$4*'NIFTY MEMBS'!AC91</f>
        <v>16845.820845820846</v>
      </c>
      <c r="AC102" s="4">
        <f>$AC$4*'NIFTY MEMBS'!AD91</f>
        <v>19068.943298969072</v>
      </c>
      <c r="AD102" s="4">
        <f>$AD$4*'NIFTY MEMBS'!AE91</f>
        <v>18657.323990657325</v>
      </c>
      <c r="AE102" s="4">
        <f>$AE$4*'NIFTY MEMBS'!AF91</f>
        <v>18540.023225083089</v>
      </c>
      <c r="AF102" s="4">
        <f>$AF$4*'NIFTY MEMBS'!AG91</f>
        <v>19806.044301737791</v>
      </c>
      <c r="AG102" s="4">
        <f>$AG$4*'NIFTY MEMBS'!AH91</f>
        <v>20864.389233954455</v>
      </c>
      <c r="AH102" s="4">
        <f>$AH$4*'NIFTY MEMBS'!AI91</f>
        <v>21854.658774501673</v>
      </c>
      <c r="AI102" s="4">
        <f>$AI$4*'NIFTY MEMBS'!AJ91</f>
        <v>22716.103554190435</v>
      </c>
      <c r="AJ102" s="4">
        <f>$AJ$4*'NIFTY MEMBS'!AK91</f>
        <v>17572.672031532275</v>
      </c>
      <c r="AK102" s="4">
        <f>$AK$4*'NIFTY MEMBS'!AL91</f>
        <v>22416.313494257105</v>
      </c>
      <c r="AL102" s="4">
        <f>$AL$4*'NIFTY MEMBS'!AM91</f>
        <v>22297.504759175485</v>
      </c>
      <c r="AM102" s="4">
        <f>$AM$4*'NIFTY MEMBS'!AN91</f>
        <v>15172.501609354773</v>
      </c>
      <c r="AN102" s="4">
        <f>$AN$4*'NIFTY MEMBS'!AO91</f>
        <v>25067.123678948868</v>
      </c>
      <c r="AO102" s="4">
        <f>$AO$4*'NIFTY MEMBS'!AP91</f>
        <v>24034.34867141931</v>
      </c>
      <c r="AP102" s="4">
        <f>$AP$4*'NIFTY MEMBS'!AQ91</f>
        <v>21942.828231722739</v>
      </c>
      <c r="AQ102" s="4">
        <f>$AQ$4*'NIFTY MEMBS'!AR91</f>
        <v>18818.557971652433</v>
      </c>
      <c r="AR102" s="4">
        <f>$AR$4*'NIFTY MEMBS'!AS91</f>
        <v>19551.37008697927</v>
      </c>
      <c r="AS102" s="4">
        <f>$AS$4*'NIFTY MEMBS'!AT91</f>
        <v>18770.226537216829</v>
      </c>
      <c r="AT102" s="4">
        <f>$AT$4*'NIFTY MEMBS'!AU91</f>
        <v>22337.382008805438</v>
      </c>
      <c r="AU102" s="4">
        <f>$AU$4*'NIFTY MEMBS'!AV91</f>
        <v>24348.58198413561</v>
      </c>
      <c r="AV102" s="4">
        <f>$AV$4*'NIFTY MEMBS'!AW91</f>
        <v>17823.228634039446</v>
      </c>
      <c r="AW102" s="4">
        <f>$AW$4*'NIFTY MEMBS'!AX91</f>
        <v>19440.056400635698</v>
      </c>
      <c r="AX102" s="4">
        <f>$AX$4*'NIFTY MEMBS'!AY91</f>
        <v>16120.280585929442</v>
      </c>
      <c r="AY102" s="4">
        <f t="shared" si="10"/>
        <v>1010785.0938638404</v>
      </c>
      <c r="AZ102" s="4">
        <f t="shared" si="11"/>
        <v>103.14133610855514</v>
      </c>
    </row>
    <row r="103" spans="1:52" ht="14.25" customHeight="1" x14ac:dyDescent="0.3">
      <c r="A103" s="2">
        <v>45792</v>
      </c>
      <c r="B103" s="4">
        <f>$B$4*'NIFTY MEMBS'!C92</f>
        <v>23814.943705220063</v>
      </c>
      <c r="C103" s="4">
        <f>$C$4*'NIFTY MEMBS'!D92</f>
        <v>21694.451300231103</v>
      </c>
      <c r="D103" s="4">
        <f>$D$4*'NIFTY MEMBS'!E92</f>
        <v>23402.895281067871</v>
      </c>
      <c r="E103" s="4">
        <f>$E$4*'NIFTY MEMBS'!F92</f>
        <v>17410.059696774431</v>
      </c>
      <c r="F103" s="4">
        <f>$F$4*'NIFTY MEMBS'!G92</f>
        <v>22604.292447318192</v>
      </c>
      <c r="G103" s="4">
        <f>$G$4*'NIFTY MEMBS'!H92</f>
        <v>20366.868381240543</v>
      </c>
      <c r="H103" s="4">
        <f>$H$4*'NIFTY MEMBS'!I92</f>
        <v>17136.786188579015</v>
      </c>
      <c r="I103" s="4">
        <f>$I$4*'NIFTY MEMBS'!J92</f>
        <v>20285.086774902029</v>
      </c>
      <c r="J103" s="4">
        <f>$J$4*'NIFTY MEMBS'!K92</f>
        <v>26497.772266520555</v>
      </c>
      <c r="K103" s="4">
        <f>$K$4*'NIFTY MEMBS'!L92</f>
        <v>18900.441221440738</v>
      </c>
      <c r="L103" s="4">
        <f>$L$4*'NIFTY MEMBS'!M92</f>
        <v>19731.152010906611</v>
      </c>
      <c r="M103" s="4">
        <f>$M$4*'NIFTY MEMBS'!N92</f>
        <v>23111.444197603563</v>
      </c>
      <c r="N103" s="4">
        <f>$N$4*'NIFTY MEMBS'!O92</f>
        <v>20404.282933160284</v>
      </c>
      <c r="O103" s="4">
        <f>$O$4*'NIFTY MEMBS'!P92</f>
        <v>23556.251397897562</v>
      </c>
      <c r="P103" s="4">
        <f>$P$4*'NIFTY MEMBS'!Q92</f>
        <v>17741.04971364314</v>
      </c>
      <c r="Q103" s="4">
        <f>$Q$4*'NIFTY MEMBS'!R92</f>
        <v>18414.243763062514</v>
      </c>
      <c r="R103" s="4">
        <f>$R$4*'NIFTY MEMBS'!S92</f>
        <v>20780.990652572724</v>
      </c>
      <c r="S103" s="4">
        <f>$S$4*'NIFTY MEMBS'!T92</f>
        <v>22562.045157678673</v>
      </c>
      <c r="T103" s="4">
        <f>$T$4*'NIFTY MEMBS'!U92</f>
        <v>25905.861456483126</v>
      </c>
      <c r="U103" s="4">
        <f>$U$4*'NIFTY MEMBS'!V92</f>
        <v>22353.82700493262</v>
      </c>
      <c r="V103" s="4">
        <f>$V$4*'NIFTY MEMBS'!W92</f>
        <v>20497.527349018434</v>
      </c>
      <c r="W103" s="4">
        <f>$W$4*'NIFTY MEMBS'!X92</f>
        <v>17547.197106690779</v>
      </c>
      <c r="X103" s="4">
        <f>$X$4*'NIFTY MEMBS'!Y92</f>
        <v>23077.049314843684</v>
      </c>
      <c r="Y103" s="4">
        <f>$Y$4*'NIFTY MEMBS'!Z92</f>
        <v>20899.767883519733</v>
      </c>
      <c r="Z103" s="4">
        <f>$Z$4*'NIFTY MEMBS'!AA92</f>
        <v>23844.845185437225</v>
      </c>
      <c r="AA103" s="4">
        <f>$AA$4*'NIFTY MEMBS'!AB92</f>
        <v>22934.452482191173</v>
      </c>
      <c r="AB103" s="4">
        <f>$AB$4*'NIFTY MEMBS'!AC92</f>
        <v>17087.579087579088</v>
      </c>
      <c r="AC103" s="4">
        <f>$AC$4*'NIFTY MEMBS'!AD92</f>
        <v>19307.345360824744</v>
      </c>
      <c r="AD103" s="4">
        <f>$AD$4*'NIFTY MEMBS'!AE92</f>
        <v>19435.435435435436</v>
      </c>
      <c r="AE103" s="4">
        <f>$AE$4*'NIFTY MEMBS'!AF92</f>
        <v>19051.432690162517</v>
      </c>
      <c r="AF103" s="4">
        <f>$AF$4*'NIFTY MEMBS'!AG92</f>
        <v>20219.122209446119</v>
      </c>
      <c r="AG103" s="4">
        <f>$AG$4*'NIFTY MEMBS'!AH92</f>
        <v>20944.616977225673</v>
      </c>
      <c r="AH103" s="4">
        <f>$AH$4*'NIFTY MEMBS'!AI92</f>
        <v>22110.047758662022</v>
      </c>
      <c r="AI103" s="4">
        <f>$AI$4*'NIFTY MEMBS'!AJ92</f>
        <v>23014.480035103112</v>
      </c>
      <c r="AJ103" s="4">
        <f>$AJ$4*'NIFTY MEMBS'!AK92</f>
        <v>17979.963869272462</v>
      </c>
      <c r="AK103" s="4">
        <f>$AK$4*'NIFTY MEMBS'!AL92</f>
        <v>23133.71414532277</v>
      </c>
      <c r="AL103" s="4">
        <f>$AL$4*'NIFTY MEMBS'!AM92</f>
        <v>22377.336089902357</v>
      </c>
      <c r="AM103" s="4">
        <f>$AM$4*'NIFTY MEMBS'!AN92</f>
        <v>15782.287901189155</v>
      </c>
      <c r="AN103" s="4">
        <f>$AN$4*'NIFTY MEMBS'!AO92</f>
        <v>25487.003713224789</v>
      </c>
      <c r="AO103" s="4">
        <f>$AO$4*'NIFTY MEMBS'!AP92</f>
        <v>24342.190537913153</v>
      </c>
      <c r="AP103" s="4">
        <f>$AP$4*'NIFTY MEMBS'!AQ92</f>
        <v>22307.108525170755</v>
      </c>
      <c r="AQ103" s="4">
        <f>$AQ$4*'NIFTY MEMBS'!AR92</f>
        <v>19122.575344073713</v>
      </c>
      <c r="AR103" s="4">
        <f>$AR$4*'NIFTY MEMBS'!AS92</f>
        <v>19648.159047805901</v>
      </c>
      <c r="AS103" s="4">
        <f>$AS$4*'NIFTY MEMBS'!AT92</f>
        <v>19193.584498585413</v>
      </c>
      <c r="AT103" s="4">
        <f>$AT$4*'NIFTY MEMBS'!AU92</f>
        <v>23120.278210816639</v>
      </c>
      <c r="AU103" s="4">
        <f>$AU$4*'NIFTY MEMBS'!AV92</f>
        <v>24931.000760621537</v>
      </c>
      <c r="AV103" s="4">
        <f>$AV$4*'NIFTY MEMBS'!AW92</f>
        <v>18061.358655953252</v>
      </c>
      <c r="AW103" s="4">
        <f>$AW$4*'NIFTY MEMBS'!AX92</f>
        <v>20672.266899279457</v>
      </c>
      <c r="AX103" s="4">
        <f>$AX$4*'NIFTY MEMBS'!AY92</f>
        <v>16102.743965339387</v>
      </c>
      <c r="AY103" s="4">
        <f t="shared" si="10"/>
        <v>1028907.2165918457</v>
      </c>
      <c r="AZ103" s="4">
        <f t="shared" si="11"/>
        <v>104.99053230529039</v>
      </c>
    </row>
    <row r="104" spans="1:52" ht="14.25" customHeight="1" x14ac:dyDescent="0.3">
      <c r="A104" s="2">
        <v>45793</v>
      </c>
      <c r="B104" s="4">
        <f>$B$4*'NIFTY MEMBS'!C93</f>
        <v>23850.972364380759</v>
      </c>
      <c r="C104" s="4">
        <f>$C$4*'NIFTY MEMBS'!D93</f>
        <v>21704.548004218181</v>
      </c>
      <c r="D104" s="4">
        <f>$D$4*'NIFTY MEMBS'!E93</f>
        <v>22736.103277558439</v>
      </c>
      <c r="E104" s="4">
        <f>$E$4*'NIFTY MEMBS'!F93</f>
        <v>17319.602669941276</v>
      </c>
      <c r="F104" s="4">
        <f>$F$4*'NIFTY MEMBS'!G93</f>
        <v>22654.150274607564</v>
      </c>
      <c r="G104" s="4">
        <f>$G$4*'NIFTY MEMBS'!H93</f>
        <v>19972.264246091778</v>
      </c>
      <c r="H104" s="4">
        <f>$H$4*'NIFTY MEMBS'!I93</f>
        <v>16891.367861885788</v>
      </c>
      <c r="I104" s="4">
        <f>$I$4*'NIFTY MEMBS'!J93</f>
        <v>20510.744584643213</v>
      </c>
      <c r="J104" s="4">
        <f>$J$4*'NIFTY MEMBS'!K93</f>
        <v>26435.770622756045</v>
      </c>
      <c r="K104" s="4">
        <f>$K$4*'NIFTY MEMBS'!L93</f>
        <v>19033.681359486258</v>
      </c>
      <c r="L104" s="4">
        <f>$L$4*'NIFTY MEMBS'!M93</f>
        <v>19657.53237900477</v>
      </c>
      <c r="M104" s="4">
        <f>$M$4*'NIFTY MEMBS'!N93</f>
        <v>23188.173050328776</v>
      </c>
      <c r="N104" s="4">
        <f>$N$4*'NIFTY MEMBS'!O93</f>
        <v>20347.82608695652</v>
      </c>
      <c r="O104" s="4">
        <f>$O$4*'NIFTY MEMBS'!P93</f>
        <v>23576.381122791317</v>
      </c>
      <c r="P104" s="4">
        <f>$P$4*'NIFTY MEMBS'!Q93</f>
        <v>17363.424775752505</v>
      </c>
      <c r="Q104" s="4">
        <f>$Q$4*'NIFTY MEMBS'!R93</f>
        <v>18359.215852271223</v>
      </c>
      <c r="R104" s="4">
        <f>$R$4*'NIFTY MEMBS'!S93</f>
        <v>20800.209661920151</v>
      </c>
      <c r="S104" s="4">
        <f>$S$4*'NIFTY MEMBS'!T93</f>
        <v>22556.447098339242</v>
      </c>
      <c r="T104" s="4">
        <f>$T$4*'NIFTY MEMBS'!U93</f>
        <v>25800.558233950771</v>
      </c>
      <c r="U104" s="4">
        <f>$U$4*'NIFTY MEMBS'!V93</f>
        <v>22334.772653933032</v>
      </c>
      <c r="V104" s="4">
        <f>$V$4*'NIFTY MEMBS'!W93</f>
        <v>20566.46186123183</v>
      </c>
      <c r="W104" s="4">
        <f>$W$4*'NIFTY MEMBS'!X93</f>
        <v>17776.491862567811</v>
      </c>
      <c r="X104" s="4">
        <f>$X$4*'NIFTY MEMBS'!Y93</f>
        <v>23096.742430458686</v>
      </c>
      <c r="Y104" s="4">
        <f>$Y$4*'NIFTY MEMBS'!Z93</f>
        <v>20871.069845959064</v>
      </c>
      <c r="Z104" s="4">
        <f>$Z$4*'NIFTY MEMBS'!AA93</f>
        <v>24763.525008506298</v>
      </c>
      <c r="AA104" s="4">
        <f>$AA$4*'NIFTY MEMBS'!AB93</f>
        <v>22569.9928212491</v>
      </c>
      <c r="AB104" s="4">
        <f>$AB$4*'NIFTY MEMBS'!AC93</f>
        <v>16937.062937062936</v>
      </c>
      <c r="AC104" s="4">
        <f>$AC$4*'NIFTY MEMBS'!AD93</f>
        <v>19342.783505154639</v>
      </c>
      <c r="AD104" s="4">
        <f>$AD$4*'NIFTY MEMBS'!AE93</f>
        <v>19504.838171504838</v>
      </c>
      <c r="AE104" s="4">
        <f>$AE$4*'NIFTY MEMBS'!AF93</f>
        <v>19409.533724994424</v>
      </c>
      <c r="AF104" s="4">
        <f>$AF$4*'NIFTY MEMBS'!AG93</f>
        <v>20424.793352569803</v>
      </c>
      <c r="AG104" s="4">
        <f>$AG$4*'NIFTY MEMBS'!AH93</f>
        <v>20952.380952380954</v>
      </c>
      <c r="AH104" s="4">
        <f>$AH$4*'NIFTY MEMBS'!AI93</f>
        <v>22208.699821135517</v>
      </c>
      <c r="AI104" s="4">
        <f>$AI$4*'NIFTY MEMBS'!AJ93</f>
        <v>23043.732631271025</v>
      </c>
      <c r="AJ104" s="4">
        <f>$AJ$4*'NIFTY MEMBS'!AK93</f>
        <v>18196.74823452127</v>
      </c>
      <c r="AK104" s="4">
        <f>$AK$4*'NIFTY MEMBS'!AL93</f>
        <v>22965.010339250246</v>
      </c>
      <c r="AL104" s="4">
        <f>$AL$4*'NIFTY MEMBS'!AM93</f>
        <v>22555.421366139231</v>
      </c>
      <c r="AM104" s="4">
        <f>$AM$4*'NIFTY MEMBS'!AN93</f>
        <v>15797.850892396065</v>
      </c>
      <c r="AN104" s="4">
        <f>$AN$4*'NIFTY MEMBS'!AO93</f>
        <v>25327.049414453013</v>
      </c>
      <c r="AO104" s="4">
        <f>$AO$4*'NIFTY MEMBS'!AP93</f>
        <v>24321.127673363571</v>
      </c>
      <c r="AP104" s="4">
        <f>$AP$4*'NIFTY MEMBS'!AQ93</f>
        <v>22178.935829327933</v>
      </c>
      <c r="AQ104" s="4">
        <f>$AQ$4*'NIFTY MEMBS'!AR93</f>
        <v>18980.544061977289</v>
      </c>
      <c r="AR104" s="4">
        <f>$AR$4*'NIFTY MEMBS'!AS93</f>
        <v>19618.07599241384</v>
      </c>
      <c r="AS104" s="4">
        <f>$AS$4*'NIFTY MEMBS'!AT93</f>
        <v>19037.539096157889</v>
      </c>
      <c r="AT104" s="4">
        <f>$AT$4*'NIFTY MEMBS'!AU93</f>
        <v>22801.637743477291</v>
      </c>
      <c r="AU104" s="4">
        <f>$AU$4*'NIFTY MEMBS'!AV93</f>
        <v>25383.027273715095</v>
      </c>
      <c r="AV104" s="4">
        <f>$AV$4*'NIFTY MEMBS'!AW93</f>
        <v>17979.547114682253</v>
      </c>
      <c r="AW104" s="4">
        <f>$AW$4*'NIFTY MEMBS'!AX93</f>
        <v>20769.295111546595</v>
      </c>
      <c r="AX104" s="4">
        <f>$AX$4*'NIFTY MEMBS'!AY93</f>
        <v>16096.554569837015</v>
      </c>
      <c r="AY104" s="4">
        <f t="shared" si="10"/>
        <v>1028570.2198201228</v>
      </c>
      <c r="AZ104" s="4">
        <f t="shared" si="11"/>
        <v>104.95614487960437</v>
      </c>
    </row>
    <row r="105" spans="1:52" ht="14.25" customHeight="1" x14ac:dyDescent="0.3">
      <c r="A105" s="2">
        <v>45796</v>
      </c>
      <c r="B105" s="4">
        <f>$B$4*'NIFTY MEMBS'!C94</f>
        <v>23595.496417604911</v>
      </c>
      <c r="C105" s="4">
        <f>$C$4*'NIFTY MEMBS'!D94</f>
        <v>21749.422244160742</v>
      </c>
      <c r="D105" s="4">
        <f>$D$4*'NIFTY MEMBS'!E94</f>
        <v>22789.998119947359</v>
      </c>
      <c r="E105" s="4">
        <f>$E$4*'NIFTY MEMBS'!F94</f>
        <v>17112.913226908535</v>
      </c>
      <c r="F105" s="4">
        <f>$F$4*'NIFTY MEMBS'!G94</f>
        <v>22576.247419467923</v>
      </c>
      <c r="G105" s="4">
        <f>$G$4*'NIFTY MEMBS'!H94</f>
        <v>20045.385779122538</v>
      </c>
      <c r="H105" s="4">
        <f>$H$4*'NIFTY MEMBS'!I94</f>
        <v>16571.580345285522</v>
      </c>
      <c r="I105" s="4">
        <f>$I$4*'NIFTY MEMBS'!J94</f>
        <v>20521.941346195254</v>
      </c>
      <c r="J105" s="4">
        <f>$J$4*'NIFTY MEMBS'!K94</f>
        <v>26690.986691275069</v>
      </c>
      <c r="K105" s="4">
        <f>$K$4*'NIFTY MEMBS'!L94</f>
        <v>19018.391507579399</v>
      </c>
      <c r="L105" s="4">
        <f>$L$4*'NIFTY MEMBS'!M94</f>
        <v>19632.992501704157</v>
      </c>
      <c r="M105" s="4">
        <f>$M$4*'NIFTY MEMBS'!N94</f>
        <v>23177.466698785724</v>
      </c>
      <c r="N105" s="4">
        <f>$N$4*'NIFTY MEMBS'!O94</f>
        <v>20298.507462686564</v>
      </c>
      <c r="O105" s="4">
        <f>$O$4*'NIFTY MEMBS'!P94</f>
        <v>23609.930664280917</v>
      </c>
      <c r="P105" s="4">
        <f>$P$4*'NIFTY MEMBS'!Q94</f>
        <v>17255.681372420826</v>
      </c>
      <c r="Q105" s="4">
        <f>$Q$4*'NIFTY MEMBS'!R94</f>
        <v>18309.479086748324</v>
      </c>
      <c r="R105" s="4">
        <f>$R$4*'NIFTY MEMBS'!S94</f>
        <v>20842.142045950903</v>
      </c>
      <c r="S105" s="4">
        <f>$S$4*'NIFTY MEMBS'!T94</f>
        <v>22444.485911550662</v>
      </c>
      <c r="T105" s="4">
        <f>$T$4*'NIFTY MEMBS'!U94</f>
        <v>25860.18776960162</v>
      </c>
      <c r="U105" s="4">
        <f>$U$4*'NIFTY MEMBS'!V94</f>
        <v>22236.427616515819</v>
      </c>
      <c r="V105" s="4">
        <f>$V$4*'NIFTY MEMBS'!W94</f>
        <v>20689.345122133971</v>
      </c>
      <c r="W105" s="4">
        <f>$W$4*'NIFTY MEMBS'!X94</f>
        <v>17217.35985533454</v>
      </c>
      <c r="X105" s="4">
        <f>$X$4*'NIFTY MEMBS'!Y94</f>
        <v>22947.402970378269</v>
      </c>
      <c r="Y105" s="4">
        <f>$Y$4*'NIFTY MEMBS'!Z94</f>
        <v>20812.829710909478</v>
      </c>
      <c r="Z105" s="4">
        <f>$Z$4*'NIFTY MEMBS'!AA94</f>
        <v>24753.317454916643</v>
      </c>
      <c r="AA105" s="4">
        <f>$AA$4*'NIFTY MEMBS'!AB94</f>
        <v>22521.398199790161</v>
      </c>
      <c r="AB105" s="4">
        <f>$AB$4*'NIFTY MEMBS'!AC94</f>
        <v>16766.566766566764</v>
      </c>
      <c r="AC105" s="4">
        <f>$AC$4*'NIFTY MEMBS'!AD94</f>
        <v>19590.850515463921</v>
      </c>
      <c r="AD105" s="4">
        <f>$AD$4*'NIFTY MEMBS'!AE94</f>
        <v>19472.806139472807</v>
      </c>
      <c r="AE105" s="4">
        <f>$AE$4*'NIFTY MEMBS'!AF94</f>
        <v>20252.730091355807</v>
      </c>
      <c r="AF105" s="4">
        <f>$AF$4*'NIFTY MEMBS'!AG94</f>
        <v>20232.139370403314</v>
      </c>
      <c r="AG105" s="4">
        <f>$AG$4*'NIFTY MEMBS'!AH94</f>
        <v>20843.685300207038</v>
      </c>
      <c r="AH105" s="4">
        <f>$AH$4*'NIFTY MEMBS'!AI94</f>
        <v>22199.48000221276</v>
      </c>
      <c r="AI105" s="4">
        <f>$AI$4*'NIFTY MEMBS'!AJ94</f>
        <v>23046.657890887815</v>
      </c>
      <c r="AJ105" s="4">
        <f>$AJ$4*'NIFTY MEMBS'!AK94</f>
        <v>18200.032846115952</v>
      </c>
      <c r="AK105" s="4">
        <f>$AK$4*'NIFTY MEMBS'!AL94</f>
        <v>22332.780541735763</v>
      </c>
      <c r="AL105" s="4">
        <f>$AL$4*'NIFTY MEMBS'!AM94</f>
        <v>22639.346611262357</v>
      </c>
      <c r="AM105" s="4">
        <f>$AM$4*'NIFTY MEMBS'!AN94</f>
        <v>15707.302579919498</v>
      </c>
      <c r="AN105" s="4">
        <f>$AN$4*'NIFTY MEMBS'!AO94</f>
        <v>25278.491859468719</v>
      </c>
      <c r="AO105" s="4">
        <f>$AO$4*'NIFTY MEMBS'!AP94</f>
        <v>24334.089436163315</v>
      </c>
      <c r="AP105" s="4">
        <f>$AP$4*'NIFTY MEMBS'!AQ94</f>
        <v>22205.91955476853</v>
      </c>
      <c r="AQ105" s="4">
        <f>$AQ$4*'NIFTY MEMBS'!AR94</f>
        <v>18755.17211022097</v>
      </c>
      <c r="AR105" s="4">
        <f>$AR$4*'NIFTY MEMBS'!AS94</f>
        <v>19509.515401216402</v>
      </c>
      <c r="AS105" s="4">
        <f>$AS$4*'NIFTY MEMBS'!AT94</f>
        <v>18927.628856187199</v>
      </c>
      <c r="AT105" s="4">
        <f>$AT$4*'NIFTY MEMBS'!AU94</f>
        <v>23223.065458345463</v>
      </c>
      <c r="AU105" s="4">
        <f>$AU$4*'NIFTY MEMBS'!AV94</f>
        <v>24976.638052808867</v>
      </c>
      <c r="AV105" s="4">
        <f>$AV$4*'NIFTY MEMBS'!AW94</f>
        <v>17808.619430241051</v>
      </c>
      <c r="AW105" s="4">
        <f>$AW$4*'NIFTY MEMBS'!AX94</f>
        <v>20971.955022882881</v>
      </c>
      <c r="AX105" s="4">
        <f>$AX$4*'NIFTY MEMBS'!AY94</f>
        <v>16175.985145450795</v>
      </c>
      <c r="AY105" s="4">
        <f t="shared" si="10"/>
        <v>1026732.7765246141</v>
      </c>
      <c r="AZ105" s="4">
        <f t="shared" si="11"/>
        <v>104.76865066577695</v>
      </c>
    </row>
    <row r="106" spans="1:52" ht="14.25" customHeight="1" x14ac:dyDescent="0.3">
      <c r="A106" s="2">
        <v>45797</v>
      </c>
      <c r="B106" s="4">
        <f>$B$4*'NIFTY MEMBS'!C95</f>
        <v>23330.194472876148</v>
      </c>
      <c r="C106" s="4">
        <f>$C$4*'NIFTY MEMBS'!D95</f>
        <v>21482.420516502505</v>
      </c>
      <c r="D106" s="4">
        <f>$D$4*'NIFTY MEMBS'!E95</f>
        <v>22672.181487748323</v>
      </c>
      <c r="E106" s="4">
        <f>$E$4*'NIFTY MEMBS'!F95</f>
        <v>17013.215966151565</v>
      </c>
      <c r="F106" s="4">
        <f>$F$4*'NIFTY MEMBS'!G95</f>
        <v>22407.977252366298</v>
      </c>
      <c r="G106" s="4">
        <f>$G$4*'NIFTY MEMBS'!H95</f>
        <v>19809.631870902671</v>
      </c>
      <c r="H106" s="4">
        <f>$H$4*'NIFTY MEMBS'!I95</f>
        <v>16580.079681274899</v>
      </c>
      <c r="I106" s="4">
        <f>$I$4*'NIFTY MEMBS'!J95</f>
        <v>20163.644976529868</v>
      </c>
      <c r="J106" s="4">
        <f>$J$4*'NIFTY MEMBS'!K95</f>
        <v>26181.996452929216</v>
      </c>
      <c r="K106" s="4">
        <f>$K$4*'NIFTY MEMBS'!L95</f>
        <v>18998.733126556286</v>
      </c>
      <c r="L106" s="4">
        <f>$L$4*'NIFTY MEMBS'!M95</f>
        <v>19456.305385139742</v>
      </c>
      <c r="M106" s="4">
        <f>$M$4*'NIFTY MEMBS'!N95</f>
        <v>22551.145133517126</v>
      </c>
      <c r="N106" s="4">
        <f>$N$4*'NIFTY MEMBS'!O95</f>
        <v>19879.948085658663</v>
      </c>
      <c r="O106" s="4">
        <f>$O$4*'NIFTY MEMBS'!P95</f>
        <v>23373.965555804069</v>
      </c>
      <c r="P106" s="4">
        <f>$P$4*'NIFTY MEMBS'!Q95</f>
        <v>17137.477444493841</v>
      </c>
      <c r="Q106" s="4">
        <f>$Q$4*'NIFTY MEMBS'!R95</f>
        <v>18072.435778724303</v>
      </c>
      <c r="R106" s="4">
        <f>$R$4*'NIFTY MEMBS'!S95</f>
        <v>20436.795666986982</v>
      </c>
      <c r="S106" s="4">
        <f>$S$4*'NIFTY MEMBS'!T95</f>
        <v>22313.864526963986</v>
      </c>
      <c r="T106" s="4">
        <f>$T$4*'NIFTY MEMBS'!U95</f>
        <v>25438.974879472211</v>
      </c>
      <c r="U106" s="4">
        <f>$U$4*'NIFTY MEMBS'!V95</f>
        <v>22008.390061004658</v>
      </c>
      <c r="V106" s="4">
        <f>$V$4*'NIFTY MEMBS'!W95</f>
        <v>20536.490334182527</v>
      </c>
      <c r="W106" s="4">
        <f>$W$4*'NIFTY MEMBS'!X95</f>
        <v>16512.115732368897</v>
      </c>
      <c r="X106" s="4">
        <f>$X$4*'NIFTY MEMBS'!Y95</f>
        <v>22722.573233773688</v>
      </c>
      <c r="Y106" s="4">
        <f>$Y$4*'NIFTY MEMBS'!Z95</f>
        <v>21039.037771681789</v>
      </c>
      <c r="Z106" s="4">
        <f>$Z$4*'NIFTY MEMBS'!AA95</f>
        <v>24756.719972779862</v>
      </c>
      <c r="AA106" s="4">
        <f>$AA$4*'NIFTY MEMBS'!AB95</f>
        <v>22368.987796123474</v>
      </c>
      <c r="AB106" s="4">
        <f>$AB$4*'NIFTY MEMBS'!AC95</f>
        <v>16630.702630702632</v>
      </c>
      <c r="AC106" s="4">
        <f>$AC$4*'NIFTY MEMBS'!AD95</f>
        <v>19194.587628865978</v>
      </c>
      <c r="AD106" s="4">
        <f>$AD$4*'NIFTY MEMBS'!AE95</f>
        <v>19189.856523189854</v>
      </c>
      <c r="AE106" s="4">
        <f>$AE$4*'NIFTY MEMBS'!AF95</f>
        <v>19598.309030896227</v>
      </c>
      <c r="AF106" s="4">
        <f>$AF$4*'NIFTY MEMBS'!AG95</f>
        <v>19921.463128891588</v>
      </c>
      <c r="AG106" s="4">
        <f>$AG$4*'NIFTY MEMBS'!AH95</f>
        <v>21123.188405797104</v>
      </c>
      <c r="AH106" s="4">
        <f>$AH$4*'NIFTY MEMBS'!AI95</f>
        <v>21744.94292932087</v>
      </c>
      <c r="AI106" s="4">
        <f>$AI$4*'NIFTY MEMBS'!AJ95</f>
        <v>23210.472429428111</v>
      </c>
      <c r="AJ106" s="4">
        <f>$AJ$4*'NIFTY MEMBS'!AK95</f>
        <v>17832.156347511907</v>
      </c>
      <c r="AK106" s="4">
        <f>$AK$4*'NIFTY MEMBS'!AL95</f>
        <v>22282.005609811025</v>
      </c>
      <c r="AL106" s="4">
        <f>$AL$4*'NIFTY MEMBS'!AM95</f>
        <v>22055.963809796736</v>
      </c>
      <c r="AM106" s="4">
        <f>$AM$4*'NIFTY MEMBS'!AN95</f>
        <v>15420.094651282887</v>
      </c>
      <c r="AN106" s="4">
        <f>$AN$4*'NIFTY MEMBS'!AO95</f>
        <v>25104.255926878031</v>
      </c>
      <c r="AO106" s="4">
        <f>$AO$4*'NIFTY MEMBS'!AP95</f>
        <v>24207.712248865839</v>
      </c>
      <c r="AP106" s="4">
        <f>$AP$4*'NIFTY MEMBS'!AQ95</f>
        <v>22354.330044691793</v>
      </c>
      <c r="AQ106" s="4">
        <f>$AQ$4*'NIFTY MEMBS'!AR95</f>
        <v>18499.281039997652</v>
      </c>
      <c r="AR106" s="4">
        <f>$AR$4*'NIFTY MEMBS'!AS95</f>
        <v>19022.954679223072</v>
      </c>
      <c r="AS106" s="4">
        <f>$AS$4*'NIFTY MEMBS'!AT95</f>
        <v>18758.014288331196</v>
      </c>
      <c r="AT106" s="4">
        <f>$AT$4*'NIFTY MEMBS'!AU95</f>
        <v>22556.661470200263</v>
      </c>
      <c r="AU106" s="4">
        <f>$AU$4*'NIFTY MEMBS'!AV95</f>
        <v>24524.611539715312</v>
      </c>
      <c r="AV106" s="4">
        <f>$AV$4*'NIFTY MEMBS'!AW95</f>
        <v>17884.587289992698</v>
      </c>
      <c r="AW106" s="4">
        <f>$AW$4*'NIFTY MEMBS'!AX95</f>
        <v>20273.638677452891</v>
      </c>
      <c r="AX106" s="4">
        <f>$AX$4*'NIFTY MEMBS'!AY95</f>
        <v>16138.84877243656</v>
      </c>
      <c r="AY106" s="4">
        <f t="shared" si="10"/>
        <v>1014773.942265794</v>
      </c>
      <c r="AZ106" s="4">
        <f t="shared" si="11"/>
        <v>103.54836145569325</v>
      </c>
    </row>
    <row r="107" spans="1:52" ht="14.25" customHeight="1" x14ac:dyDescent="0.3">
      <c r="A107" s="2">
        <v>45798</v>
      </c>
      <c r="B107" s="4">
        <f>$B$4*'NIFTY MEMBS'!C96</f>
        <v>23405.527123848515</v>
      </c>
      <c r="C107" s="4">
        <f>$C$4*'NIFTY MEMBS'!D96</f>
        <v>21615.921380331623</v>
      </c>
      <c r="D107" s="4">
        <f>$D$4*'NIFTY MEMBS'!E96</f>
        <v>22842.639593908629</v>
      </c>
      <c r="E107" s="4">
        <f>$E$4*'NIFTY MEMBS'!F96</f>
        <v>17146.95619399628</v>
      </c>
      <c r="F107" s="4">
        <f>$F$4*'NIFTY MEMBS'!G96</f>
        <v>22509.250964047831</v>
      </c>
      <c r="G107" s="4">
        <f>$G$4*'NIFTY MEMBS'!H96</f>
        <v>19846.192637418051</v>
      </c>
      <c r="H107" s="4">
        <f>$H$4*'NIFTY MEMBS'!I96</f>
        <v>16664.010624169987</v>
      </c>
      <c r="I107" s="4">
        <f>$I$4*'NIFTY MEMBS'!J96</f>
        <v>20360.018948365705</v>
      </c>
      <c r="J107" s="4">
        <f>$J$4*'NIFTY MEMBS'!K96</f>
        <v>26523.726442980114</v>
      </c>
      <c r="K107" s="4">
        <f>$K$4*'NIFTY MEMBS'!L96</f>
        <v>18915.731073347604</v>
      </c>
      <c r="L107" s="4">
        <f>$L$4*'NIFTY MEMBS'!M96</f>
        <v>19571.915473755966</v>
      </c>
      <c r="M107" s="4">
        <f>$M$4*'NIFTY MEMBS'!N96</f>
        <v>22510.104119268759</v>
      </c>
      <c r="N107" s="4">
        <f>$N$4*'NIFTY MEMBS'!O96</f>
        <v>20056.456846203761</v>
      </c>
      <c r="O107" s="4">
        <f>$O$4*'NIFTY MEMBS'!P96</f>
        <v>23163.721762469246</v>
      </c>
      <c r="P107" s="4">
        <f>$P$4*'NIFTY MEMBS'!Q96</f>
        <v>17280.786631449566</v>
      </c>
      <c r="Q107" s="4">
        <f>$Q$4*'NIFTY MEMBS'!R96</f>
        <v>18326.410751607182</v>
      </c>
      <c r="R107" s="4">
        <f>$R$4*'NIFTY MEMBS'!S96</f>
        <v>20382.633004280597</v>
      </c>
      <c r="S107" s="4">
        <f>$S$4*'NIFTY MEMBS'!T96</f>
        <v>22351.18492256018</v>
      </c>
      <c r="T107" s="4">
        <f>$T$4*'NIFTY MEMBS'!U96</f>
        <v>25847.500634356758</v>
      </c>
      <c r="U107" s="4">
        <f>$U$4*'NIFTY MEMBS'!V96</f>
        <v>22007.775404520798</v>
      </c>
      <c r="V107" s="4">
        <f>$V$4*'NIFTY MEMBS'!W96</f>
        <v>20749.288176232578</v>
      </c>
      <c r="W107" s="4">
        <f>$W$4*'NIFTY MEMBS'!X96</f>
        <v>16634.358047016278</v>
      </c>
      <c r="X107" s="4">
        <f>$X$4*'NIFTY MEMBS'!Y96</f>
        <v>22722.573233773688</v>
      </c>
      <c r="Y107" s="4">
        <f>$Y$4*'NIFTY MEMBS'!Z96</f>
        <v>20990.082295843007</v>
      </c>
      <c r="Z107" s="4">
        <f>$Z$4*'NIFTY MEMBS'!AA96</f>
        <v>26063.286832255872</v>
      </c>
      <c r="AA107" s="4">
        <f>$AA$4*'NIFTY MEMBS'!AB96</f>
        <v>22108.343917389142</v>
      </c>
      <c r="AB107" s="4">
        <f>$AB$4*'NIFTY MEMBS'!AC96</f>
        <v>16711.288711288711</v>
      </c>
      <c r="AC107" s="4">
        <f>$AC$4*'NIFTY MEMBS'!AD96</f>
        <v>19081.829896907217</v>
      </c>
      <c r="AD107" s="4">
        <f>$AD$4*'NIFTY MEMBS'!AE96</f>
        <v>19400.734067400732</v>
      </c>
      <c r="AE107" s="4">
        <f>$AE$4*'NIFTY MEMBS'!AF96</f>
        <v>19878.611757841325</v>
      </c>
      <c r="AF107" s="4">
        <f>$AF$4*'NIFTY MEMBS'!AG96</f>
        <v>20067.255331612174</v>
      </c>
      <c r="AG107" s="4">
        <f>$AG$4*'NIFTY MEMBS'!AH96</f>
        <v>20980.848861283645</v>
      </c>
      <c r="AH107" s="4">
        <f>$AH$4*'NIFTY MEMBS'!AI96</f>
        <v>22059.338754586861</v>
      </c>
      <c r="AI107" s="4">
        <f>$AI$4*'NIFTY MEMBS'!AJ96</f>
        <v>23641.948222904779</v>
      </c>
      <c r="AJ107" s="4">
        <f>$AJ$4*'NIFTY MEMBS'!AK96</f>
        <v>18022.66382000329</v>
      </c>
      <c r="AK107" s="4">
        <f>$AK$4*'NIFTY MEMBS'!AL96</f>
        <v>22168.171488237822</v>
      </c>
      <c r="AL107" s="4">
        <f>$AL$4*'NIFTY MEMBS'!AM96</f>
        <v>22143.982969316108</v>
      </c>
      <c r="AM107" s="4">
        <f>$AM$4*'NIFTY MEMBS'!AN96</f>
        <v>15403.116842693529</v>
      </c>
      <c r="AN107" s="4">
        <f>$AN$4*'NIFTY MEMBS'!AO96</f>
        <v>25191.373893173379</v>
      </c>
      <c r="AO107" s="4">
        <f>$AO$4*'NIFTY MEMBS'!AP96</f>
        <v>24617.627997407646</v>
      </c>
      <c r="AP107" s="4">
        <f>$AP$4*'NIFTY MEMBS'!AQ96</f>
        <v>22362.762458891979</v>
      </c>
      <c r="AQ107" s="4">
        <f>$AQ$4*'NIFTY MEMBS'!AR96</f>
        <v>18759.867359215896</v>
      </c>
      <c r="AR107" s="4">
        <f>$AR$4*'NIFTY MEMBS'!AS96</f>
        <v>19389.18317964816</v>
      </c>
      <c r="AS107" s="4">
        <f>$AS$4*'NIFTY MEMBS'!AT96</f>
        <v>18953.410270501314</v>
      </c>
      <c r="AT107" s="4">
        <f>$AT$4*'NIFTY MEMBS'!AU96</f>
        <v>22544.669624655231</v>
      </c>
      <c r="AU107" s="4">
        <f>$AU$4*'NIFTY MEMBS'!AV96</f>
        <v>24748.451591872217</v>
      </c>
      <c r="AV107" s="4">
        <f>$AV$4*'NIFTY MEMBS'!AW96</f>
        <v>17891.891891891893</v>
      </c>
      <c r="AW107" s="4">
        <f>$AW$4*'NIFTY MEMBS'!AX96</f>
        <v>20379.748348011039</v>
      </c>
      <c r="AX107" s="4">
        <f>$AX$4*'NIFTY MEMBS'!AY96</f>
        <v>15885.083556839285</v>
      </c>
      <c r="AY107" s="4">
        <f t="shared" si="10"/>
        <v>1020880.257931582</v>
      </c>
      <c r="AZ107" s="4">
        <f t="shared" si="11"/>
        <v>104.17145489097777</v>
      </c>
    </row>
    <row r="108" spans="1:52" ht="14.25" customHeight="1" x14ac:dyDescent="0.3">
      <c r="A108" s="2">
        <v>45799</v>
      </c>
      <c r="B108" s="4">
        <f>$B$4*'NIFTY MEMBS'!C97</f>
        <v>23081.269191402251</v>
      </c>
      <c r="C108" s="4">
        <f>$C$4*'NIFTY MEMBS'!D97</f>
        <v>21538.513316430704</v>
      </c>
      <c r="D108" s="4">
        <f>$D$4*'NIFTY MEMBS'!E97</f>
        <v>22954.189383969417</v>
      </c>
      <c r="E108" s="4">
        <f>$E$4*'NIFTY MEMBS'!F97</f>
        <v>16909.628080584567</v>
      </c>
      <c r="F108" s="4">
        <f>$F$4*'NIFTY MEMBS'!G97</f>
        <v>22468.741479375218</v>
      </c>
      <c r="G108" s="4">
        <f>$G$4*'NIFTY MEMBS'!H97</f>
        <v>19799.546142208772</v>
      </c>
      <c r="H108" s="4">
        <f>$H$4*'NIFTY MEMBS'!I97</f>
        <v>16440.903054448871</v>
      </c>
      <c r="I108" s="4">
        <f>$I$4*'NIFTY MEMBS'!J97</f>
        <v>20074.07088411352</v>
      </c>
      <c r="J108" s="4">
        <f>$J$4*'NIFTY MEMBS'!K97</f>
        <v>26355.024295992964</v>
      </c>
      <c r="K108" s="4">
        <f>$K$4*'NIFTY MEMBS'!L97</f>
        <v>18614.30256432659</v>
      </c>
      <c r="L108" s="4">
        <f>$L$4*'NIFTY MEMBS'!M97</f>
        <v>19366.87116564417</v>
      </c>
      <c r="M108" s="4">
        <f>$M$4*'NIFTY MEMBS'!N97</f>
        <v>22206.757492215591</v>
      </c>
      <c r="N108" s="4">
        <f>$N$4*'NIFTY MEMBS'!O97</f>
        <v>19508.760545100584</v>
      </c>
      <c r="O108" s="4">
        <f>$O$4*'NIFTY MEMBS'!P97</f>
        <v>23102.214269738313</v>
      </c>
      <c r="P108" s="4">
        <f>$P$4*'NIFTY MEMBS'!Q97</f>
        <v>17082.036664138705</v>
      </c>
      <c r="Q108" s="4">
        <f>$Q$4*'NIFTY MEMBS'!R97</f>
        <v>18187.782745575278</v>
      </c>
      <c r="R108" s="4">
        <f>$R$4*'NIFTY MEMBS'!S97</f>
        <v>20407.093561631867</v>
      </c>
      <c r="S108" s="4">
        <f>$S$4*'NIFTY MEMBS'!T97</f>
        <v>22177.645083037882</v>
      </c>
      <c r="T108" s="4">
        <f>$T$4*'NIFTY MEMBS'!U97</f>
        <v>25386.95762496828</v>
      </c>
      <c r="U108" s="4">
        <f>$U$4*'NIFTY MEMBS'!V97</f>
        <v>21764.986093397056</v>
      </c>
      <c r="V108" s="4">
        <f>$V$4*'NIFTY MEMBS'!W97</f>
        <v>20464.558669264199</v>
      </c>
      <c r="W108" s="4">
        <f>$W$4*'NIFTY MEMBS'!X97</f>
        <v>16565.641952983726</v>
      </c>
      <c r="X108" s="4">
        <f>$X$4*'NIFTY MEMBS'!Y97</f>
        <v>22505.948962008697</v>
      </c>
      <c r="Y108" s="4">
        <f>$Y$4*'NIFTY MEMBS'!Z97</f>
        <v>20398.396286136314</v>
      </c>
      <c r="Z108" s="4">
        <f>$Z$4*'NIFTY MEMBS'!AA97</f>
        <v>26090.506975161621</v>
      </c>
      <c r="AA108" s="4">
        <f>$AA$4*'NIFTY MEMBS'!AB97</f>
        <v>22212.159699596887</v>
      </c>
      <c r="AB108" s="4">
        <f>$AB$4*'NIFTY MEMBS'!AC97</f>
        <v>16379.620379620379</v>
      </c>
      <c r="AC108" s="4">
        <f>$AC$4*'NIFTY MEMBS'!AD97</f>
        <v>18743.556701030928</v>
      </c>
      <c r="AD108" s="4">
        <f>$AD$4*'NIFTY MEMBS'!AE97</f>
        <v>19151.151151151153</v>
      </c>
      <c r="AE108" s="4">
        <f>$AE$4*'NIFTY MEMBS'!AF97</f>
        <v>19983.868292041119</v>
      </c>
      <c r="AF108" s="4">
        <f>$AF$4*'NIFTY MEMBS'!AG97</f>
        <v>19952.704315188854</v>
      </c>
      <c r="AG108" s="4">
        <f>$AG$4*'NIFTY MEMBS'!AH97</f>
        <v>20644.409937888202</v>
      </c>
      <c r="AH108" s="4">
        <f>$AH$4*'NIFTY MEMBS'!AI97</f>
        <v>21774.446349873691</v>
      </c>
      <c r="AI108" s="4">
        <f>$AI$4*'NIFTY MEMBS'!AJ97</f>
        <v>23590.756179610937</v>
      </c>
      <c r="AJ108" s="4">
        <f>$AJ$4*'NIFTY MEMBS'!AK97</f>
        <v>18035.802266382005</v>
      </c>
      <c r="AK108" s="4">
        <f>$AK$4*'NIFTY MEMBS'!AL97</f>
        <v>21903.650471920231</v>
      </c>
      <c r="AL108" s="4">
        <f>$AL$4*'NIFTY MEMBS'!AM97</f>
        <v>22053.91685259861</v>
      </c>
      <c r="AM108" s="4">
        <f>$AM$4*'NIFTY MEMBS'!AN97</f>
        <v>15115.908914056919</v>
      </c>
      <c r="AN108" s="4">
        <f>$AN$4*'NIFTY MEMBS'!AO97</f>
        <v>25125.678377606393</v>
      </c>
      <c r="AO108" s="4">
        <f>$AO$4*'NIFTY MEMBS'!AP97</f>
        <v>24492.871030460137</v>
      </c>
      <c r="AP108" s="4">
        <f>$AP$4*'NIFTY MEMBS'!AQ97</f>
        <v>21909.098574921998</v>
      </c>
      <c r="AQ108" s="4">
        <f>$AQ$4*'NIFTY MEMBS'!AR97</f>
        <v>18377.204566129647</v>
      </c>
      <c r="AR108" s="4">
        <f>$AR$4*'NIFTY MEMBS'!AS97</f>
        <v>19207.376888365707</v>
      </c>
      <c r="AS108" s="4">
        <f>$AS$4*'NIFTY MEMBS'!AT97</f>
        <v>18873.352194473278</v>
      </c>
      <c r="AT108" s="4">
        <f>$AT$4*'NIFTY MEMBS'!AU97</f>
        <v>22262.004693950967</v>
      </c>
      <c r="AU108" s="4">
        <f>$AU$4*'NIFTY MEMBS'!AV97</f>
        <v>24485.493860697599</v>
      </c>
      <c r="AV108" s="4">
        <f>$AV$4*'NIFTY MEMBS'!AW97</f>
        <v>17855.368882395909</v>
      </c>
      <c r="AW108" s="4">
        <f>$AW$4*'NIFTY MEMBS'!AX97</f>
        <v>20439.494784136125</v>
      </c>
      <c r="AX108" s="4">
        <f>$AX$4*'NIFTY MEMBS'!AY97</f>
        <v>16195.584897874976</v>
      </c>
      <c r="AY108" s="4">
        <f t="shared" si="10"/>
        <v>1012217.8267458278</v>
      </c>
      <c r="AZ108" s="4">
        <f t="shared" si="11"/>
        <v>103.28753334141101</v>
      </c>
    </row>
    <row r="109" spans="1:52" ht="14.25" customHeight="1" x14ac:dyDescent="0.3">
      <c r="A109" s="2">
        <v>45800</v>
      </c>
      <c r="B109" s="4">
        <f>$B$4*'NIFTY MEMBS'!C98</f>
        <v>23366.223132036845</v>
      </c>
      <c r="C109" s="4">
        <f>$C$4*'NIFTY MEMBS'!D98</f>
        <v>21692.207588233974</v>
      </c>
      <c r="D109" s="4">
        <f>$D$4*'NIFTY MEMBS'!E98</f>
        <v>22957.949489252365</v>
      </c>
      <c r="E109" s="4">
        <f>$E$4*'NIFTY MEMBS'!F98</f>
        <v>17092.487446655887</v>
      </c>
      <c r="F109" s="4">
        <f>$F$4*'NIFTY MEMBS'!G98</f>
        <v>22588.711876290265</v>
      </c>
      <c r="G109" s="4">
        <f>$G$4*'NIFTY MEMBS'!H98</f>
        <v>19931.921331316185</v>
      </c>
      <c r="H109" s="4">
        <f>$H$4*'NIFTY MEMBS'!I98</f>
        <v>16624.701195219121</v>
      </c>
      <c r="I109" s="4">
        <f>$I$4*'NIFTY MEMBS'!J98</f>
        <v>20319.538348908318</v>
      </c>
      <c r="J109" s="4">
        <f>$J$4*'NIFTY MEMBS'!K98</f>
        <v>26656.381122662322</v>
      </c>
      <c r="K109" s="4">
        <f>$K$4*'NIFTY MEMBS'!L98</f>
        <v>19059.892534183738</v>
      </c>
      <c r="L109" s="4">
        <f>$L$4*'NIFTY MEMBS'!M98</f>
        <v>19631.356509884117</v>
      </c>
      <c r="M109" s="4">
        <f>$M$4*'NIFTY MEMBS'!N98</f>
        <v>22221.032627606328</v>
      </c>
      <c r="N109" s="4">
        <f>$N$4*'NIFTY MEMBS'!O98</f>
        <v>19550.292018170017</v>
      </c>
      <c r="O109" s="4">
        <f>$O$4*'NIFTY MEMBS'!P98</f>
        <v>23493.625587116974</v>
      </c>
      <c r="P109" s="4">
        <f>$P$4*'NIFTY MEMBS'!Q98</f>
        <v>17241.036637987396</v>
      </c>
      <c r="Q109" s="4">
        <f>$Q$4*'NIFTY MEMBS'!R98</f>
        <v>17816.344347734066</v>
      </c>
      <c r="R109" s="4">
        <f>$R$4*'NIFTY MEMBS'!S98</f>
        <v>20522.407617716432</v>
      </c>
      <c r="S109" s="4">
        <f>$S$4*'NIFTY MEMBS'!T98</f>
        <v>22580.705355476766</v>
      </c>
      <c r="T109" s="4">
        <f>$T$4*'NIFTY MEMBS'!U98</f>
        <v>25837.350926160871</v>
      </c>
      <c r="U109" s="4">
        <f>$U$4*'NIFTY MEMBS'!V98</f>
        <v>22002.858152649937</v>
      </c>
      <c r="V109" s="4">
        <f>$V$4*'NIFTY MEMBS'!W98</f>
        <v>20656.37644237974</v>
      </c>
      <c r="W109" s="4">
        <f>$W$4*'NIFTY MEMBS'!X98</f>
        <v>17182.640144665464</v>
      </c>
      <c r="X109" s="4">
        <f>$X$4*'NIFTY MEMBS'!Y98</f>
        <v>22899.811274308689</v>
      </c>
      <c r="Y109" s="4">
        <f>$Y$4*'NIFTY MEMBS'!Z98</f>
        <v>20615.319687697829</v>
      </c>
      <c r="Z109" s="4">
        <f>$Z$4*'NIFTY MEMBS'!AA98</f>
        <v>26117.727118067374</v>
      </c>
      <c r="AA109" s="4">
        <f>$AA$4*'NIFTY MEMBS'!AB98</f>
        <v>22276.216246065491</v>
      </c>
      <c r="AB109" s="4">
        <f>$AB$4*'NIFTY MEMBS'!AC98</f>
        <v>16474.192474192474</v>
      </c>
      <c r="AC109" s="4">
        <f>$AC$4*'NIFTY MEMBS'!AD98</f>
        <v>19207.474226804126</v>
      </c>
      <c r="AD109" s="4">
        <f>$AD$4*'NIFTY MEMBS'!AE98</f>
        <v>19172.505839172503</v>
      </c>
      <c r="AE109" s="4">
        <f>$AE$4*'NIFTY MEMBS'!AF98</f>
        <v>20001.029683486737</v>
      </c>
      <c r="AF109" s="4">
        <f>$AF$4*'NIFTY MEMBS'!AG98</f>
        <v>20094.157464257045</v>
      </c>
      <c r="AG109" s="4">
        <f>$AG$4*'NIFTY MEMBS'!AH98</f>
        <v>20781.573498964804</v>
      </c>
      <c r="AH109" s="4">
        <f>$AH$4*'NIFTY MEMBS'!AI98</f>
        <v>22260.330807102953</v>
      </c>
      <c r="AI109" s="4">
        <f>$AI$4*'NIFTY MEMBS'!AJ98</f>
        <v>23836.477987421382</v>
      </c>
      <c r="AJ109" s="4">
        <f>$AJ$4*'NIFTY MEMBS'!AK98</f>
        <v>18508.786336015768</v>
      </c>
      <c r="AK109" s="4">
        <f>$AK$4*'NIFTY MEMBS'!AL98</f>
        <v>21779.169993653133</v>
      </c>
      <c r="AL109" s="4">
        <f>$AL$4*'NIFTY MEMBS'!AM98</f>
        <v>22107.137739749858</v>
      </c>
      <c r="AM109" s="4">
        <f>$AM$4*'NIFTY MEMBS'!AN98</f>
        <v>15380.479764574387</v>
      </c>
      <c r="AN109" s="4">
        <f>$AN$4*'NIFTY MEMBS'!AO98</f>
        <v>25688.374750071405</v>
      </c>
      <c r="AO109" s="4">
        <f>$AO$4*'NIFTY MEMBS'!AP98</f>
        <v>25288.399222294225</v>
      </c>
      <c r="AP109" s="4">
        <f>$AP$4*'NIFTY MEMBS'!AQ98</f>
        <v>21927.649886162406</v>
      </c>
      <c r="AQ109" s="4">
        <f>$AQ$4*'NIFTY MEMBS'!AR98</f>
        <v>18549.754966693079</v>
      </c>
      <c r="AR109" s="4">
        <f>$AR$4*'NIFTY MEMBS'!AS98</f>
        <v>19412.726440389772</v>
      </c>
      <c r="AS109" s="4">
        <f>$AS$4*'NIFTY MEMBS'!AT98</f>
        <v>19171.873833899845</v>
      </c>
      <c r="AT109" s="4">
        <f>$AT$4*'NIFTY MEMBS'!AU98</f>
        <v>22608.055093964675</v>
      </c>
      <c r="AU109" s="4">
        <f>$AU$4*'NIFTY MEMBS'!AV98</f>
        <v>24791.915679669673</v>
      </c>
      <c r="AV109" s="4">
        <f>$AV$4*'NIFTY MEMBS'!AW98</f>
        <v>17970.781592403215</v>
      </c>
      <c r="AW109" s="4">
        <f>$AW$4*'NIFTY MEMBS'!AX98</f>
        <v>20594.835518061347</v>
      </c>
      <c r="AX109" s="4">
        <f>$AX$4*'NIFTY MEMBS'!AY98</f>
        <v>16368.887971941409</v>
      </c>
      <c r="AY109" s="4">
        <f t="shared" si="10"/>
        <v>1022911.6855293927</v>
      </c>
      <c r="AZ109" s="4">
        <f t="shared" si="11"/>
        <v>104.37874342136659</v>
      </c>
    </row>
    <row r="110" spans="1:52" ht="14.25" customHeight="1" x14ac:dyDescent="0.3">
      <c r="A110" s="2">
        <v>45803</v>
      </c>
      <c r="B110" s="4">
        <f>$B$4*'NIFTY MEMBS'!C99</f>
        <v>23497.236438075739</v>
      </c>
      <c r="C110" s="4">
        <f>$C$4*'NIFTY MEMBS'!D99</f>
        <v>21766.250084139203</v>
      </c>
      <c r="D110" s="4">
        <f>$D$4*'NIFTY MEMBS'!E99</f>
        <v>23154.728332393308</v>
      </c>
      <c r="E110" s="4">
        <f>$E$4*'NIFTY MEMBS'!F99</f>
        <v>17202.883925640435</v>
      </c>
      <c r="F110" s="4">
        <f>$F$4*'NIFTY MEMBS'!G99</f>
        <v>22756.982043391887</v>
      </c>
      <c r="G110" s="4">
        <f>$G$4*'NIFTY MEMBS'!H99</f>
        <v>20030.257186081693</v>
      </c>
      <c r="H110" s="4">
        <f>$H$4*'NIFTY MEMBS'!I99</f>
        <v>16791.500664010622</v>
      </c>
      <c r="I110" s="4">
        <f>$I$4*'NIFTY MEMBS'!J99</f>
        <v>20620.128332113174</v>
      </c>
      <c r="J110" s="4">
        <f>$J$4*'NIFTY MEMBS'!K99</f>
        <v>26731.359854656614</v>
      </c>
      <c r="K110" s="4">
        <f>$K$4*'NIFTY MEMBS'!L99</f>
        <v>19348.215455856011</v>
      </c>
      <c r="L110" s="4">
        <f>$L$4*'NIFTY MEMBS'!M99</f>
        <v>19897.4778459441</v>
      </c>
      <c r="M110" s="4">
        <f>$M$4*'NIFTY MEMBS'!N99</f>
        <v>22163.93208604338</v>
      </c>
      <c r="N110" s="4">
        <f>$N$4*'NIFTY MEMBS'!O99</f>
        <v>19988.31927319922</v>
      </c>
      <c r="O110" s="4">
        <f>$O$4*'NIFTY MEMBS'!P99</f>
        <v>23365.019011406843</v>
      </c>
      <c r="P110" s="4">
        <f>$P$4*'NIFTY MEMBS'!Q99</f>
        <v>17506.733962708229</v>
      </c>
      <c r="Q110" s="4">
        <f>$Q$4*'NIFTY MEMBS'!R99</f>
        <v>17736.977168708163</v>
      </c>
      <c r="R110" s="4">
        <f>$R$4*'NIFTY MEMBS'!S99</f>
        <v>20422.818205643398</v>
      </c>
      <c r="S110" s="4">
        <f>$S$4*'NIFTY MEMBS'!T99</f>
        <v>22675.872364247065</v>
      </c>
      <c r="T110" s="4">
        <f>$T$4*'NIFTY MEMBS'!U99</f>
        <v>26041.613803603144</v>
      </c>
      <c r="U110" s="4">
        <f>$U$4*'NIFTY MEMBS'!V99</f>
        <v>22190.94303671036</v>
      </c>
      <c r="V110" s="4">
        <f>$V$4*'NIFTY MEMBS'!W99</f>
        <v>20590.439082871271</v>
      </c>
      <c r="W110" s="4">
        <f>$W$4*'NIFTY MEMBS'!X99</f>
        <v>16405.063291139242</v>
      </c>
      <c r="X110" s="4">
        <f>$X$4*'NIFTY MEMBS'!Y99</f>
        <v>22978.583736768687</v>
      </c>
      <c r="Y110" s="4">
        <f>$Y$4*'NIFTY MEMBS'!Z99</f>
        <v>20758.80987550116</v>
      </c>
      <c r="Z110" s="4">
        <f>$Z$4*'NIFTY MEMBS'!AA99</f>
        <v>26168.764886015655</v>
      </c>
      <c r="AA110" s="4">
        <f>$AA$4*'NIFTY MEMBS'!AB99</f>
        <v>22801.921696394056</v>
      </c>
      <c r="AB110" s="4">
        <f>$AB$4*'NIFTY MEMBS'!AC99</f>
        <v>16666.000666000666</v>
      </c>
      <c r="AC110" s="4">
        <f>$AC$4*'NIFTY MEMBS'!AD99</f>
        <v>19117.268041237116</v>
      </c>
      <c r="AD110" s="4">
        <f>$AD$4*'NIFTY MEMBS'!AE99</f>
        <v>19459.45945945946</v>
      </c>
      <c r="AE110" s="4">
        <f>$AE$4*'NIFTY MEMBS'!AF99</f>
        <v>20498.710035409673</v>
      </c>
      <c r="AF110" s="4">
        <f>$AF$4*'NIFTY MEMBS'!AG99</f>
        <v>20195.691319723166</v>
      </c>
      <c r="AG110" s="4">
        <f>$AG$4*'NIFTY MEMBS'!AH99</f>
        <v>20843.685300207038</v>
      </c>
      <c r="AH110" s="4">
        <f>$AH$4*'NIFTY MEMBS'!AI99</f>
        <v>22625.435636444105</v>
      </c>
      <c r="AI110" s="4">
        <f>$AI$4*'NIFTY MEMBS'!AJ99</f>
        <v>23769.197016235186</v>
      </c>
      <c r="AJ110" s="4">
        <f>$AJ$4*'NIFTY MEMBS'!AK99</f>
        <v>18508.786336015768</v>
      </c>
      <c r="AK110" s="4">
        <f>$AK$4*'NIFTY MEMBS'!AL99</f>
        <v>21754.601478205677</v>
      </c>
      <c r="AL110" s="4">
        <f>$AL$4*'NIFTY MEMBS'!AM99</f>
        <v>22219.720385646735</v>
      </c>
      <c r="AM110" s="4">
        <f>$AM$4*'NIFTY MEMBS'!AN99</f>
        <v>15636.561710797179</v>
      </c>
      <c r="AN110" s="4">
        <f>$AN$4*'NIFTY MEMBS'!AO99</f>
        <v>25729.791488146238</v>
      </c>
      <c r="AO110" s="4">
        <f>$AO$4*'NIFTY MEMBS'!AP99</f>
        <v>25275.437459494486</v>
      </c>
      <c r="AP110" s="4">
        <f>$AP$4*'NIFTY MEMBS'!AQ99</f>
        <v>22310.481490850831</v>
      </c>
      <c r="AQ110" s="4">
        <f>$AQ$4*'NIFTY MEMBS'!AR99</f>
        <v>18797.42935117528</v>
      </c>
      <c r="AR110" s="4">
        <f>$AR$4*'NIFTY MEMBS'!AS99</f>
        <v>19412.726440389772</v>
      </c>
      <c r="AS110" s="4">
        <f>$AS$4*'NIFTY MEMBS'!AT99</f>
        <v>19258.716492642121</v>
      </c>
      <c r="AT110" s="4">
        <f>$AT$4*'NIFTY MEMBS'!AU99</f>
        <v>22767.375327634349</v>
      </c>
      <c r="AU110" s="4">
        <f>$AU$4*'NIFTY MEMBS'!AV99</f>
        <v>24911.441921112681</v>
      </c>
      <c r="AV110" s="4">
        <f>$AV$4*'NIFTY MEMBS'!AW99</f>
        <v>18128.560993425861</v>
      </c>
      <c r="AW110" s="4">
        <f>$AW$4*'NIFTY MEMBS'!AX99</f>
        <v>20836.689091495689</v>
      </c>
      <c r="AX110" s="4">
        <f>$AX$4*'NIFTY MEMBS'!AY99</f>
        <v>16507.117804827729</v>
      </c>
      <c r="AY110" s="4">
        <f t="shared" si="10"/>
        <v>1028823.7168898394</v>
      </c>
      <c r="AZ110" s="4">
        <f t="shared" si="11"/>
        <v>104.98201192753463</v>
      </c>
    </row>
    <row r="111" spans="1:52" ht="14.25" customHeight="1" x14ac:dyDescent="0.3">
      <c r="A111" s="2">
        <v>45804</v>
      </c>
      <c r="B111" s="4">
        <f>$B$4*'NIFTY MEMBS'!C100</f>
        <v>23289.252814738993</v>
      </c>
      <c r="C111" s="4">
        <f>$C$4*'NIFTY MEMBS'!D100</f>
        <v>21610.312100338801</v>
      </c>
      <c r="D111" s="4">
        <f>$D$4*'NIFTY MEMBS'!E100</f>
        <v>23109.607068997931</v>
      </c>
      <c r="E111" s="4">
        <f>$E$4*'NIFTY MEMBS'!F100</f>
        <v>17015.161278556578</v>
      </c>
      <c r="F111" s="4">
        <f>$F$4*'NIFTY MEMBS'!G100</f>
        <v>22535.73793479531</v>
      </c>
      <c r="G111" s="4">
        <f>$G$4*'NIFTY MEMBS'!H100</f>
        <v>20012.607160867374</v>
      </c>
      <c r="H111" s="4">
        <f>$H$4*'NIFTY MEMBS'!I100</f>
        <v>16681.009296148735</v>
      </c>
      <c r="I111" s="4">
        <f>$I$4*'NIFTY MEMBS'!J100</f>
        <v>20500.409112441324</v>
      </c>
      <c r="J111" s="4">
        <f>$J$4*'NIFTY MEMBS'!K100</f>
        <v>26447.305812293627</v>
      </c>
      <c r="K111" s="4">
        <f>$K$4*'NIFTY MEMBS'!L100</f>
        <v>18955.04783539382</v>
      </c>
      <c r="L111" s="4">
        <f>$L$4*'NIFTY MEMBS'!M100</f>
        <v>19850.034083162918</v>
      </c>
      <c r="M111" s="4">
        <f>$M$4*'NIFTY MEMBS'!N100</f>
        <v>22151.441342576487</v>
      </c>
      <c r="N111" s="4">
        <f>$N$4*'NIFTY MEMBS'!O100</f>
        <v>19726.151849448412</v>
      </c>
      <c r="O111" s="4">
        <f>$O$4*'NIFTY MEMBS'!P100</f>
        <v>23231.939163498097</v>
      </c>
      <c r="P111" s="4">
        <f>$P$4*'NIFTY MEMBS'!Q100</f>
        <v>17281.832683909095</v>
      </c>
      <c r="Q111" s="4">
        <f>$Q$4*'NIFTY MEMBS'!R100</f>
        <v>17814.227889626709</v>
      </c>
      <c r="R111" s="4">
        <f>$R$4*'NIFTY MEMBS'!S100</f>
        <v>19954.573250633352</v>
      </c>
      <c r="S111" s="4">
        <f>$S$4*'NIFTY MEMBS'!T100</f>
        <v>22310.132487404368</v>
      </c>
      <c r="T111" s="4">
        <f>$T$4*'NIFTY MEMBS'!U100</f>
        <v>25753.615833544784</v>
      </c>
      <c r="U111" s="4">
        <f>$U$4*'NIFTY MEMBS'!V100</f>
        <v>22062.479831584125</v>
      </c>
      <c r="V111" s="4">
        <f>$V$4*'NIFTY MEMBS'!W100</f>
        <v>20293.720965083172</v>
      </c>
      <c r="W111" s="4">
        <f>$W$4*'NIFTY MEMBS'!X100</f>
        <v>16259.674502712478</v>
      </c>
      <c r="X111" s="4">
        <f>$X$4*'NIFTY MEMBS'!Y100</f>
        <v>23044.22745548535</v>
      </c>
      <c r="Y111" s="4">
        <f>$Y$4*'NIFTY MEMBS'!Z100</f>
        <v>20640.641485545475</v>
      </c>
      <c r="Z111" s="4">
        <f>$Z$4*'NIFTY MEMBS'!AA100</f>
        <v>26226.607689690372</v>
      </c>
      <c r="AA111" s="4">
        <f>$AA$4*'NIFTY MEMBS'!AB100</f>
        <v>22391.076260422993</v>
      </c>
      <c r="AB111" s="4">
        <f>$AB$4*'NIFTY MEMBS'!AC100</f>
        <v>16533.466533466533</v>
      </c>
      <c r="AC111" s="4">
        <f>$AC$4*'NIFTY MEMBS'!AD100</f>
        <v>18978.737113402065</v>
      </c>
      <c r="AD111" s="4">
        <f>$AD$4*'NIFTY MEMBS'!AE100</f>
        <v>19124.45779112446</v>
      </c>
      <c r="AE111" s="4">
        <f>$AE$4*'NIFTY MEMBS'!AF100</f>
        <v>20509.006870277044</v>
      </c>
      <c r="AF111" s="4">
        <f>$AF$4*'NIFTY MEMBS'!AG100</f>
        <v>20199.162562645084</v>
      </c>
      <c r="AG111" s="4">
        <f>$AG$4*'NIFTY MEMBS'!AH100</f>
        <v>20701.345755693583</v>
      </c>
      <c r="AH111" s="4">
        <f>$AH$4*'NIFTY MEMBS'!AI100</f>
        <v>22689.052387011125</v>
      </c>
      <c r="AI111" s="4">
        <f>$AI$4*'NIFTY MEMBS'!AJ100</f>
        <v>23644.873482521572</v>
      </c>
      <c r="AJ111" s="4">
        <f>$AJ$4*'NIFTY MEMBS'!AK100</f>
        <v>19142.7163737888</v>
      </c>
      <c r="AK111" s="4">
        <f>$AK$4*'NIFTY MEMBS'!AL100</f>
        <v>21409.004360911487</v>
      </c>
      <c r="AL111" s="4">
        <f>$AL$4*'NIFTY MEMBS'!AM100</f>
        <v>22064.151638589236</v>
      </c>
      <c r="AM111" s="4">
        <f>$AM$4*'NIFTY MEMBS'!AN100</f>
        <v>15769.554544747138</v>
      </c>
      <c r="AN111" s="4">
        <f>$AN$4*'NIFTY MEMBS'!AO100</f>
        <v>25754.070265638384</v>
      </c>
      <c r="AO111" s="4">
        <f>$AO$4*'NIFTY MEMBS'!AP100</f>
        <v>25139.338950097208</v>
      </c>
      <c r="AP111" s="4">
        <f>$AP$4*'NIFTY MEMBS'!AQ100</f>
        <v>22243.022177249346</v>
      </c>
      <c r="AQ111" s="4">
        <f>$AQ$4*'NIFTY MEMBS'!AR100</f>
        <v>18691.786248789507</v>
      </c>
      <c r="AR111" s="4">
        <f>$AR$4*'NIFTY MEMBS'!AS100</f>
        <v>19364.331959976458</v>
      </c>
      <c r="AS111" s="4">
        <f>$AS$4*'NIFTY MEMBS'!AT100</f>
        <v>19196.298331671111</v>
      </c>
      <c r="AT111" s="4">
        <f>$AT$4*'NIFTY MEMBS'!AU100</f>
        <v>22678.293046442701</v>
      </c>
      <c r="AU111" s="4">
        <f>$AU$4*'NIFTY MEMBS'!AV100</f>
        <v>24739.758774312726</v>
      </c>
      <c r="AV111" s="4">
        <f>$AV$4*'NIFTY MEMBS'!AW100</f>
        <v>18162.162162162163</v>
      </c>
      <c r="AW111" s="4">
        <f>$AW$4*'NIFTY MEMBS'!AX100</f>
        <v>20735.359135827544</v>
      </c>
      <c r="AX111" s="4">
        <f>$AX$4*'NIFTY MEMBS'!AY100</f>
        <v>16932.122962657315</v>
      </c>
      <c r="AY111" s="4">
        <f t="shared" si="10"/>
        <v>1023550.9006179033</v>
      </c>
      <c r="AZ111" s="4">
        <f t="shared" si="11"/>
        <v>104.44396945080648</v>
      </c>
    </row>
    <row r="112" spans="1:52" ht="14.25" customHeight="1" x14ac:dyDescent="0.3">
      <c r="A112" s="2">
        <v>45805</v>
      </c>
      <c r="B112" s="4">
        <f>$B$4*'NIFTY MEMBS'!C101</f>
        <v>23138.587512794267</v>
      </c>
      <c r="C112" s="4">
        <f>$C$4*'NIFTY MEMBS'!D101</f>
        <v>21578.900132379011</v>
      </c>
      <c r="D112" s="4">
        <f>$D$4*'NIFTY MEMBS'!E101</f>
        <v>23263.771385598793</v>
      </c>
      <c r="E112" s="4">
        <f>$E$4*'NIFTY MEMBS'!F101</f>
        <v>17010.297997544043</v>
      </c>
      <c r="F112" s="4">
        <f>$F$4*'NIFTY MEMBS'!G101</f>
        <v>22651.034160401978</v>
      </c>
      <c r="G112" s="4">
        <f>$G$4*'NIFTY MEMBS'!H101</f>
        <v>20084.467977811393</v>
      </c>
      <c r="H112" s="4">
        <f>$H$4*'NIFTY MEMBS'!I101</f>
        <v>16699.070385126161</v>
      </c>
      <c r="I112" s="4">
        <f>$I$4*'NIFTY MEMBS'!J101</f>
        <v>20343.654450712718</v>
      </c>
      <c r="J112" s="4">
        <f>$J$4*'NIFTY MEMBS'!K101</f>
        <v>26725.592259887821</v>
      </c>
      <c r="K112" s="4">
        <f>$K$4*'NIFTY MEMBS'!L101</f>
        <v>18356.559346468042</v>
      </c>
      <c r="L112" s="4">
        <f>$L$4*'NIFTY MEMBS'!M101</f>
        <v>19884.389911383776</v>
      </c>
      <c r="M112" s="4">
        <f>$M$4*'NIFTY MEMBS'!N101</f>
        <v>22003.336812897585</v>
      </c>
      <c r="N112" s="4">
        <f>$N$4*'NIFTY MEMBS'!O101</f>
        <v>19453.60155743024</v>
      </c>
      <c r="O112" s="4">
        <f>$O$4*'NIFTY MEMBS'!P101</f>
        <v>23197.271303958845</v>
      </c>
      <c r="P112" s="4">
        <f>$P$4*'NIFTY MEMBS'!Q101</f>
        <v>17336.227411804703</v>
      </c>
      <c r="Q112" s="4">
        <f>$Q$4*'NIFTY MEMBS'!R101</f>
        <v>17634.328950501334</v>
      </c>
      <c r="R112" s="4">
        <f>$R$4*'NIFTY MEMBS'!S101</f>
        <v>19634.83882239888</v>
      </c>
      <c r="S112" s="4">
        <f>$S$4*'NIFTY MEMBS'!T101</f>
        <v>22293.338309386083</v>
      </c>
      <c r="T112" s="4">
        <f>$T$4*'NIFTY MEMBS'!U101</f>
        <v>25658.462319208324</v>
      </c>
      <c r="U112" s="4">
        <f>$U$4*'NIFTY MEMBS'!V101</f>
        <v>21972.125328457059</v>
      </c>
      <c r="V112" s="4">
        <f>$V$4*'NIFTY MEMBS'!W101</f>
        <v>20383.635546231082</v>
      </c>
      <c r="W112" s="4">
        <f>$W$4*'NIFTY MEMBS'!X101</f>
        <v>16215.551537070527</v>
      </c>
      <c r="X112" s="4">
        <f>$X$4*'NIFTY MEMBS'!Y101</f>
        <v>23155.821777303681</v>
      </c>
      <c r="Y112" s="4">
        <f>$Y$4*'NIFTY MEMBS'!Z101</f>
        <v>20482.802278961808</v>
      </c>
      <c r="Z112" s="4">
        <f>$Z$4*'NIFTY MEMBS'!AA101</f>
        <v>26570.261993875472</v>
      </c>
      <c r="AA112" s="4">
        <f>$AA$4*'NIFTY MEMBS'!AB101</f>
        <v>22110.552763819094</v>
      </c>
      <c r="AB112" s="4">
        <f>$AB$4*'NIFTY MEMBS'!AC101</f>
        <v>16478.854478854479</v>
      </c>
      <c r="AC112" s="4">
        <f>$AC$4*'NIFTY MEMBS'!AD101</f>
        <v>18759.66494845361</v>
      </c>
      <c r="AD112" s="4">
        <f>$AD$4*'NIFTY MEMBS'!AE101</f>
        <v>19164.497831164499</v>
      </c>
      <c r="AE112" s="4">
        <f>$AE$4*'NIFTY MEMBS'!AF101</f>
        <v>20248.153720303642</v>
      </c>
      <c r="AF112" s="4">
        <f>$AF$4*'NIFTY MEMBS'!AG101</f>
        <v>19987.416744408041</v>
      </c>
      <c r="AG112" s="4">
        <f>$AG$4*'NIFTY MEMBS'!AH101</f>
        <v>20610.766045548655</v>
      </c>
      <c r="AH112" s="4">
        <f>$AH$4*'NIFTY MEMBS'!AI101</f>
        <v>22302.74197414763</v>
      </c>
      <c r="AI112" s="4">
        <f>$AI$4*'NIFTY MEMBS'!AJ101</f>
        <v>23583.443030568964</v>
      </c>
      <c r="AJ112" s="4">
        <f>$AJ$4*'NIFTY MEMBS'!AK101</f>
        <v>19073.739530300547</v>
      </c>
      <c r="AK112" s="4">
        <f>$AK$4*'NIFTY MEMBS'!AL101</f>
        <v>21109.26847245255</v>
      </c>
      <c r="AL112" s="4">
        <f>$AL$4*'NIFTY MEMBS'!AM101</f>
        <v>21806.235031625485</v>
      </c>
      <c r="AM112" s="4">
        <f>$AM$4*'NIFTY MEMBS'!AN101</f>
        <v>15729.93965803864</v>
      </c>
      <c r="AN112" s="4">
        <f>$AN$4*'NIFTY MEMBS'!AO101</f>
        <v>25812.624964295912</v>
      </c>
      <c r="AO112" s="4">
        <f>$AO$4*'NIFTY MEMBS'!AP101</f>
        <v>25581.659105638362</v>
      </c>
      <c r="AP112" s="4">
        <f>$AP$4*'NIFTY MEMBS'!AQ101</f>
        <v>21922.590437642295</v>
      </c>
      <c r="AQ112" s="4">
        <f>$AQ$4*'NIFTY MEMBS'!AR101</f>
        <v>18549.754966693079</v>
      </c>
      <c r="AR112" s="4">
        <f>$AR$4*'NIFTY MEMBS'!AS101</f>
        <v>19207.376888365707</v>
      </c>
      <c r="AS112" s="4">
        <f>$AS$4*'NIFTY MEMBS'!AT101</f>
        <v>18878.77986064467</v>
      </c>
      <c r="AT112" s="4">
        <f>$AT$4*'NIFTY MEMBS'!AU101</f>
        <v>22465.86606821647</v>
      </c>
      <c r="AU112" s="4">
        <f>$AU$4*'NIFTY MEMBS'!AV101</f>
        <v>24370.31402803434</v>
      </c>
      <c r="AV112" s="4">
        <f>$AV$4*'NIFTY MEMBS'!AW101</f>
        <v>18153.396639883125</v>
      </c>
      <c r="AW112" s="4">
        <f>$AW$4*'NIFTY MEMBS'!AX101</f>
        <v>20850.07229318771</v>
      </c>
      <c r="AX112" s="4">
        <f>$AX$4*'NIFTY MEMBS'!AY101</f>
        <v>16611.305962451002</v>
      </c>
      <c r="AY112" s="4">
        <f t="shared" si="10"/>
        <v>1019096.9449143325</v>
      </c>
      <c r="AZ112" s="4">
        <f t="shared" si="11"/>
        <v>103.98948417493187</v>
      </c>
    </row>
    <row r="113" spans="1:52" ht="14.25" customHeight="1" x14ac:dyDescent="0.3">
      <c r="A113" s="2">
        <v>45806</v>
      </c>
      <c r="B113" s="4">
        <f>$B$4*'NIFTY MEMBS'!C102</f>
        <v>23218.833162743089</v>
      </c>
      <c r="C113" s="4">
        <f>$C$4*'NIFTY MEMBS'!D102</f>
        <v>21623.774372321572</v>
      </c>
      <c r="D113" s="4">
        <f>$D$4*'NIFTY MEMBS'!E102</f>
        <v>23357.774017672495</v>
      </c>
      <c r="E113" s="4">
        <f>$E$4*'NIFTY MEMBS'!F102</f>
        <v>17012.243309949055</v>
      </c>
      <c r="F113" s="4">
        <f>$F$4*'NIFTY MEMBS'!G102</f>
        <v>22693.101702177384</v>
      </c>
      <c r="G113" s="4">
        <f>$G$4*'NIFTY MEMBS'!H102</f>
        <v>20104.639435199191</v>
      </c>
      <c r="H113" s="4">
        <f>$H$4*'NIFTY MEMBS'!I102</f>
        <v>16845.683930942894</v>
      </c>
      <c r="I113" s="4">
        <f>$I$4*'NIFTY MEMBS'!J102</f>
        <v>20384.135050170105</v>
      </c>
      <c r="J113" s="4">
        <f>$J$4*'NIFTY MEMBS'!K102</f>
        <v>26542.471125978689</v>
      </c>
      <c r="K113" s="4">
        <f>$K$4*'NIFTY MEMBS'!L102</f>
        <v>18293.21567428247</v>
      </c>
      <c r="L113" s="4">
        <f>$L$4*'NIFTY MEMBS'!M102</f>
        <v>19933.469665985005</v>
      </c>
      <c r="M113" s="4">
        <f>$M$4*'NIFTY MEMBS'!N102</f>
        <v>22112.184720251957</v>
      </c>
      <c r="N113" s="4">
        <f>$N$4*'NIFTY MEMBS'!O102</f>
        <v>19526.281635301752</v>
      </c>
      <c r="O113" s="4">
        <f>$O$4*'NIFTY MEMBS'!P102</f>
        <v>23278.908521583537</v>
      </c>
      <c r="P113" s="4">
        <f>$P$4*'NIFTY MEMBS'!Q102</f>
        <v>17413.635293809984</v>
      </c>
      <c r="Q113" s="4">
        <f>$Q$4*'NIFTY MEMBS'!R102</f>
        <v>17987.777454430008</v>
      </c>
      <c r="R113" s="4">
        <f>$R$4*'NIFTY MEMBS'!S102</f>
        <v>19689.001485105266</v>
      </c>
      <c r="S113" s="4">
        <f>$S$4*'NIFTY MEMBS'!T102</f>
        <v>22423.95969397276</v>
      </c>
      <c r="T113" s="4">
        <f>$T$4*'NIFTY MEMBS'!U102</f>
        <v>25512.560263892414</v>
      </c>
      <c r="U113" s="4">
        <f>$U$4*'NIFTY MEMBS'!V102</f>
        <v>22055.718610261694</v>
      </c>
      <c r="V113" s="4">
        <f>$V$4*'NIFTY MEMBS'!W102</f>
        <v>20341.675408362058</v>
      </c>
      <c r="W113" s="4">
        <f>$W$4*'NIFTY MEMBS'!X102</f>
        <v>16518.625678119352</v>
      </c>
      <c r="X113" s="4">
        <f>$X$4*'NIFTY MEMBS'!Y102</f>
        <v>23608.763436448669</v>
      </c>
      <c r="Y113" s="4">
        <f>$Y$4*'NIFTY MEMBS'!Z102</f>
        <v>20514.032496307238</v>
      </c>
      <c r="Z113" s="4">
        <f>$Z$4*'NIFTY MEMBS'!AA102</f>
        <v>26321.878189860501</v>
      </c>
      <c r="AA113" s="4">
        <f>$AA$4*'NIFTY MEMBS'!AB102</f>
        <v>22225.412778176596</v>
      </c>
      <c r="AB113" s="4">
        <f>$AB$4*'NIFTY MEMBS'!AC102</f>
        <v>16659.340659340658</v>
      </c>
      <c r="AC113" s="4">
        <f>$AC$4*'NIFTY MEMBS'!AD102</f>
        <v>18885.30927835052</v>
      </c>
      <c r="AD113" s="4">
        <f>$AD$4*'NIFTY MEMBS'!AE102</f>
        <v>19338.004671338003</v>
      </c>
      <c r="AE113" s="4">
        <f>$AE$4*'NIFTY MEMBS'!AF102</f>
        <v>20306.502451218745</v>
      </c>
      <c r="AF113" s="4">
        <f>$AF$4*'NIFTY MEMBS'!AG102</f>
        <v>19910.181589395354</v>
      </c>
      <c r="AG113" s="4">
        <f>$AG$4*'NIFTY MEMBS'!AH102</f>
        <v>20610.766045548655</v>
      </c>
      <c r="AH113" s="4">
        <f>$AH$4*'NIFTY MEMBS'!AI102</f>
        <v>22450.259076911734</v>
      </c>
      <c r="AI113" s="4">
        <f>$AI$4*'NIFTY MEMBS'!AJ102</f>
        <v>23858.417434547315</v>
      </c>
      <c r="AJ113" s="4">
        <f>$AJ$4*'NIFTY MEMBS'!AK102</f>
        <v>18909.5089505666</v>
      </c>
      <c r="AK113" s="4">
        <f>$AK$4*'NIFTY MEMBS'!AL102</f>
        <v>21076.510451855946</v>
      </c>
      <c r="AL113" s="4">
        <f>$AL$4*'NIFTY MEMBS'!AM102</f>
        <v>22021.165537428609</v>
      </c>
      <c r="AM113" s="4">
        <f>$AM$4*'NIFTY MEMBS'!AN102</f>
        <v>16007.243864998127</v>
      </c>
      <c r="AN113" s="4">
        <f>$AN$4*'NIFTY MEMBS'!AO102</f>
        <v>26063.981719508709</v>
      </c>
      <c r="AO113" s="4">
        <f>$AO$4*'NIFTY MEMBS'!AP102</f>
        <v>25304.601425793902</v>
      </c>
      <c r="AP113" s="4">
        <f>$AP$4*'NIFTY MEMBS'!AQ102</f>
        <v>21924.276920482331</v>
      </c>
      <c r="AQ113" s="4">
        <f>$AQ$4*'NIFTY MEMBS'!AR102</f>
        <v>18780.995979693049</v>
      </c>
      <c r="AR113" s="4">
        <f>$AR$4*'NIFTY MEMBS'!AS102</f>
        <v>19317.245438493232</v>
      </c>
      <c r="AS113" s="4">
        <f>$AS$4*'NIFTY MEMBS'!AT102</f>
        <v>18787.866452273851</v>
      </c>
      <c r="AT113" s="4">
        <f>$AT$4*'NIFTY MEMBS'!AU102</f>
        <v>22347.660733558321</v>
      </c>
      <c r="AU113" s="4">
        <f>$AU$4*'NIFTY MEMBS'!AV102</f>
        <v>24118.222318809083</v>
      </c>
      <c r="AV113" s="4">
        <f>$AV$4*'NIFTY MEMBS'!AW102</f>
        <v>18235.208181154128</v>
      </c>
      <c r="AW113" s="4">
        <f>$AW$4*'NIFTY MEMBS'!AX102</f>
        <v>20823.305889803672</v>
      </c>
      <c r="AX113" s="4">
        <f>$AX$4*'NIFTY MEMBS'!AY102</f>
        <v>17003.3010109346</v>
      </c>
      <c r="AY113" s="4">
        <f t="shared" si="10"/>
        <v>1022279.6331953109</v>
      </c>
      <c r="AZ113" s="4">
        <f t="shared" si="11"/>
        <v>104.31424828523581</v>
      </c>
    </row>
    <row r="114" spans="1:52" ht="14.25" customHeight="1" x14ac:dyDescent="0.3">
      <c r="A114" s="2">
        <v>45807</v>
      </c>
      <c r="B114" s="4">
        <f>$B$4*'NIFTY MEMBS'!C103</f>
        <v>23269.600818833162</v>
      </c>
      <c r="C114" s="4">
        <f>$C$4*'NIFTY MEMBS'!D103</f>
        <v>21818.977316071712</v>
      </c>
      <c r="D114" s="4">
        <f>$D$4*'NIFTY MEMBS'!E103</f>
        <v>23265.024754026446</v>
      </c>
      <c r="E114" s="4">
        <f>$E$4*'NIFTY MEMBS'!F103</f>
        <v>16843.487458814088</v>
      </c>
      <c r="F114" s="4">
        <f>$F$4*'NIFTY MEMBS'!G103</f>
        <v>22526.389592178552</v>
      </c>
      <c r="G114" s="4">
        <f>$G$4*'NIFTY MEMBS'!H103</f>
        <v>20481.593545133634</v>
      </c>
      <c r="H114" s="4">
        <f>$H$4*'NIFTY MEMBS'!I103</f>
        <v>16602.39043824701</v>
      </c>
      <c r="I114" s="4">
        <f>$I$4*'NIFTY MEMBS'!J103</f>
        <v>20225.657809741188</v>
      </c>
      <c r="J114" s="4">
        <f>$J$4*'NIFTY MEMBS'!K103</f>
        <v>26474.701887445386</v>
      </c>
      <c r="K114" s="4">
        <f>$K$4*'NIFTY MEMBS'!L103</f>
        <v>18262.635970468742</v>
      </c>
      <c r="L114" s="4">
        <f>$L$4*'NIFTY MEMBS'!M103</f>
        <v>20041.445126107701</v>
      </c>
      <c r="M114" s="4">
        <f>$M$4*'NIFTY MEMBS'!N103</f>
        <v>21981.92410981148</v>
      </c>
      <c r="N114" s="4">
        <f>$N$4*'NIFTY MEMBS'!O103</f>
        <v>19317.326411421156</v>
      </c>
      <c r="O114" s="4">
        <f>$O$4*'NIFTY MEMBS'!P103</f>
        <v>23201.744576157456</v>
      </c>
      <c r="P114" s="4">
        <f>$P$4*'NIFTY MEMBS'!Q103</f>
        <v>17119.694552681816</v>
      </c>
      <c r="Q114" s="4">
        <f>$Q$4*'NIFTY MEMBS'!R103</f>
        <v>17752.850604513344</v>
      </c>
      <c r="R114" s="4">
        <f>$R$4*'NIFTY MEMBS'!S103</f>
        <v>19585.917707696339</v>
      </c>
      <c r="S114" s="4">
        <f>$S$4*'NIFTY MEMBS'!T103</f>
        <v>22246.68781489084</v>
      </c>
      <c r="T114" s="4">
        <f>$T$4*'NIFTY MEMBS'!U103</f>
        <v>25595.026642984012</v>
      </c>
      <c r="U114" s="4">
        <f>$U$4*'NIFTY MEMBS'!V103</f>
        <v>21851.038001137116</v>
      </c>
      <c r="V114" s="4">
        <f>$V$4*'NIFTY MEMBS'!W103</f>
        <v>20014.985763524652</v>
      </c>
      <c r="W114" s="4">
        <f>$W$4*'NIFTY MEMBS'!X103</f>
        <v>17237.613019891502</v>
      </c>
      <c r="X114" s="4">
        <f>$X$4*'NIFTY MEMBS'!Y103</f>
        <v>23513.580044309507</v>
      </c>
      <c r="Y114" s="4">
        <f>$Y$4*'NIFTY MEMBS'!Z103</f>
        <v>20206.794682422453</v>
      </c>
      <c r="Z114" s="4">
        <f>$Z$4*'NIFTY MEMBS'!AA103</f>
        <v>26172.167403878877</v>
      </c>
      <c r="AA114" s="4">
        <f>$AA$4*'NIFTY MEMBS'!AB103</f>
        <v>21944.889281572698</v>
      </c>
      <c r="AB114" s="4">
        <f>$AB$4*'NIFTY MEMBS'!AC103</f>
        <v>16628.038628038626</v>
      </c>
      <c r="AC114" s="4">
        <f>$AC$4*'NIFTY MEMBS'!AD103</f>
        <v>18669.458762886599</v>
      </c>
      <c r="AD114" s="4">
        <f>$AD$4*'NIFTY MEMBS'!AE103</f>
        <v>19205.872539205873</v>
      </c>
      <c r="AE114" s="4">
        <f>$AE$4*'NIFTY MEMBS'!AF103</f>
        <v>19694.41282299169</v>
      </c>
      <c r="AF114" s="4">
        <f>$AF$4*'NIFTY MEMBS'!AG103</f>
        <v>19604.712212266502</v>
      </c>
      <c r="AG114" s="4">
        <f>$AG$4*'NIFTY MEMBS'!AH103</f>
        <v>20564.182194616977</v>
      </c>
      <c r="AH114" s="4">
        <f>$AH$4*'NIFTY MEMBS'!AI103</f>
        <v>22092.530102708784</v>
      </c>
      <c r="AI114" s="4">
        <f>$AI$4*'NIFTY MEMBS'!AJ103</f>
        <v>23551.265174784261</v>
      </c>
      <c r="AJ114" s="4">
        <f>$AJ$4*'NIFTY MEMBS'!AK103</f>
        <v>18830.678272294303</v>
      </c>
      <c r="AK114" s="4">
        <f>$AK$4*'NIFTY MEMBS'!AL103</f>
        <v>20848.842208709539</v>
      </c>
      <c r="AL114" s="4">
        <f>$AL$4*'NIFTY MEMBS'!AM103</f>
        <v>21834.892432399236</v>
      </c>
      <c r="AM114" s="4">
        <f>$AM$4*'NIFTY MEMBS'!AN103</f>
        <v>15969.043795672074</v>
      </c>
      <c r="AN114" s="4">
        <f>$AN$4*'NIFTY MEMBS'!AO103</f>
        <v>25881.176806626674</v>
      </c>
      <c r="AO114" s="4">
        <f>$AO$4*'NIFTY MEMBS'!AP103</f>
        <v>25173.363577446529</v>
      </c>
      <c r="AP114" s="4">
        <f>$AP$4*'NIFTY MEMBS'!AQ103</f>
        <v>21367.737583270089</v>
      </c>
      <c r="AQ114" s="4">
        <f>$AQ$4*'NIFTY MEMBS'!AR103</f>
        <v>18474.630982774306</v>
      </c>
      <c r="AR114" s="4">
        <f>$AR$4*'NIFTY MEMBS'!AS103</f>
        <v>19170.754038323197</v>
      </c>
      <c r="AS114" s="4">
        <f>$AS$4*'NIFTY MEMBS'!AT103</f>
        <v>18672.528546131769</v>
      </c>
      <c r="AT114" s="4">
        <f>$AT$4*'NIFTY MEMBS'!AU103</f>
        <v>21905.675569184383</v>
      </c>
      <c r="AU114" s="4">
        <f>$AU$4*'NIFTY MEMBS'!AV103</f>
        <v>24042.160165163532</v>
      </c>
      <c r="AV114" s="4">
        <f>$AV$4*'NIFTY MEMBS'!AW103</f>
        <v>18279.035792549308</v>
      </c>
      <c r="AW114" s="4">
        <f>$AW$4*'NIFTY MEMBS'!AX103</f>
        <v>20597.22537550635</v>
      </c>
      <c r="AX114" s="4">
        <f>$AX$4*'NIFTY MEMBS'!AY103</f>
        <v>16854.755518877661</v>
      </c>
      <c r="AY114" s="4">
        <f t="shared" si="10"/>
        <v>1015467.118436389</v>
      </c>
      <c r="AZ114" s="4">
        <f t="shared" si="11"/>
        <v>103.61909371799889</v>
      </c>
    </row>
    <row r="115" spans="1:52" ht="14.25" customHeight="1" x14ac:dyDescent="0.3">
      <c r="A115" s="2">
        <v>45810</v>
      </c>
      <c r="B115" s="4">
        <f>$B$4*'NIFTY MEMBS'!C104</f>
        <v>23151.688843398158</v>
      </c>
      <c r="C115" s="4">
        <f>$C$4*'NIFTY MEMBS'!D104</f>
        <v>21675.379748255513</v>
      </c>
      <c r="D115" s="4">
        <f>$D$4*'NIFTY MEMBS'!E104</f>
        <v>23238.704017045809</v>
      </c>
      <c r="E115" s="4">
        <f>$E$4*'NIFTY MEMBS'!F104</f>
        <v>16777.346837043613</v>
      </c>
      <c r="F115" s="4">
        <f>$F$4*'NIFTY MEMBS'!G104</f>
        <v>22599.618276009813</v>
      </c>
      <c r="G115" s="4">
        <f>$G$4*'NIFTY MEMBS'!H104</f>
        <v>20515.632879475539</v>
      </c>
      <c r="H115" s="4">
        <f>$H$4*'NIFTY MEMBS'!I104</f>
        <v>16507.835325365206</v>
      </c>
      <c r="I115" s="4">
        <f>$I$4*'NIFTY MEMBS'!J104</f>
        <v>20426.338228327808</v>
      </c>
      <c r="J115" s="4">
        <f>$J$4*'NIFTY MEMBS'!K104</f>
        <v>26295.906449612852</v>
      </c>
      <c r="K115" s="4">
        <f>$K$4*'NIFTY MEMBS'!L104</f>
        <v>18317.242584421823</v>
      </c>
      <c r="L115" s="4">
        <f>$L$4*'NIFTY MEMBS'!M104</f>
        <v>20065.985003408314</v>
      </c>
      <c r="M115" s="4">
        <f>$M$4*'NIFTY MEMBS'!N104</f>
        <v>21930.17674402006</v>
      </c>
      <c r="N115" s="4">
        <f>$N$4*'NIFTY MEMBS'!O104</f>
        <v>19635.950681375729</v>
      </c>
      <c r="O115" s="4">
        <f>$O$4*'NIFTY MEMBS'!P104</f>
        <v>23077.611272645936</v>
      </c>
      <c r="P115" s="4">
        <f>$P$4*'NIFTY MEMBS'!Q104</f>
        <v>17066.345877245745</v>
      </c>
      <c r="Q115" s="4">
        <f>$Q$4*'NIFTY MEMBS'!R104</f>
        <v>17721.103732902986</v>
      </c>
      <c r="R115" s="4">
        <f>$R$4*'NIFTY MEMBS'!S104</f>
        <v>19559.709967677121</v>
      </c>
      <c r="S115" s="4">
        <f>$S$4*'NIFTY MEMBS'!T104</f>
        <v>22287.740250046652</v>
      </c>
      <c r="T115" s="4">
        <f>$T$4*'NIFTY MEMBS'!U104</f>
        <v>25742.197411824407</v>
      </c>
      <c r="U115" s="4">
        <f>$U$4*'NIFTY MEMBS'!V104</f>
        <v>21669.714338399128</v>
      </c>
      <c r="V115" s="4">
        <f>$V$4*'NIFTY MEMBS'!W104</f>
        <v>19934.062640491535</v>
      </c>
      <c r="W115" s="4">
        <f>$W$4*'NIFTY MEMBS'!X104</f>
        <v>17446.654611211572</v>
      </c>
      <c r="X115" s="4">
        <f>$X$4*'NIFTY MEMBS'!Y104</f>
        <v>24091.244769016161</v>
      </c>
      <c r="Y115" s="4">
        <f>$Y$4*'NIFTY MEMBS'!Z104</f>
        <v>20114.792150242669</v>
      </c>
      <c r="Z115" s="4">
        <f>$Z$4*'NIFTY MEMBS'!AA104</f>
        <v>26369.513439945564</v>
      </c>
      <c r="AA115" s="4">
        <f>$AA$4*'NIFTY MEMBS'!AB104</f>
        <v>21620.188856369761</v>
      </c>
      <c r="AB115" s="4">
        <f>$AB$4*'NIFTY MEMBS'!AC104</f>
        <v>16495.504495504494</v>
      </c>
      <c r="AC115" s="4">
        <f>$AC$4*'NIFTY MEMBS'!AD104</f>
        <v>18882.087628865982</v>
      </c>
      <c r="AD115" s="4">
        <f>$AD$4*'NIFTY MEMBS'!AE104</f>
        <v>18994.994994994995</v>
      </c>
      <c r="AE115" s="4">
        <f>$AE$4*'NIFTY MEMBS'!AF104</f>
        <v>19480.46747630298</v>
      </c>
      <c r="AF115" s="4">
        <f>$AF$4*'NIFTY MEMBS'!AG104</f>
        <v>19670.665827782956</v>
      </c>
      <c r="AG115" s="4">
        <f>$AG$4*'NIFTY MEMBS'!AH104</f>
        <v>20688.405797101448</v>
      </c>
      <c r="AH115" s="4">
        <f>$AH$4*'NIFTY MEMBS'!AI104</f>
        <v>22185.650273828625</v>
      </c>
      <c r="AI115" s="4">
        <f>$AI$4*'NIFTY MEMBS'!AJ104</f>
        <v>23261.66447272195</v>
      </c>
      <c r="AJ115" s="4">
        <f>$AJ$4*'NIFTY MEMBS'!AK104</f>
        <v>18817.539825915588</v>
      </c>
      <c r="AK115" s="4">
        <f>$AK$4*'NIFTY MEMBS'!AL104</f>
        <v>20671.129946972953</v>
      </c>
      <c r="AL115" s="4">
        <f>$AL$4*'NIFTY MEMBS'!AM104</f>
        <v>21947.475078296109</v>
      </c>
      <c r="AM115" s="4">
        <f>$AM$4*'NIFTY MEMBS'!AN104</f>
        <v>15906.791830844435</v>
      </c>
      <c r="AN115" s="4">
        <f>$AN$4*'NIFTY MEMBS'!AO104</f>
        <v>25742.64495858326</v>
      </c>
      <c r="AO115" s="4">
        <f>$AO$4*'NIFTY MEMBS'!AP104</f>
        <v>24844.458846403108</v>
      </c>
      <c r="AP115" s="4">
        <f>$AP$4*'NIFTY MEMBS'!AQ104</f>
        <v>21286.786406948308</v>
      </c>
      <c r="AQ115" s="4">
        <f>$AQ$4*'NIFTY MEMBS'!AR104</f>
        <v>18183.525545089062</v>
      </c>
      <c r="AR115" s="4">
        <f>$AR$4*'NIFTY MEMBS'!AS104</f>
        <v>19229.612190177228</v>
      </c>
      <c r="AS115" s="4">
        <f>$AS$4*'NIFTY MEMBS'!AT104</f>
        <v>18767.512704131132</v>
      </c>
      <c r="AT115" s="4">
        <f>$AT$4*'NIFTY MEMBS'!AU104</f>
        <v>22015.31529988179</v>
      </c>
      <c r="AU115" s="4">
        <f>$AU$4*'NIFTY MEMBS'!AV104</f>
        <v>24348.58198413561</v>
      </c>
      <c r="AV115" s="4">
        <f>$AV$4*'NIFTY MEMBS'!AW104</f>
        <v>18227.903579254933</v>
      </c>
      <c r="AW115" s="4">
        <f>$AW$4*'NIFTY MEMBS'!AX104</f>
        <v>20229.187328975826</v>
      </c>
      <c r="AX115" s="4">
        <f>$AX$4*'NIFTY MEMBS'!AY104</f>
        <v>16767.072415927381</v>
      </c>
      <c r="AY115" s="4">
        <f t="shared" si="10"/>
        <v>1014483.6638444198</v>
      </c>
      <c r="AZ115" s="4">
        <f t="shared" si="11"/>
        <v>103.51874120861426</v>
      </c>
    </row>
    <row r="116" spans="1:52" ht="14.25" customHeight="1" x14ac:dyDescent="0.3">
      <c r="A116" s="2">
        <v>45811</v>
      </c>
      <c r="B116" s="4">
        <f>$B$4*'NIFTY MEMBS'!C105</f>
        <v>23017.40020470829</v>
      </c>
      <c r="C116" s="4">
        <f>$C$4*'NIFTY MEMBS'!D105</f>
        <v>21591.240548363214</v>
      </c>
      <c r="D116" s="4">
        <f>$D$4*'NIFTY MEMBS'!E105</f>
        <v>23078.272858306696</v>
      </c>
      <c r="E116" s="4">
        <f>$E$4*'NIFTY MEMBS'!F105</f>
        <v>16560.444503884544</v>
      </c>
      <c r="F116" s="4">
        <f>$F$4*'NIFTY MEMBS'!G105</f>
        <v>22403.303081057922</v>
      </c>
      <c r="G116" s="4">
        <f>$G$4*'NIFTY MEMBS'!H105</f>
        <v>20418.557740796768</v>
      </c>
      <c r="H116" s="4">
        <f>$H$4*'NIFTY MEMBS'!I105</f>
        <v>16393.09428950863</v>
      </c>
      <c r="I116" s="4">
        <f>$I$4*'NIFTY MEMBS'!J105</f>
        <v>20260.109383747473</v>
      </c>
      <c r="J116" s="4">
        <f>$J$4*'NIFTY MEMBS'!K105</f>
        <v>25893.616714489639</v>
      </c>
      <c r="K116" s="4">
        <f>$K$4*'NIFTY MEMBS'!L105</f>
        <v>18214.582150190028</v>
      </c>
      <c r="L116" s="4">
        <f>$L$4*'NIFTY MEMBS'!M105</f>
        <v>19876.209952283571</v>
      </c>
      <c r="M116" s="4">
        <f>$M$4*'NIFTY MEMBS'!N105</f>
        <v>21641.105252357629</v>
      </c>
      <c r="N116" s="4">
        <f>$N$4*'NIFTY MEMBS'!O105</f>
        <v>19769.630110317976</v>
      </c>
      <c r="O116" s="4">
        <f>$O$4*'NIFTY MEMBS'!P105</f>
        <v>22864.012525162154</v>
      </c>
      <c r="P116" s="4">
        <f>$P$4*'NIFTY MEMBS'!Q105</f>
        <v>17054.839300190906</v>
      </c>
      <c r="Q116" s="4">
        <f>$Q$4*'NIFTY MEMBS'!R105</f>
        <v>17645.969470091801</v>
      </c>
      <c r="R116" s="4">
        <f>$R$4*'NIFTY MEMBS'!S105</f>
        <v>19280.160740805451</v>
      </c>
      <c r="S116" s="4">
        <f>$S$4*'NIFTY MEMBS'!T105</f>
        <v>22047.023698451205</v>
      </c>
      <c r="T116" s="4">
        <f>$T$4*'NIFTY MEMBS'!U105</f>
        <v>25271.50469424004</v>
      </c>
      <c r="U116" s="4">
        <f>$U$4*'NIFTY MEMBS'!V105</f>
        <v>21634.678918819249</v>
      </c>
      <c r="V116" s="4">
        <f>$V$4*'NIFTY MEMBS'!W105</f>
        <v>19676.307507867525</v>
      </c>
      <c r="W116" s="4">
        <f>$W$4*'NIFTY MEMBS'!X105</f>
        <v>17193.490054249549</v>
      </c>
      <c r="X116" s="4">
        <f>$X$4*'NIFTY MEMBS'!Y105</f>
        <v>23505.374579469924</v>
      </c>
      <c r="Y116" s="4">
        <f>$Y$4*'NIFTY MEMBS'!Z105</f>
        <v>20027.009917704159</v>
      </c>
      <c r="Z116" s="4">
        <f>$Z$4*'NIFTY MEMBS'!AA105</f>
        <v>26267.437904049002</v>
      </c>
      <c r="AA116" s="4">
        <f>$AA$4*'NIFTY MEMBS'!AB105</f>
        <v>21509.74653487216</v>
      </c>
      <c r="AB116" s="4">
        <f>$AB$4*'NIFTY MEMBS'!AC105</f>
        <v>16398.268398268399</v>
      </c>
      <c r="AC116" s="4">
        <f>$AC$4*'NIFTY MEMBS'!AD105</f>
        <v>18572.809278350516</v>
      </c>
      <c r="AD116" s="4">
        <f>$AD$4*'NIFTY MEMBS'!AE105</f>
        <v>18788.121454788121</v>
      </c>
      <c r="AE116" s="4">
        <f>$AE$4*'NIFTY MEMBS'!AF105</f>
        <v>19593.73265984406</v>
      </c>
      <c r="AF116" s="4">
        <f>$AF$4*'NIFTY MEMBS'!AG105</f>
        <v>19575.206647430194</v>
      </c>
      <c r="AG116" s="4">
        <f>$AG$4*'NIFTY MEMBS'!AH105</f>
        <v>20333.850931677021</v>
      </c>
      <c r="AH116" s="4">
        <f>$AH$4*'NIFTY MEMBS'!AI105</f>
        <v>22048.274971879557</v>
      </c>
      <c r="AI116" s="4">
        <f>$AI$4*'NIFTY MEMBS'!AJ105</f>
        <v>23014.480035103112</v>
      </c>
      <c r="AJ116" s="4">
        <f>$AJ$4*'NIFTY MEMBS'!AK105</f>
        <v>18650.02463458696</v>
      </c>
      <c r="AK116" s="4">
        <f>$AK$4*'NIFTY MEMBS'!AL105</f>
        <v>20902.892942693936</v>
      </c>
      <c r="AL116" s="4">
        <f>$AL$4*'NIFTY MEMBS'!AM105</f>
        <v>21918.817677522362</v>
      </c>
      <c r="AM116" s="4">
        <f>$AM$4*'NIFTY MEMBS'!AN105</f>
        <v>15817.658335750313</v>
      </c>
      <c r="AN116" s="4">
        <f>$AN$4*'NIFTY MEMBS'!AO105</f>
        <v>25354.184518708935</v>
      </c>
      <c r="AO116" s="4">
        <f>$AO$4*'NIFTY MEMBS'!AP105</f>
        <v>24559.300064808809</v>
      </c>
      <c r="AP116" s="4">
        <f>$AP$4*'NIFTY MEMBS'!AQ105</f>
        <v>21317.143098068977</v>
      </c>
      <c r="AQ116" s="4">
        <f>$AQ$4*'NIFTY MEMBS'!AR105</f>
        <v>18121.313495906328</v>
      </c>
      <c r="AR116" s="4">
        <f>$AR$4*'NIFTY MEMBS'!AS105</f>
        <v>19268.850958079918</v>
      </c>
      <c r="AS116" s="4">
        <f>$AS$4*'NIFTY MEMBS'!AT105</f>
        <v>18487.987896304436</v>
      </c>
      <c r="AT116" s="4">
        <f>$AT$4*'NIFTY MEMBS'!AU105</f>
        <v>22210.611070186555</v>
      </c>
      <c r="AU116" s="4">
        <f>$AU$4*'NIFTY MEMBS'!AV105</f>
        <v>24222.536129522981</v>
      </c>
      <c r="AV116" s="4">
        <f>$AV$4*'NIFTY MEMBS'!AW105</f>
        <v>18236.669101533967</v>
      </c>
      <c r="AW116" s="4">
        <f>$AW$4*'NIFTY MEMBS'!AX105</f>
        <v>20115.908086082665</v>
      </c>
      <c r="AX116" s="4">
        <f>$AX$4*'NIFTY MEMBS'!AY105</f>
        <v>16522.59129358366</v>
      </c>
      <c r="AY116" s="4">
        <f t="shared" si="10"/>
        <v>1007126.3563166674</v>
      </c>
      <c r="AZ116" s="4">
        <f t="shared" si="11"/>
        <v>102.76799554251707</v>
      </c>
    </row>
    <row r="117" spans="1:52" ht="14.25" customHeight="1" x14ac:dyDescent="0.3">
      <c r="A117" s="2">
        <v>45812</v>
      </c>
      <c r="B117" s="4">
        <f>$B$4*'NIFTY MEMBS'!C106</f>
        <v>23312.180143295802</v>
      </c>
      <c r="C117" s="4">
        <f>$C$4*'NIFTY MEMBS'!D106</f>
        <v>21777.468644124841</v>
      </c>
      <c r="D117" s="4">
        <f>$D$4*'NIFTY MEMBS'!E106</f>
        <v>23505.671492135112</v>
      </c>
      <c r="E117" s="4">
        <f>$E$4*'NIFTY MEMBS'!F106</f>
        <v>16442.266775279943</v>
      </c>
      <c r="F117" s="4">
        <f>$F$4*'NIFTY MEMBS'!G106</f>
        <v>22295.797140965216</v>
      </c>
      <c r="G117" s="4">
        <f>$G$4*'NIFTY MEMBS'!H106</f>
        <v>20335.350479072113</v>
      </c>
      <c r="H117" s="4">
        <f>$H$4*'NIFTY MEMBS'!I106</f>
        <v>16480.212483399733</v>
      </c>
      <c r="I117" s="4">
        <f>$I$4*'NIFTY MEMBS'!J106</f>
        <v>20365.186684466647</v>
      </c>
      <c r="J117" s="4">
        <f>$J$4*'NIFTY MEMBS'!K106</f>
        <v>25916.687093564808</v>
      </c>
      <c r="K117" s="4">
        <f>$K$4*'NIFTY MEMBS'!L106</f>
        <v>18216.766414748152</v>
      </c>
      <c r="L117" s="4">
        <f>$L$4*'NIFTY MEMBS'!M106</f>
        <v>19776.414451261076</v>
      </c>
      <c r="M117" s="4">
        <f>$M$4*'NIFTY MEMBS'!N106</f>
        <v>21703.558969692105</v>
      </c>
      <c r="N117" s="4">
        <f>$N$4*'NIFTY MEMBS'!O106</f>
        <v>19814.40622972096</v>
      </c>
      <c r="O117" s="4">
        <f>$O$4*'NIFTY MEMBS'!P106</f>
        <v>22884.142250055913</v>
      </c>
      <c r="P117" s="4">
        <f>$P$4*'NIFTY MEMBS'!Q106</f>
        <v>17009.859044431076</v>
      </c>
      <c r="Q117" s="4">
        <f>$Q$4*'NIFTY MEMBS'!R106</f>
        <v>17618.455514696154</v>
      </c>
      <c r="R117" s="4">
        <f>$R$4*'NIFTY MEMBS'!S106</f>
        <v>19276.666375469555</v>
      </c>
      <c r="S117" s="4">
        <f>$S$4*'NIFTY MEMBS'!T106</f>
        <v>21851.091621571191</v>
      </c>
      <c r="T117" s="4">
        <f>$T$4*'NIFTY MEMBS'!U106</f>
        <v>24817.305252473987</v>
      </c>
      <c r="U117" s="4">
        <f>$U$4*'NIFTY MEMBS'!V106</f>
        <v>21511.747622047729</v>
      </c>
      <c r="V117" s="4">
        <f>$V$4*'NIFTY MEMBS'!W106</f>
        <v>19736.250561966131</v>
      </c>
      <c r="W117" s="4">
        <f>$W$4*'NIFTY MEMBS'!X106</f>
        <v>17770.705244122968</v>
      </c>
      <c r="X117" s="4">
        <f>$X$4*'NIFTY MEMBS'!Y106</f>
        <v>23569.377205218672</v>
      </c>
      <c r="Y117" s="4">
        <f>$Y$4*'NIFTY MEMBS'!Z106</f>
        <v>20092.846592108042</v>
      </c>
      <c r="Z117" s="4">
        <f>$Z$4*'NIFTY MEMBS'!AA106</f>
        <v>26580.469547465131</v>
      </c>
      <c r="AA117" s="4">
        <f>$AA$4*'NIFTY MEMBS'!AB106</f>
        <v>21393.782097299685</v>
      </c>
      <c r="AB117" s="4">
        <f>$AB$4*'NIFTY MEMBS'!AC106</f>
        <v>16440.892440892439</v>
      </c>
      <c r="AC117" s="4">
        <f>$AC$4*'NIFTY MEMBS'!AD106</f>
        <v>18592.139175257733</v>
      </c>
      <c r="AD117" s="4">
        <f>$AD$4*'NIFTY MEMBS'!AE106</f>
        <v>18929.596262929594</v>
      </c>
      <c r="AE117" s="4">
        <f>$AE$4*'NIFTY MEMBS'!AF106</f>
        <v>19594.876752607102</v>
      </c>
      <c r="AF117" s="4">
        <f>$AF$4*'NIFTY MEMBS'!AG106</f>
        <v>19517.063328488057</v>
      </c>
      <c r="AG117" s="4">
        <f>$AG$4*'NIFTY MEMBS'!AH106</f>
        <v>20424.430641821949</v>
      </c>
      <c r="AH117" s="4">
        <f>$AH$4*'NIFTY MEMBS'!AI106</f>
        <v>22104.515867308368</v>
      </c>
      <c r="AI117" s="4">
        <f>$AI$4*'NIFTY MEMBS'!AJ106</f>
        <v>23135.878309199939</v>
      </c>
      <c r="AJ117" s="4">
        <f>$AJ$4*'NIFTY MEMBS'!AK106</f>
        <v>19073.739530300547</v>
      </c>
      <c r="AK117" s="4">
        <f>$AK$4*'NIFTY MEMBS'!AL106</f>
        <v>20880.781278791226</v>
      </c>
      <c r="AL117" s="4">
        <f>$AL$4*'NIFTY MEMBS'!AM106</f>
        <v>21777.577630851738</v>
      </c>
      <c r="AM117" s="4">
        <f>$AM$4*'NIFTY MEMBS'!AN106</f>
        <v>15581.383832881771</v>
      </c>
      <c r="AN117" s="4">
        <f>$AN$4*'NIFTY MEMBS'!AO106</f>
        <v>25362.753499000282</v>
      </c>
      <c r="AO117" s="4">
        <f>$AO$4*'NIFTY MEMBS'!AP106</f>
        <v>24588.464031108226</v>
      </c>
      <c r="AP117" s="4">
        <f>$AP$4*'NIFTY MEMBS'!AQ106</f>
        <v>21447.002276751831</v>
      </c>
      <c r="AQ117" s="4">
        <f>$AQ$4*'NIFTY MEMBS'!AR106</f>
        <v>18272.735275992607</v>
      </c>
      <c r="AR117" s="4">
        <f>$AR$4*'NIFTY MEMBS'!AS106</f>
        <v>19251.847491988752</v>
      </c>
      <c r="AS117" s="4">
        <f>$AS$4*'NIFTY MEMBS'!AT106</f>
        <v>18603.325802446521</v>
      </c>
      <c r="AT117" s="4">
        <f>$AT$4*'NIFTY MEMBS'!AU106</f>
        <v>21969.061038493823</v>
      </c>
      <c r="AU117" s="4">
        <f>$AU$4*'NIFTY MEMBS'!AV106</f>
        <v>24435.510159730526</v>
      </c>
      <c r="AV117" s="4">
        <f>$AV$4*'NIFTY MEMBS'!AW106</f>
        <v>18289.262235208182</v>
      </c>
      <c r="AW117" s="4">
        <f>$AW$4*'NIFTY MEMBS'!AX106</f>
        <v>20077.670366962611</v>
      </c>
      <c r="AX117" s="4">
        <f>$AX$4*'NIFTY MEMBS'!AY106</f>
        <v>16801.114091190429</v>
      </c>
      <c r="AY117" s="4">
        <f t="shared" si="10"/>
        <v>1009206.2872508571</v>
      </c>
      <c r="AZ117" s="4">
        <f t="shared" si="11"/>
        <v>102.9802333929446</v>
      </c>
    </row>
    <row r="118" spans="1:52" ht="14.25" customHeight="1" x14ac:dyDescent="0.3">
      <c r="A118" s="2">
        <v>45813</v>
      </c>
      <c r="B118" s="4">
        <f>$B$4*'NIFTY MEMBS'!C107</f>
        <v>23621.699078812693</v>
      </c>
      <c r="C118" s="4">
        <f>$C$4*'NIFTY MEMBS'!D107</f>
        <v>21871.704548004218</v>
      </c>
      <c r="D118" s="4">
        <f>$D$4*'NIFTY MEMBS'!E107</f>
        <v>23548.28601867519</v>
      </c>
      <c r="E118" s="4">
        <f>$E$4*'NIFTY MEMBS'!F107</f>
        <v>16394.606621357099</v>
      </c>
      <c r="F118" s="4">
        <f>$F$4*'NIFTY MEMBS'!G107</f>
        <v>22666.614731429905</v>
      </c>
      <c r="G118" s="4">
        <f>$G$4*'NIFTY MEMBS'!H107</f>
        <v>20322.743318204739</v>
      </c>
      <c r="H118" s="4">
        <f>$H$4*'NIFTY MEMBS'!I107</f>
        <v>16513.147410358564</v>
      </c>
      <c r="I118" s="4">
        <f>$I$4*'NIFTY MEMBS'!J107</f>
        <v>20467.680117135355</v>
      </c>
      <c r="J118" s="4">
        <f>$J$4*'NIFTY MEMBS'!K107</f>
        <v>25763.84583219183</v>
      </c>
      <c r="K118" s="4">
        <f>$K$4*'NIFTY MEMBS'!L107</f>
        <v>18308.505526189332</v>
      </c>
      <c r="L118" s="4">
        <f>$L$4*'NIFTY MEMBS'!M107</f>
        <v>19864.212678936605</v>
      </c>
      <c r="M118" s="4">
        <f>$M$4*'NIFTY MEMBS'!N107</f>
        <v>21637.536468509945</v>
      </c>
      <c r="N118" s="4">
        <f>$N$4*'NIFTY MEMBS'!O107</f>
        <v>19737.832576249188</v>
      </c>
      <c r="O118" s="4">
        <f>$O$4*'NIFTY MEMBS'!P107</f>
        <v>22812.569894878103</v>
      </c>
      <c r="P118" s="4">
        <f>$P$4*'NIFTY MEMBS'!Q107</f>
        <v>17075.760349381522</v>
      </c>
      <c r="Q118" s="4">
        <f>$Q$4*'NIFTY MEMBS'!R107</f>
        <v>17811.053202465671</v>
      </c>
      <c r="R118" s="4">
        <f>$R$4*'NIFTY MEMBS'!S107</f>
        <v>19496.811391630996</v>
      </c>
      <c r="S118" s="4">
        <f>$S$4*'NIFTY MEMBS'!T107</f>
        <v>21627.169247994028</v>
      </c>
      <c r="T118" s="4">
        <f>$T$4*'NIFTY MEMBS'!U107</f>
        <v>24663.790916011163</v>
      </c>
      <c r="U118" s="4">
        <f>$U$4*'NIFTY MEMBS'!V107</f>
        <v>21537.563194369748</v>
      </c>
      <c r="V118" s="4">
        <f>$V$4*'NIFTY MEMBS'!W107</f>
        <v>19700.284729506966</v>
      </c>
      <c r="W118" s="4">
        <f>$W$4*'NIFTY MEMBS'!X107</f>
        <v>18557.685352622062</v>
      </c>
      <c r="X118" s="4">
        <f>$X$4*'NIFTY MEMBS'!Y107</f>
        <v>23905.801263641584</v>
      </c>
      <c r="Y118" s="4">
        <f>$Y$4*'NIFTY MEMBS'!Z107</f>
        <v>20069.212914116903</v>
      </c>
      <c r="Z118" s="4">
        <f>$Z$4*'NIFTY MEMBS'!AA107</f>
        <v>26777.815583531818</v>
      </c>
      <c r="AA118" s="4">
        <f>$AA$4*'NIFTY MEMBS'!AB107</f>
        <v>21398.19979015959</v>
      </c>
      <c r="AB118" s="4">
        <f>$AB$4*'NIFTY MEMBS'!AC107</f>
        <v>16512.820512820512</v>
      </c>
      <c r="AC118" s="4">
        <f>$AC$4*'NIFTY MEMBS'!AD107</f>
        <v>18959.407216494848</v>
      </c>
      <c r="AD118" s="4">
        <f>$AD$4*'NIFTY MEMBS'!AE107</f>
        <v>18956.289622956287</v>
      </c>
      <c r="AE118" s="4">
        <f>$AE$4*'NIFTY MEMBS'!AF107</f>
        <v>19581.147639450606</v>
      </c>
      <c r="AF118" s="4">
        <f>$AF$4*'NIFTY MEMBS'!AG107</f>
        <v>19469.333738311674</v>
      </c>
      <c r="AG118" s="4">
        <f>$AG$4*'NIFTY MEMBS'!AH107</f>
        <v>20439.958592132505</v>
      </c>
      <c r="AH118" s="4">
        <f>$AH$4*'NIFTY MEMBS'!AI107</f>
        <v>22139.551179214846</v>
      </c>
      <c r="AI118" s="4">
        <f>$AI$4*'NIFTY MEMBS'!AJ107</f>
        <v>23105.163083223633</v>
      </c>
      <c r="AJ118" s="4">
        <f>$AJ$4*'NIFTY MEMBS'!AK107</f>
        <v>19149.285596978159</v>
      </c>
      <c r="AK118" s="4">
        <f>$AK$4*'NIFTY MEMBS'!AL107</f>
        <v>20919.27195299224</v>
      </c>
      <c r="AL118" s="4">
        <f>$AL$4*'NIFTY MEMBS'!AM107</f>
        <v>21732.544572492989</v>
      </c>
      <c r="AM118" s="4">
        <f>$AM$4*'NIFTY MEMBS'!AN107</f>
        <v>16052.51802123641</v>
      </c>
      <c r="AN118" s="4">
        <f>$AN$4*'NIFTY MEMBS'!AO107</f>
        <v>25347.043701799481</v>
      </c>
      <c r="AO118" s="4">
        <f>$AO$4*'NIFTY MEMBS'!AP107</f>
        <v>24679.196370706413</v>
      </c>
      <c r="AP118" s="4">
        <f>$AP$4*'NIFTY MEMBS'!AQ107</f>
        <v>21494.223796272872</v>
      </c>
      <c r="AQ118" s="4">
        <f>$AQ$4*'NIFTY MEMBS'!AR107</f>
        <v>18344.337823165184</v>
      </c>
      <c r="AR118" s="4">
        <f>$AR$4*'NIFTY MEMBS'!AS107</f>
        <v>19485.972140474787</v>
      </c>
      <c r="AS118" s="4">
        <f>$AS$4*'NIFTY MEMBS'!AT107</f>
        <v>18660.316297246136</v>
      </c>
      <c r="AT118" s="4">
        <f>$AT$4*'NIFTY MEMBS'!AU107</f>
        <v>22320.250800883969</v>
      </c>
      <c r="AU118" s="4">
        <f>$AU$4*'NIFTY MEMBS'!AV107</f>
        <v>24163.859610996416</v>
      </c>
      <c r="AV118" s="4">
        <f>$AV$4*'NIFTY MEMBS'!AW107</f>
        <v>18854.63842220599</v>
      </c>
      <c r="AW118" s="4">
        <f>$AW$4*'NIFTY MEMBS'!AX107</f>
        <v>19973.95055384946</v>
      </c>
      <c r="AX118" s="4">
        <f>$AX$4*'NIFTY MEMBS'!AY107</f>
        <v>16571.074891685581</v>
      </c>
      <c r="AY118" s="4">
        <f t="shared" si="10"/>
        <v>1013064.2888939561</v>
      </c>
      <c r="AZ118" s="4">
        <f t="shared" si="11"/>
        <v>103.37390702999552</v>
      </c>
    </row>
    <row r="119" spans="1:52" ht="14.25" customHeight="1" x14ac:dyDescent="0.3">
      <c r="A119" s="2">
        <v>45814</v>
      </c>
      <c r="B119" s="4">
        <f>$B$4*'NIFTY MEMBS'!C108</f>
        <v>23639.71340839304</v>
      </c>
      <c r="C119" s="4">
        <f>$C$4*'NIFTY MEMBS'!D108</f>
        <v>22198.164643586351</v>
      </c>
      <c r="D119" s="4">
        <f>$D$4*'NIFTY MEMBS'!E108</f>
        <v>23440.49633389735</v>
      </c>
      <c r="E119" s="4">
        <f>$E$4*'NIFTY MEMBS'!F108</f>
        <v>16458.315602621307</v>
      </c>
      <c r="F119" s="4">
        <f>$F$4*'NIFTY MEMBS'!G108</f>
        <v>22742.959529466756</v>
      </c>
      <c r="G119" s="4">
        <f>$G$4*'NIFTY MEMBS'!H108</f>
        <v>20500.504286434691</v>
      </c>
      <c r="H119" s="4">
        <f>$H$4*'NIFTY MEMBS'!I108</f>
        <v>16614.077025232404</v>
      </c>
      <c r="I119" s="4">
        <f>$I$4*'NIFTY MEMBS'!J108</f>
        <v>20583.092890056418</v>
      </c>
      <c r="J119" s="4">
        <f>$J$4*'NIFTY MEMBS'!K108</f>
        <v>27025.50718786498</v>
      </c>
      <c r="K119" s="4">
        <f>$K$4*'NIFTY MEMBS'!L108</f>
        <v>18393.691843956141</v>
      </c>
      <c r="L119" s="4">
        <f>$L$4*'NIFTY MEMBS'!M108</f>
        <v>19938.922972051805</v>
      </c>
      <c r="M119" s="4">
        <f>$M$4*'NIFTY MEMBS'!N108</f>
        <v>22237.092154920909</v>
      </c>
      <c r="N119" s="4">
        <f>$N$4*'NIFTY MEMBS'!O108</f>
        <v>20158.987670343933</v>
      </c>
      <c r="O119" s="4">
        <f>$O$4*'NIFTY MEMBS'!P108</f>
        <v>23187.206441511964</v>
      </c>
      <c r="P119" s="4">
        <f>$P$4*'NIFTY MEMBS'!Q108</f>
        <v>17131.201129736655</v>
      </c>
      <c r="Q119" s="4">
        <f>$Q$4*'NIFTY MEMBS'!R108</f>
        <v>17769.782269372205</v>
      </c>
      <c r="R119" s="4">
        <f>$R$4*'NIFTY MEMBS'!S108</f>
        <v>19661.046562418102</v>
      </c>
      <c r="S119" s="4">
        <f>$S$4*'NIFTY MEMBS'!T108</f>
        <v>22291.47228960627</v>
      </c>
      <c r="T119" s="4">
        <f>$T$4*'NIFTY MEMBS'!U108</f>
        <v>25247.399137274802</v>
      </c>
      <c r="U119" s="4">
        <f>$U$4*'NIFTY MEMBS'!V108</f>
        <v>21881.156168846137</v>
      </c>
      <c r="V119" s="4">
        <f>$V$4*'NIFTY MEMBS'!W108</f>
        <v>19952.045556721117</v>
      </c>
      <c r="W119" s="4">
        <f>$W$4*'NIFTY MEMBS'!X108</f>
        <v>18941.04882459313</v>
      </c>
      <c r="X119" s="4">
        <f>$X$4*'NIFTY MEMBS'!Y108</f>
        <v>24151.965208829079</v>
      </c>
      <c r="Y119" s="4">
        <f>$Y$4*'NIFTY MEMBS'!Z108</f>
        <v>20262.502637687277</v>
      </c>
      <c r="Z119" s="4">
        <f>$Z$4*'NIFTY MEMBS'!AA108</f>
        <v>26587.274583191564</v>
      </c>
      <c r="AA119" s="4">
        <f>$AA$4*'NIFTY MEMBS'!AB108</f>
        <v>22196.697774587221</v>
      </c>
      <c r="AB119" s="4">
        <f>$AB$4*'NIFTY MEMBS'!AC108</f>
        <v>16556.110556110554</v>
      </c>
      <c r="AC119" s="4">
        <f>$AC$4*'NIFTY MEMBS'!AD108</f>
        <v>19059.278350515466</v>
      </c>
      <c r="AD119" s="4">
        <f>$AD$4*'NIFTY MEMBS'!AE108</f>
        <v>18978.978978978979</v>
      </c>
      <c r="AE119" s="4">
        <f>$AE$4*'NIFTY MEMBS'!AF108</f>
        <v>19763.058388774163</v>
      </c>
      <c r="AF119" s="4">
        <f>$AF$4*'NIFTY MEMBS'!AG108</f>
        <v>19484.086520729827</v>
      </c>
      <c r="AG119" s="4">
        <f>$AG$4*'NIFTY MEMBS'!AH108</f>
        <v>20649.585921325051</v>
      </c>
      <c r="AH119" s="4">
        <f>$AH$4*'NIFTY MEMBS'!AI108</f>
        <v>22286.146300086668</v>
      </c>
      <c r="AI119" s="4">
        <f>$AI$4*'NIFTY MEMBS'!AJ108</f>
        <v>23034.956852420652</v>
      </c>
      <c r="AJ119" s="4">
        <f>$AJ$4*'NIFTY MEMBS'!AK108</f>
        <v>19313.516176712106</v>
      </c>
      <c r="AK119" s="4">
        <f>$AK$4*'NIFTY MEMBS'!AL108</f>
        <v>21083.062055975268</v>
      </c>
      <c r="AL119" s="4">
        <f>$AL$4*'NIFTY MEMBS'!AM108</f>
        <v>22082.574253372361</v>
      </c>
      <c r="AM119" s="4">
        <f>$AM$4*'NIFTY MEMBS'!AN108</f>
        <v>16346.800036785253</v>
      </c>
      <c r="AN119" s="4">
        <f>$AN$4*'NIFTY MEMBS'!AO108</f>
        <v>25429.877177949154</v>
      </c>
      <c r="AO119" s="4">
        <f>$AO$4*'NIFTY MEMBS'!AP108</f>
        <v>24468.567725210625</v>
      </c>
      <c r="AP119" s="4">
        <f>$AP$4*'NIFTY MEMBS'!AQ108</f>
        <v>21929.336369002442</v>
      </c>
      <c r="AQ119" s="4">
        <f>$AQ$4*'NIFTY MEMBS'!AR108</f>
        <v>18441.764239809843</v>
      </c>
      <c r="AR119" s="4">
        <f>$AR$4*'NIFTY MEMBS'!AS108</f>
        <v>19674.318226407693</v>
      </c>
      <c r="AS119" s="4">
        <f>$AS$4*'NIFTY MEMBS'!AT108</f>
        <v>18840.786197444926</v>
      </c>
      <c r="AT119" s="4">
        <f>$AT$4*'NIFTY MEMBS'!AU108</f>
        <v>23581.107703904199</v>
      </c>
      <c r="AU119" s="4">
        <f>$AU$4*'NIFTY MEMBS'!AV108</f>
        <v>24244.268173421708</v>
      </c>
      <c r="AV119" s="4">
        <f>$AV$4*'NIFTY MEMBS'!AW108</f>
        <v>19297.2972972973</v>
      </c>
      <c r="AW119" s="4">
        <f>$AW$4*'NIFTY MEMBS'!AX108</f>
        <v>20399.823150549069</v>
      </c>
      <c r="AX119" s="4">
        <f>$AX$4*'NIFTY MEMBS'!AY108</f>
        <v>16976.480297090988</v>
      </c>
      <c r="AY119" s="4">
        <f t="shared" si="10"/>
        <v>1025114.1050830759</v>
      </c>
      <c r="AZ119" s="4">
        <f t="shared" si="11"/>
        <v>104.60348011051795</v>
      </c>
    </row>
    <row r="120" spans="1:52" ht="14.25" customHeight="1" x14ac:dyDescent="0.3">
      <c r="A120" s="2">
        <v>45817</v>
      </c>
      <c r="B120" s="4">
        <f>$B$4*'NIFTY MEMBS'!C109</f>
        <v>23726.509723643805</v>
      </c>
      <c r="C120" s="4">
        <f>$C$4*'NIFTY MEMBS'!D109</f>
        <v>22200.40835558348</v>
      </c>
      <c r="D120" s="4">
        <f>$D$4*'NIFTY MEMBS'!E109</f>
        <v>23376.574544087234</v>
      </c>
      <c r="E120" s="4">
        <f>$E$4*'NIFTY MEMBS'!F109</f>
        <v>16641.661296793882</v>
      </c>
      <c r="F120" s="4">
        <f>$F$4*'NIFTY MEMBS'!G109</f>
        <v>22355.00331087134</v>
      </c>
      <c r="G120" s="4">
        <f>$G$4*'NIFTY MEMBS'!H109</f>
        <v>20677.004538577909</v>
      </c>
      <c r="H120" s="4">
        <f>$H$4*'NIFTY MEMBS'!I109</f>
        <v>16710.756972111554</v>
      </c>
      <c r="I120" s="4">
        <f>$I$4*'NIFTY MEMBS'!J109</f>
        <v>20612.37672796176</v>
      </c>
      <c r="J120" s="4">
        <f>$J$4*'NIFTY MEMBS'!K109</f>
        <v>27706.083370582382</v>
      </c>
      <c r="K120" s="4">
        <f>$K$4*'NIFTY MEMBS'!L109</f>
        <v>18481.062426281071</v>
      </c>
      <c r="L120" s="4">
        <f>$L$4*'NIFTY MEMBS'!M109</f>
        <v>20062.167689161553</v>
      </c>
      <c r="M120" s="4">
        <f>$M$4*'NIFTY MEMBS'!N109</f>
        <v>22549.360741593286</v>
      </c>
      <c r="N120" s="4">
        <f>$N$4*'NIFTY MEMBS'!O109</f>
        <v>20035.042180402335</v>
      </c>
      <c r="O120" s="4">
        <f>$O$4*'NIFTY MEMBS'!P109</f>
        <v>23911.876537687313</v>
      </c>
      <c r="P120" s="4">
        <f>$P$4*'NIFTY MEMBS'!Q109</f>
        <v>17242.082690446925</v>
      </c>
      <c r="Q120" s="4">
        <f>$Q$4*'NIFTY MEMBS'!R109</f>
        <v>17930.633085531364</v>
      </c>
      <c r="R120" s="4">
        <f>$R$4*'NIFTY MEMBS'!S109</f>
        <v>19673.276841093735</v>
      </c>
      <c r="S120" s="4">
        <f>$S$4*'NIFTY MEMBS'!T109</f>
        <v>22763.575293898117</v>
      </c>
      <c r="T120" s="4">
        <f>$T$4*'NIFTY MEMBS'!U109</f>
        <v>25595.026642984012</v>
      </c>
      <c r="U120" s="4">
        <f>$U$4*'NIFTY MEMBS'!V109</f>
        <v>21721.345483043166</v>
      </c>
      <c r="V120" s="4">
        <f>$V$4*'NIFTY MEMBS'!W109</f>
        <v>20206.803536640193</v>
      </c>
      <c r="W120" s="4">
        <f>$W$4*'NIFTY MEMBS'!X109</f>
        <v>18577.938517179024</v>
      </c>
      <c r="X120" s="4">
        <f>$X$4*'NIFTY MEMBS'!Y109</f>
        <v>24076.474932304911</v>
      </c>
      <c r="Y120" s="4">
        <f>$Y$4*'NIFTY MEMBS'!Z109</f>
        <v>20493.775058029121</v>
      </c>
      <c r="Z120" s="4">
        <f>$Z$4*'NIFTY MEMBS'!AA109</f>
        <v>26706.362708404224</v>
      </c>
      <c r="AA120" s="4">
        <f>$AA$4*'NIFTY MEMBS'!AB109</f>
        <v>22265.172013915733</v>
      </c>
      <c r="AB120" s="4">
        <f>$AB$4*'NIFTY MEMBS'!AC109</f>
        <v>16735.930735930735</v>
      </c>
      <c r="AC120" s="4">
        <f>$AC$4*'NIFTY MEMBS'!AD109</f>
        <v>19362.113402061856</v>
      </c>
      <c r="AD120" s="4">
        <f>$AD$4*'NIFTY MEMBS'!AE109</f>
        <v>19160.493827160491</v>
      </c>
      <c r="AE120" s="4">
        <f>$AE$4*'NIFTY MEMBS'!AF109</f>
        <v>19772.211130878492</v>
      </c>
      <c r="AF120" s="4">
        <f>$AF$4*'NIFTY MEMBS'!AG109</f>
        <v>19507.51741045278</v>
      </c>
      <c r="AG120" s="4">
        <f>$AG$4*'NIFTY MEMBS'!AH109</f>
        <v>20755.693581780539</v>
      </c>
      <c r="AH120" s="4">
        <f>$AH$4*'NIFTY MEMBS'!AI109</f>
        <v>22268.628644133434</v>
      </c>
      <c r="AI120" s="4">
        <f>$AI$4*'NIFTY MEMBS'!AJ109</f>
        <v>23010.092145677925</v>
      </c>
      <c r="AJ120" s="4">
        <f>$AJ$4*'NIFTY MEMBS'!AK109</f>
        <v>19986.861553621286</v>
      </c>
      <c r="AK120" s="4">
        <f>$AK$4*'NIFTY MEMBS'!AL109</f>
        <v>21362.324181561329</v>
      </c>
      <c r="AL120" s="4">
        <f>$AL$4*'NIFTY MEMBS'!AM109</f>
        <v>22070.292510183608</v>
      </c>
      <c r="AM120" s="4">
        <f>$AM$4*'NIFTY MEMBS'!AN109</f>
        <v>16733.045182193109</v>
      </c>
      <c r="AN120" s="4">
        <f>$AN$4*'NIFTY MEMBS'!AO109</f>
        <v>25575.549842902023</v>
      </c>
      <c r="AO120" s="4">
        <f>$AO$4*'NIFTY MEMBS'!AP109</f>
        <v>24640.311082307187</v>
      </c>
      <c r="AP120" s="4">
        <f>$AP$4*'NIFTY MEMBS'!AQ109</f>
        <v>21951.260645922925</v>
      </c>
      <c r="AQ120" s="4">
        <f>$AQ$4*'NIFTY MEMBS'!AR109</f>
        <v>18535.669219708307</v>
      </c>
      <c r="AR120" s="4">
        <f>$AR$4*'NIFTY MEMBS'!AS109</f>
        <v>19705.709240729841</v>
      </c>
      <c r="AS120" s="4">
        <f>$AS$4*'NIFTY MEMBS'!AT109</f>
        <v>18812.290950045117</v>
      </c>
      <c r="AT120" s="4">
        <f>$AT$4*'NIFTY MEMBS'!AU109</f>
        <v>23915.166258372876</v>
      </c>
      <c r="AU120" s="4">
        <f>$AU$4*'NIFTY MEMBS'!AV109</f>
        <v>24365.967619254592</v>
      </c>
      <c r="AV120" s="4">
        <f>$AV$4*'NIFTY MEMBS'!AW109</f>
        <v>19271.00073046019</v>
      </c>
      <c r="AW120" s="4">
        <f>$AW$4*'NIFTY MEMBS'!AX109</f>
        <v>20788.891942595619</v>
      </c>
      <c r="AX120" s="4">
        <f>$AX$4*'NIFTY MEMBS'!AY109</f>
        <v>17261.192490200126</v>
      </c>
      <c r="AY120" s="4">
        <f t="shared" si="10"/>
        <v>1031846.5695469438</v>
      </c>
      <c r="AZ120" s="4">
        <f t="shared" si="11"/>
        <v>105.29046628030039</v>
      </c>
    </row>
    <row r="121" spans="1:52" ht="14.25" customHeight="1" x14ac:dyDescent="0.3">
      <c r="A121" s="2">
        <v>45818</v>
      </c>
      <c r="B121" s="4">
        <f>$B$4*'NIFTY MEMBS'!C110</f>
        <v>23557.830092118729</v>
      </c>
      <c r="C121" s="4">
        <f>$C$4*'NIFTY MEMBS'!D110</f>
        <v>22047.835939778772</v>
      </c>
      <c r="D121" s="4">
        <f>$D$4*'NIFTY MEMBS'!E110</f>
        <v>23276.305069875289</v>
      </c>
      <c r="E121" s="4">
        <f>$E$4*'NIFTY MEMBS'!F110</f>
        <v>16841.055818307821</v>
      </c>
      <c r="F121" s="4">
        <f>$F$4*'NIFTY MEMBS'!G110</f>
        <v>22169.594515638997</v>
      </c>
      <c r="G121" s="4">
        <f>$G$4*'NIFTY MEMBS'!H110</f>
        <v>20601.361573373673</v>
      </c>
      <c r="H121" s="4">
        <f>$H$4*'NIFTY MEMBS'!I110</f>
        <v>16956.175298804781</v>
      </c>
      <c r="I121" s="4">
        <f>$I$4*'NIFTY MEMBS'!J110</f>
        <v>20629.602514964903</v>
      </c>
      <c r="J121" s="4">
        <f>$J$4*'NIFTY MEMBS'!K110</f>
        <v>27388.865658298848</v>
      </c>
      <c r="K121" s="4">
        <f>$K$4*'NIFTY MEMBS'!L110</f>
        <v>18653.619326372809</v>
      </c>
      <c r="L121" s="4">
        <f>$L$4*'NIFTY MEMBS'!M110</f>
        <v>20067.075664621676</v>
      </c>
      <c r="M121" s="4">
        <f>$M$4*'NIFTY MEMBS'!N110</f>
        <v>22340.586886503752</v>
      </c>
      <c r="N121" s="4">
        <f>$N$4*'NIFTY MEMBS'!O110</f>
        <v>19905.90525632706</v>
      </c>
      <c r="O121" s="4">
        <f>$O$4*'NIFTY MEMBS'!P110</f>
        <v>24056.139566092592</v>
      </c>
      <c r="P121" s="4">
        <f>$P$4*'NIFTY MEMBS'!Q110</f>
        <v>17449.201077434031</v>
      </c>
      <c r="Q121" s="4">
        <f>$Q$4*'NIFTY MEMBS'!R110</f>
        <v>17871.372258525356</v>
      </c>
      <c r="R121" s="4">
        <f>$R$4*'NIFTY MEMBS'!S110</f>
        <v>19902.157770594913</v>
      </c>
      <c r="S121" s="4">
        <f>$S$4*'NIFTY MEMBS'!T110</f>
        <v>23004.291845493564</v>
      </c>
      <c r="T121" s="4">
        <f>$T$4*'NIFTY MEMBS'!U110</f>
        <v>25350.16493275818</v>
      </c>
      <c r="U121" s="4">
        <f>$U$4*'NIFTY MEMBS'!V110</f>
        <v>21661.72380410898</v>
      </c>
      <c r="V121" s="4">
        <f>$V$4*'NIFTY MEMBS'!W110</f>
        <v>20332.683950247265</v>
      </c>
      <c r="W121" s="4">
        <f>$W$4*'NIFTY MEMBS'!X110</f>
        <v>18494.032549728756</v>
      </c>
      <c r="X121" s="4">
        <f>$X$4*'NIFTY MEMBS'!Y110</f>
        <v>24186.428161155327</v>
      </c>
      <c r="Y121" s="4">
        <f>$Y$4*'NIFTY MEMBS'!Z110</f>
        <v>20652.458324541043</v>
      </c>
      <c r="Z121" s="4">
        <f>$Z$4*'NIFTY MEMBS'!AA110</f>
        <v>27043.21197686288</v>
      </c>
      <c r="AA121" s="4">
        <f>$AA$4*'NIFTY MEMBS'!AB110</f>
        <v>22156.938538848088</v>
      </c>
      <c r="AB121" s="4">
        <f>$AB$4*'NIFTY MEMBS'!AC110</f>
        <v>16974.358974358973</v>
      </c>
      <c r="AC121" s="4">
        <f>$AC$4*'NIFTY MEMBS'!AD110</f>
        <v>19397.551546391755</v>
      </c>
      <c r="AD121" s="4">
        <f>$AD$4*'NIFTY MEMBS'!AE110</f>
        <v>19546.212879546212</v>
      </c>
      <c r="AE121" s="4">
        <f>$AE$4*'NIFTY MEMBS'!AF110</f>
        <v>19737.888347987257</v>
      </c>
      <c r="AF121" s="4">
        <f>$AF$4*'NIFTY MEMBS'!AG110</f>
        <v>19255.85229861367</v>
      </c>
      <c r="AG121" s="4">
        <f>$AG$4*'NIFTY MEMBS'!AH110</f>
        <v>20680.64182194617</v>
      </c>
      <c r="AH121" s="4">
        <f>$AH$4*'NIFTY MEMBS'!AI110</f>
        <v>22417.067728789811</v>
      </c>
      <c r="AI121" s="4">
        <f>$AI$4*'NIFTY MEMBS'!AJ110</f>
        <v>22770.220857101067</v>
      </c>
      <c r="AJ121" s="4">
        <f>$AJ$4*'NIFTY MEMBS'!AK110</f>
        <v>19891.6078173756</v>
      </c>
      <c r="AK121" s="4">
        <f>$AK$4*'NIFTY MEMBS'!AL110</f>
        <v>22177.179943901887</v>
      </c>
      <c r="AL121" s="4">
        <f>$AL$4*'NIFTY MEMBS'!AM110</f>
        <v>22015.024665834237</v>
      </c>
      <c r="AM121" s="4">
        <f>$AM$4*'NIFTY MEMBS'!AN110</f>
        <v>16451.496523086284</v>
      </c>
      <c r="AN121" s="4">
        <f>$AN$4*'NIFTY MEMBS'!AO110</f>
        <v>25499.857183661807</v>
      </c>
      <c r="AO121" s="4">
        <f>$AO$4*'NIFTY MEMBS'!AP110</f>
        <v>24706.740116655863</v>
      </c>
      <c r="AP121" s="4">
        <f>$AP$4*'NIFTY MEMBS'!AQ110</f>
        <v>22205.91955476853</v>
      </c>
      <c r="AQ121" s="4">
        <f>$AQ$4*'NIFTY MEMBS'!AR110</f>
        <v>18908.941514804708</v>
      </c>
      <c r="AR121" s="4">
        <f>$AR$4*'NIFTY MEMBS'!AS110</f>
        <v>19760.643515793603</v>
      </c>
      <c r="AS121" s="4">
        <f>$AS$4*'NIFTY MEMBS'!AT110</f>
        <v>18775.654203388222</v>
      </c>
      <c r="AT121" s="4">
        <f>$AT$4*'NIFTY MEMBS'!AU110</f>
        <v>23997.396056395934</v>
      </c>
      <c r="AU121" s="4">
        <f>$AU$4*'NIFTY MEMBS'!AV110</f>
        <v>24233.402151472346</v>
      </c>
      <c r="AV121" s="4">
        <f>$AV$4*'NIFTY MEMBS'!AW110</f>
        <v>19704.894083272462</v>
      </c>
      <c r="AW121" s="4">
        <f>$AW$4*'NIFTY MEMBS'!AX110</f>
        <v>20930.371503339826</v>
      </c>
      <c r="AX121" s="4">
        <f>$AX$4*'NIFTY MEMBS'!AY110</f>
        <v>17434.495564266559</v>
      </c>
      <c r="AY121" s="4">
        <f t="shared" si="10"/>
        <v>1034070.0372241307</v>
      </c>
      <c r="AZ121" s="4">
        <f t="shared" si="11"/>
        <v>105.51735073715621</v>
      </c>
    </row>
    <row r="122" spans="1:52" ht="14.25" customHeight="1" x14ac:dyDescent="0.3">
      <c r="A122" s="2">
        <v>45819</v>
      </c>
      <c r="B122" s="4">
        <f>$B$4*'NIFTY MEMBS'!C111</f>
        <v>23728.147389969294</v>
      </c>
      <c r="C122" s="4">
        <f>$C$4*'NIFTY MEMBS'!D111</f>
        <v>21880.679395992734</v>
      </c>
      <c r="D122" s="4">
        <f>$D$4*'NIFTY MEMBS'!E111</f>
        <v>23315.159491132417</v>
      </c>
      <c r="E122" s="4">
        <f>$E$4*'NIFTY MEMBS'!F111</f>
        <v>16884.825347420639</v>
      </c>
      <c r="F122" s="4">
        <f>$F$4*'NIFTY MEMBS'!G111</f>
        <v>22295.797140965216</v>
      </c>
      <c r="G122" s="4">
        <f>$G$4*'NIFTY MEMBS'!H111</f>
        <v>20550.932929904182</v>
      </c>
      <c r="H122" s="4">
        <f>$H$4*'NIFTY MEMBS'!I111</f>
        <v>17329.083665338643</v>
      </c>
      <c r="I122" s="4">
        <f>$I$4*'NIFTY MEMBS'!J111</f>
        <v>20467.680117135355</v>
      </c>
      <c r="J122" s="4">
        <f>$J$4*'NIFTY MEMBS'!K111</f>
        <v>27179.790347930153</v>
      </c>
      <c r="K122" s="4">
        <f>$K$4*'NIFTY MEMBS'!L111</f>
        <v>18616.486828884714</v>
      </c>
      <c r="L122" s="4">
        <f>$L$4*'NIFTY MEMBS'!M111</f>
        <v>20094.342194955691</v>
      </c>
      <c r="M122" s="4">
        <f>$M$4*'NIFTY MEMBS'!N111</f>
        <v>22219.248235682488</v>
      </c>
      <c r="N122" s="4">
        <f>$N$4*'NIFTY MEMBS'!O111</f>
        <v>19991.563919532768</v>
      </c>
      <c r="O122" s="4">
        <f>$O$4*'NIFTY MEMBS'!P111</f>
        <v>23991.277119212704</v>
      </c>
      <c r="P122" s="4">
        <f>$P$4*'NIFTY MEMBS'!Q111</f>
        <v>18011.977300661627</v>
      </c>
      <c r="Q122" s="4">
        <f>$Q$4*'NIFTY MEMBS'!R111</f>
        <v>17890.420381491571</v>
      </c>
      <c r="R122" s="4">
        <f>$R$4*'NIFTY MEMBS'!S111</f>
        <v>20029.702105355114</v>
      </c>
      <c r="S122" s="4">
        <f>$S$4*'NIFTY MEMBS'!T111</f>
        <v>22978.167568576231</v>
      </c>
      <c r="T122" s="4">
        <f>$T$4*'NIFTY MEMBS'!U111</f>
        <v>25537.934534382137</v>
      </c>
      <c r="U122" s="4">
        <f>$U$4*'NIFTY MEMBS'!V111</f>
        <v>21768.674032300198</v>
      </c>
      <c r="V122" s="4">
        <f>$V$4*'NIFTY MEMBS'!W111</f>
        <v>20266.7465907388</v>
      </c>
      <c r="W122" s="4">
        <f>$W$4*'NIFTY MEMBS'!X111</f>
        <v>18594.575045207959</v>
      </c>
      <c r="X122" s="4">
        <f>$X$4*'NIFTY MEMBS'!Y111</f>
        <v>23900.877984737836</v>
      </c>
      <c r="Y122" s="4">
        <f>$Y$4*'NIFTY MEMBS'!Z111</f>
        <v>20875.290145600338</v>
      </c>
      <c r="Z122" s="4">
        <f>$Z$4*'NIFTY MEMBS'!AA111</f>
        <v>26736.985369173191</v>
      </c>
      <c r="AA122" s="4">
        <f>$AA$4*'NIFTY MEMBS'!AB111</f>
        <v>22245.292396046167</v>
      </c>
      <c r="AB122" s="4">
        <f>$AB$4*'NIFTY MEMBS'!AC111</f>
        <v>17244.089244089246</v>
      </c>
      <c r="AC122" s="4">
        <f>$AC$4*'NIFTY MEMBS'!AD111</f>
        <v>19036.726804123711</v>
      </c>
      <c r="AD122" s="4">
        <f>$AD$4*'NIFTY MEMBS'!AE111</f>
        <v>19656.990323656988</v>
      </c>
      <c r="AE122" s="4">
        <f>$AE$4*'NIFTY MEMBS'!AF111</f>
        <v>19950.689601912924</v>
      </c>
      <c r="AF122" s="4">
        <f>$AF$4*'NIFTY MEMBS'!AG111</f>
        <v>19168.203414835225</v>
      </c>
      <c r="AG122" s="4">
        <f>$AG$4*'NIFTY MEMBS'!AH111</f>
        <v>20812.629399585923</v>
      </c>
      <c r="AH122" s="4">
        <f>$AH$4*'NIFTY MEMBS'!AI111</f>
        <v>22304.585937932181</v>
      </c>
      <c r="AI122" s="4">
        <f>$AI$4*'NIFTY MEMBS'!AJ111</f>
        <v>22876.992833113938</v>
      </c>
      <c r="AJ122" s="4">
        <f>$AJ$4*'NIFTY MEMBS'!AK111</f>
        <v>19881.753982591559</v>
      </c>
      <c r="AK122" s="4">
        <f>$AK$4*'NIFTY MEMBS'!AL111</f>
        <v>22293.470917019837</v>
      </c>
      <c r="AL122" s="4">
        <f>$AL$4*'NIFTY MEMBS'!AM111</f>
        <v>21910.629848729859</v>
      </c>
      <c r="AM122" s="4">
        <f>$AM$4*'NIFTY MEMBS'!AN111</f>
        <v>16345.385219402806</v>
      </c>
      <c r="AN122" s="4">
        <f>$AN$4*'NIFTY MEMBS'!AO111</f>
        <v>25696.943730362749</v>
      </c>
      <c r="AO122" s="4">
        <f>$AO$4*'NIFTY MEMBS'!AP111</f>
        <v>24763.447828904729</v>
      </c>
      <c r="AP122" s="4">
        <f>$AP$4*'NIFTY MEMBS'!AQ111</f>
        <v>22099.671135846191</v>
      </c>
      <c r="AQ122" s="4">
        <f>$AQ$4*'NIFTY MEMBS'!AR111</f>
        <v>19221.175572967106</v>
      </c>
      <c r="AR122" s="4">
        <f>$AR$4*'NIFTY MEMBS'!AS111</f>
        <v>19903.211039173369</v>
      </c>
      <c r="AS122" s="4">
        <f>$AS$4*'NIFTY MEMBS'!AT111</f>
        <v>18800.078701159484</v>
      </c>
      <c r="AT122" s="4">
        <f>$AT$4*'NIFTY MEMBS'!AU111</f>
        <v>23505.730389049728</v>
      </c>
      <c r="AU122" s="4">
        <f>$AU$4*'NIFTY MEMBS'!AV111</f>
        <v>23998.696077366076</v>
      </c>
      <c r="AV122" s="4">
        <f>$AV$4*'NIFTY MEMBS'!AW111</f>
        <v>19738.495252008765</v>
      </c>
      <c r="AW122" s="4">
        <f>$AW$4*'NIFTY MEMBS'!AX111</f>
        <v>21079.976579397036</v>
      </c>
      <c r="AX122" s="4">
        <f>$AX$4*'NIFTY MEMBS'!AY111</f>
        <v>17253.97152878069</v>
      </c>
      <c r="AY122" s="4">
        <f t="shared" si="10"/>
        <v>1034925.2029403384</v>
      </c>
      <c r="AZ122" s="4">
        <f t="shared" si="11"/>
        <v>105.60461254493249</v>
      </c>
    </row>
    <row r="123" spans="1:52" ht="14.25" customHeight="1" x14ac:dyDescent="0.3">
      <c r="A123" s="2">
        <v>45820</v>
      </c>
      <c r="B123" s="4">
        <f>$B$4*'NIFTY MEMBS'!C112</f>
        <v>23608.597748208798</v>
      </c>
      <c r="C123" s="4">
        <f>$C$4*'NIFTY MEMBS'!D112</f>
        <v>21802.149476093251</v>
      </c>
      <c r="D123" s="4">
        <f>$D$4*'NIFTY MEMBS'!E112</f>
        <v>23114.62054270853</v>
      </c>
      <c r="E123" s="4">
        <f>$E$4*'NIFTY MEMBS'!F112</f>
        <v>16701.479653248065</v>
      </c>
      <c r="F123" s="4">
        <f>$F$4*'NIFTY MEMBS'!G112</f>
        <v>22205.429829003231</v>
      </c>
      <c r="G123" s="4">
        <f>$G$4*'NIFTY MEMBS'!H112</f>
        <v>20321.482602118002</v>
      </c>
      <c r="H123" s="4">
        <f>$H$4*'NIFTY MEMBS'!I112</f>
        <v>17090.039840637448</v>
      </c>
      <c r="I123" s="4">
        <f>$I$4*'NIFTY MEMBS'!J112</f>
        <v>20091.296671116663</v>
      </c>
      <c r="J123" s="4">
        <f>$J$4*'NIFTY MEMBS'!K112</f>
        <v>27016.855795711792</v>
      </c>
      <c r="K123" s="4">
        <f>$K$4*'NIFTY MEMBS'!L112</f>
        <v>18391.507579398018</v>
      </c>
      <c r="L123" s="4">
        <f>$L$4*'NIFTY MEMBS'!M112</f>
        <v>19653.169734151328</v>
      </c>
      <c r="M123" s="4">
        <f>$M$4*'NIFTY MEMBS'!N112</f>
        <v>22108.615936404272</v>
      </c>
      <c r="N123" s="4">
        <f>$N$4*'NIFTY MEMBS'!O112</f>
        <v>19592.472420506161</v>
      </c>
      <c r="O123" s="4">
        <f>$O$4*'NIFTY MEMBS'!P112</f>
        <v>23784.38828002684</v>
      </c>
      <c r="P123" s="4">
        <f>$P$4*'NIFTY MEMBS'!Q112</f>
        <v>17795.444441538744</v>
      </c>
      <c r="Q123" s="4">
        <f>$Q$4*'NIFTY MEMBS'!R112</f>
        <v>17856.557051773856</v>
      </c>
      <c r="R123" s="4">
        <f>$R$4*'NIFTY MEMBS'!S112</f>
        <v>19783.349349174456</v>
      </c>
      <c r="S123" s="4">
        <f>$S$4*'NIFTY MEMBS'!T112</f>
        <v>22632.95390931144</v>
      </c>
      <c r="T123" s="4">
        <f>$T$4*'NIFTY MEMBS'!U112</f>
        <v>25739.659984775433</v>
      </c>
      <c r="U123" s="4">
        <f>$U$4*'NIFTY MEMBS'!V112</f>
        <v>21222.244418150807</v>
      </c>
      <c r="V123" s="4">
        <f>$V$4*'NIFTY MEMBS'!W112</f>
        <v>20002.997152704931</v>
      </c>
      <c r="W123" s="4">
        <f>$W$4*'NIFTY MEMBS'!X112</f>
        <v>18196.021699819168</v>
      </c>
      <c r="X123" s="4">
        <f>$X$4*'NIFTY MEMBS'!Y112</f>
        <v>23726.922130138668</v>
      </c>
      <c r="Y123" s="4">
        <f>$Y$4*'NIFTY MEMBS'!Z112</f>
        <v>20922.557501582614</v>
      </c>
      <c r="Z123" s="4">
        <f>$Z$4*'NIFTY MEMBS'!AA112</f>
        <v>26362.708404219124</v>
      </c>
      <c r="AA123" s="4">
        <f>$AA$4*'NIFTY MEMBS'!AB112</f>
        <v>21992.379479816664</v>
      </c>
      <c r="AB123" s="4">
        <f>$AB$4*'NIFTY MEMBS'!AC112</f>
        <v>17290.04329004329</v>
      </c>
      <c r="AC123" s="4">
        <f>$AC$4*'NIFTY MEMBS'!AD112</f>
        <v>18621.13402061856</v>
      </c>
      <c r="AD123" s="4">
        <f>$AD$4*'NIFTY MEMBS'!AE112</f>
        <v>19095.095095095094</v>
      </c>
      <c r="AE123" s="4">
        <f>$AE$4*'NIFTY MEMBS'!AF112</f>
        <v>19602.885401948392</v>
      </c>
      <c r="AF123" s="4">
        <f>$AF$4*'NIFTY MEMBS'!AG112</f>
        <v>19260.191352266069</v>
      </c>
      <c r="AG123" s="4">
        <f>$AG$4*'NIFTY MEMBS'!AH112</f>
        <v>20326.08695652174</v>
      </c>
      <c r="AH123" s="4">
        <f>$AH$4*'NIFTY MEMBS'!AI112</f>
        <v>21994.800022127569</v>
      </c>
      <c r="AI123" s="4">
        <f>$AI$4*'NIFTY MEMBS'!AJ112</f>
        <v>22362.147140558722</v>
      </c>
      <c r="AJ123" s="4">
        <f>$AJ$4*'NIFTY MEMBS'!AK112</f>
        <v>19444.900640499265</v>
      </c>
      <c r="AK123" s="4">
        <f>$AK$4*'NIFTY MEMBS'!AL112</f>
        <v>22022.398296582927</v>
      </c>
      <c r="AL123" s="4">
        <f>$AL$4*'NIFTY MEMBS'!AM112</f>
        <v>21761.201973266736</v>
      </c>
      <c r="AM123" s="4">
        <f>$AM$4*'NIFTY MEMBS'!AN112</f>
        <v>15923.769639433791</v>
      </c>
      <c r="AN123" s="4">
        <f>$AN$4*'NIFTY MEMBS'!AO112</f>
        <v>25221.365324193084</v>
      </c>
      <c r="AO123" s="4">
        <f>$AO$4*'NIFTY MEMBS'!AP112</f>
        <v>24449.125081011014</v>
      </c>
      <c r="AP123" s="4">
        <f>$AP$4*'NIFTY MEMBS'!AQ112</f>
        <v>21959.693060123111</v>
      </c>
      <c r="AQ123" s="4">
        <f>$AQ$4*'NIFTY MEMBS'!AR112</f>
        <v>19302.16861812953</v>
      </c>
      <c r="AR123" s="4">
        <f>$AR$4*'NIFTY MEMBS'!AS112</f>
        <v>19656.006801386437</v>
      </c>
      <c r="AS123" s="4">
        <f>$AS$4*'NIFTY MEMBS'!AT112</f>
        <v>18987.333184072511</v>
      </c>
      <c r="AT123" s="4">
        <f>$AT$4*'NIFTY MEMBS'!AU112</f>
        <v>22889.006903876787</v>
      </c>
      <c r="AU123" s="4">
        <f>$AU$4*'NIFTY MEMBS'!AV112</f>
        <v>23581.440834510486</v>
      </c>
      <c r="AV123" s="4">
        <f>$AV$4*'NIFTY MEMBS'!AW112</f>
        <v>19907.962016070127</v>
      </c>
      <c r="AW123" s="4">
        <f>$AW$4*'NIFTY MEMBS'!AX112</f>
        <v>20852.940122121716</v>
      </c>
      <c r="AX123" s="4">
        <f>$AX$4*'NIFTY MEMBS'!AY112</f>
        <v>17121.931091396742</v>
      </c>
      <c r="AY123" s="4">
        <f t="shared" si="10"/>
        <v>1023349.5284981922</v>
      </c>
      <c r="AZ123" s="4">
        <f t="shared" si="11"/>
        <v>104.42342127532574</v>
      </c>
    </row>
    <row r="124" spans="1:52" ht="14.25" customHeight="1" x14ac:dyDescent="0.3">
      <c r="A124" s="2">
        <v>45821</v>
      </c>
      <c r="B124" s="4">
        <f>$B$4*'NIFTY MEMBS'!C113</f>
        <v>23384.237461617195</v>
      </c>
      <c r="C124" s="4">
        <f>$C$4*'NIFTY MEMBS'!D113</f>
        <v>21512.71062846373</v>
      </c>
      <c r="D124" s="4">
        <f>$D$4*'NIFTY MEMBS'!E113</f>
        <v>23066.992542457854</v>
      </c>
      <c r="E124" s="4">
        <f>$E$4*'NIFTY MEMBS'!F113</f>
        <v>16757.407384892216</v>
      </c>
      <c r="F124" s="4">
        <f>$F$4*'NIFTY MEMBS'!G113</f>
        <v>22063.646632649084</v>
      </c>
      <c r="G124" s="4">
        <f>$G$4*'NIFTY MEMBS'!H113</f>
        <v>19978.567826525465</v>
      </c>
      <c r="H124" s="4">
        <f>$H$4*'NIFTY MEMBS'!I113</f>
        <v>17019.920318725101</v>
      </c>
      <c r="I124" s="4">
        <f>$I$4*'NIFTY MEMBS'!J113</f>
        <v>19973.300030145128</v>
      </c>
      <c r="J124" s="4">
        <f>$J$4*'NIFTY MEMBS'!K113</f>
        <v>26908.713393796952</v>
      </c>
      <c r="K124" s="4">
        <f>$K$4*'NIFTY MEMBS'!L113</f>
        <v>18081.342012144509</v>
      </c>
      <c r="L124" s="4">
        <f>$L$4*'NIFTY MEMBS'!M113</f>
        <v>19563.190184049079</v>
      </c>
      <c r="M124" s="4">
        <f>$M$4*'NIFTY MEMBS'!N113</f>
        <v>22140.734991033434</v>
      </c>
      <c r="N124" s="4">
        <f>$N$4*'NIFTY MEMBS'!O113</f>
        <v>19506.813757300453</v>
      </c>
      <c r="O124" s="4">
        <f>$O$4*'NIFTY MEMBS'!P113</f>
        <v>23567.434578394095</v>
      </c>
      <c r="P124" s="4">
        <f>$P$4*'NIFTY MEMBS'!Q113</f>
        <v>17733.727346426422</v>
      </c>
      <c r="Q124" s="4">
        <f>$Q$4*'NIFTY MEMBS'!R113</f>
        <v>17860.78996798857</v>
      </c>
      <c r="R124" s="4">
        <f>$R$4*'NIFTY MEMBS'!S113</f>
        <v>19610.37826504761</v>
      </c>
      <c r="S124" s="4">
        <f>$S$4*'NIFTY MEMBS'!T113</f>
        <v>22500.466504944954</v>
      </c>
      <c r="T124" s="4">
        <f>$T$4*'NIFTY MEMBS'!U113</f>
        <v>25513.828977416899</v>
      </c>
      <c r="U124" s="4">
        <f>$U$4*'NIFTY MEMBS'!V113</f>
        <v>21032.930221122671</v>
      </c>
      <c r="V124" s="4">
        <f>$V$4*'NIFTY MEMBS'!W113</f>
        <v>19898.096808032369</v>
      </c>
      <c r="W124" s="4">
        <f>$W$4*'NIFTY MEMBS'!X113</f>
        <v>18016.636528028936</v>
      </c>
      <c r="X124" s="4">
        <f>$X$4*'NIFTY MEMBS'!Y113</f>
        <v>23057.356199228685</v>
      </c>
      <c r="Y124" s="4">
        <f>$Y$4*'NIFTY MEMBS'!Z113</f>
        <v>21228.951255539145</v>
      </c>
      <c r="Z124" s="4">
        <f>$Z$4*'NIFTY MEMBS'!AA113</f>
        <v>26825.45083361688</v>
      </c>
      <c r="AA124" s="4">
        <f>$AA$4*'NIFTY MEMBS'!AB113</f>
        <v>21806.8363797007</v>
      </c>
      <c r="AB124" s="4">
        <f>$AB$4*'NIFTY MEMBS'!AC113</f>
        <v>17330.003330003328</v>
      </c>
      <c r="AC124" s="4">
        <f>$AC$4*'NIFTY MEMBS'!AD113</f>
        <v>18395.618556701033</v>
      </c>
      <c r="AD124" s="4">
        <f>$AD$4*'NIFTY MEMBS'!AE113</f>
        <v>19007.007007007003</v>
      </c>
      <c r="AE124" s="4">
        <f>$AE$4*'NIFTY MEMBS'!AF113</f>
        <v>19366.058199998857</v>
      </c>
      <c r="AF124" s="4">
        <f>$AF$4*'NIFTY MEMBS'!AG113</f>
        <v>19215.065194281124</v>
      </c>
      <c r="AG124" s="4">
        <f>$AG$4*'NIFTY MEMBS'!AH113</f>
        <v>20248.447204968943</v>
      </c>
      <c r="AH124" s="4">
        <f>$AH$4*'NIFTY MEMBS'!AI113</f>
        <v>21913.665615607315</v>
      </c>
      <c r="AI124" s="4">
        <f>$AI$4*'NIFTY MEMBS'!AJ113</f>
        <v>22250.987275120664</v>
      </c>
      <c r="AJ124" s="4">
        <f>$AJ$4*'NIFTY MEMBS'!AK113</f>
        <v>19316.800788306788</v>
      </c>
      <c r="AK124" s="4">
        <f>$AK$4*'NIFTY MEMBS'!AL113</f>
        <v>21815.2038163094</v>
      </c>
      <c r="AL124" s="4">
        <f>$AL$4*'NIFTY MEMBS'!AM113</f>
        <v>21775.530673653611</v>
      </c>
      <c r="AM124" s="4">
        <f>$AM$4*'NIFTY MEMBS'!AN113</f>
        <v>15817.658335750313</v>
      </c>
      <c r="AN124" s="4">
        <f>$AN$4*'NIFTY MEMBS'!AO113</f>
        <v>25067.123678948868</v>
      </c>
      <c r="AO124" s="4">
        <f>$AO$4*'NIFTY MEMBS'!AP113</f>
        <v>24395.657809462082</v>
      </c>
      <c r="AP124" s="4">
        <f>$AP$4*'NIFTY MEMBS'!AQ113</f>
        <v>21647.693734716246</v>
      </c>
      <c r="AQ124" s="4">
        <f>$AQ$4*'NIFTY MEMBS'!AR113</f>
        <v>19473.545206444229</v>
      </c>
      <c r="AR124" s="4">
        <f>$AR$4*'NIFTY MEMBS'!AS113</f>
        <v>19687.397815708588</v>
      </c>
      <c r="AS124" s="4">
        <f>$AS$4*'NIFTY MEMBS'!AT113</f>
        <v>18981.905517901119</v>
      </c>
      <c r="AT124" s="4">
        <f>$AT$4*'NIFTY MEMBS'!AU113</f>
        <v>22858.170729618141</v>
      </c>
      <c r="AU124" s="4">
        <f>$AU$4*'NIFTY MEMBS'!AV113</f>
        <v>23435.836140389005</v>
      </c>
      <c r="AV124" s="4">
        <f>$AV$4*'NIFTY MEMBS'!AW113</f>
        <v>19905.040175310445</v>
      </c>
      <c r="AW124" s="4">
        <f>$AW$4*'NIFTY MEMBS'!AX113</f>
        <v>20714.328390311519</v>
      </c>
      <c r="AX124" s="4">
        <f>$AX$4*'NIFTY MEMBS'!AY113</f>
        <v>16852.692387043535</v>
      </c>
      <c r="AY124" s="4">
        <f t="shared" si="10"/>
        <v>1018081.8986128501</v>
      </c>
      <c r="AZ124" s="4">
        <f t="shared" si="11"/>
        <v>103.8859080217194</v>
      </c>
    </row>
    <row r="125" spans="1:52" ht="14.25" customHeight="1" x14ac:dyDescent="0.3">
      <c r="A125" s="2">
        <v>45824</v>
      </c>
      <c r="B125" s="4">
        <f>$B$4*'NIFTY MEMBS'!C114</f>
        <v>23546.366427840327</v>
      </c>
      <c r="C125" s="4">
        <f>$C$4*'NIFTY MEMBS'!D114</f>
        <v>21712.400996208129</v>
      </c>
      <c r="D125" s="4">
        <f>$D$4*'NIFTY MEMBS'!E114</f>
        <v>23328.946543836559</v>
      </c>
      <c r="E125" s="4">
        <f>$E$4*'NIFTY MEMBS'!F114</f>
        <v>17003.489404126496</v>
      </c>
      <c r="F125" s="4">
        <f>$F$4*'NIFTY MEMBS'!G114</f>
        <v>22231.91679975071</v>
      </c>
      <c r="G125" s="4">
        <f>$G$4*'NIFTY MEMBS'!H114</f>
        <v>19982.349974785677</v>
      </c>
      <c r="H125" s="4">
        <f>$H$4*'NIFTY MEMBS'!I114</f>
        <v>17251.527224435591</v>
      </c>
      <c r="I125" s="4">
        <f>$I$4*'NIFTY MEMBS'!J114</f>
        <v>20045.648335558333</v>
      </c>
      <c r="J125" s="4">
        <f>$J$4*'NIFTY MEMBS'!K114</f>
        <v>27050.019465632344</v>
      </c>
      <c r="K125" s="4">
        <f>$K$4*'NIFTY MEMBS'!L114</f>
        <v>18269.188764143113</v>
      </c>
      <c r="L125" s="4">
        <f>$L$4*'NIFTY MEMBS'!M114</f>
        <v>19788.411724608042</v>
      </c>
      <c r="M125" s="4">
        <f>$M$4*'NIFTY MEMBS'!N114</f>
        <v>22358.430805742177</v>
      </c>
      <c r="N125" s="4">
        <f>$N$4*'NIFTY MEMBS'!O114</f>
        <v>19621.025308241402</v>
      </c>
      <c r="O125" s="4">
        <f>$O$4*'NIFTY MEMBS'!P114</f>
        <v>23920.823082084542</v>
      </c>
      <c r="P125" s="4">
        <f>$P$4*'NIFTY MEMBS'!Q114</f>
        <v>18023.483877716466</v>
      </c>
      <c r="Q125" s="4">
        <f>$Q$4*'NIFTY MEMBS'!R114</f>
        <v>17834.334241646604</v>
      </c>
      <c r="R125" s="4">
        <f>$R$4*'NIFTY MEMBS'!S114</f>
        <v>20083.864768061499</v>
      </c>
      <c r="S125" s="4">
        <f>$S$4*'NIFTY MEMBS'!T114</f>
        <v>22679.604403806683</v>
      </c>
      <c r="T125" s="4">
        <f>$T$4*'NIFTY MEMBS'!U114</f>
        <v>25732.047703628519</v>
      </c>
      <c r="U125" s="4">
        <f>$U$4*'NIFTY MEMBS'!V114</f>
        <v>21132.504571507601</v>
      </c>
      <c r="V125" s="4">
        <f>$V$4*'NIFTY MEMBS'!W114</f>
        <v>20002.997152704931</v>
      </c>
      <c r="W125" s="4">
        <f>$W$4*'NIFTY MEMBS'!X114</f>
        <v>18238.698010849912</v>
      </c>
      <c r="X125" s="4">
        <f>$X$4*'NIFTY MEMBS'!Y114</f>
        <v>22985.148108640351</v>
      </c>
      <c r="Y125" s="4">
        <f>$Y$4*'NIFTY MEMBS'!Z114</f>
        <v>21674.614897657735</v>
      </c>
      <c r="Z125" s="4">
        <f>$Z$4*'NIFTY MEMBS'!AA114</f>
        <v>27482.136781218109</v>
      </c>
      <c r="AA125" s="4">
        <f>$AA$4*'NIFTY MEMBS'!AB114</f>
        <v>22172.40046385775</v>
      </c>
      <c r="AB125" s="4">
        <f>$AB$4*'NIFTY MEMBS'!AC114</f>
        <v>17508.491508491508</v>
      </c>
      <c r="AC125" s="4">
        <f>$AC$4*'NIFTY MEMBS'!AD114</f>
        <v>18598.582474226805</v>
      </c>
      <c r="AD125" s="4">
        <f>$AD$4*'NIFTY MEMBS'!AE114</f>
        <v>18328.995662328995</v>
      </c>
      <c r="AE125" s="4">
        <f>$AE$4*'NIFTY MEMBS'!AF114</f>
        <v>19517.078444720297</v>
      </c>
      <c r="AF125" s="4">
        <f>$AF$4*'NIFTY MEMBS'!AG114</f>
        <v>19480.615277807909</v>
      </c>
      <c r="AG125" s="4">
        <f>$AG$4*'NIFTY MEMBS'!AH114</f>
        <v>20411.490683229815</v>
      </c>
      <c r="AH125" s="4">
        <f>$AH$4*'NIFTY MEMBS'!AI114</f>
        <v>22033.523261603146</v>
      </c>
      <c r="AI125" s="4">
        <f>$AI$4*'NIFTY MEMBS'!AJ114</f>
        <v>22549.363756033345</v>
      </c>
      <c r="AJ125" s="4">
        <f>$AJ$4*'NIFTY MEMBS'!AK114</f>
        <v>19323.370011496143</v>
      </c>
      <c r="AK125" s="4">
        <f>$AK$4*'NIFTY MEMBS'!AL114</f>
        <v>22151.792477939518</v>
      </c>
      <c r="AL125" s="4">
        <f>$AL$4*'NIFTY MEMBS'!AM114</f>
        <v>21963.850735881111</v>
      </c>
      <c r="AM125" s="4">
        <f>$AM$4*'NIFTY MEMBS'!AN114</f>
        <v>16070.910647208213</v>
      </c>
      <c r="AN125" s="4">
        <f>$AN$4*'NIFTY MEMBS'!AO114</f>
        <v>25675.521279634388</v>
      </c>
      <c r="AO125" s="4">
        <f>$AO$4*'NIFTY MEMBS'!AP114</f>
        <v>24969.215813350609</v>
      </c>
      <c r="AP125" s="4">
        <f>$AP$4*'NIFTY MEMBS'!AQ114</f>
        <v>21910.785057762037</v>
      </c>
      <c r="AQ125" s="4">
        <f>$AQ$4*'NIFTY MEMBS'!AR114</f>
        <v>19883.205681251286</v>
      </c>
      <c r="AR125" s="4">
        <f>$AR$4*'NIFTY MEMBS'!AS114</f>
        <v>19972.532862468121</v>
      </c>
      <c r="AS125" s="4">
        <f>$AS$4*'NIFTY MEMBS'!AT114</f>
        <v>19306.208571641801</v>
      </c>
      <c r="AT125" s="4">
        <f>$AT$4*'NIFTY MEMBS'!AU114</f>
        <v>23166.53247220461</v>
      </c>
      <c r="AU125" s="4">
        <f>$AU$4*'NIFTY MEMBS'!AV114</f>
        <v>23544.496359882651</v>
      </c>
      <c r="AV125" s="4">
        <f>$AV$4*'NIFTY MEMBS'!AW114</f>
        <v>19675.675675675677</v>
      </c>
      <c r="AW125" s="4">
        <f>$AW$4*'NIFTY MEMBS'!AX114</f>
        <v>20861.065637434724</v>
      </c>
      <c r="AX125" s="4">
        <f>$AX$4*'NIFTY MEMBS'!AY114</f>
        <v>16943.470187744999</v>
      </c>
      <c r="AY125" s="4">
        <f t="shared" si="10"/>
        <v>1027999.1543783075</v>
      </c>
      <c r="AZ125" s="4">
        <f t="shared" si="11"/>
        <v>104.89787289574566</v>
      </c>
    </row>
    <row r="126" spans="1:52" ht="14.25" customHeight="1" x14ac:dyDescent="0.3">
      <c r="A126" s="2">
        <v>45825</v>
      </c>
      <c r="B126" s="4">
        <f>$B$4*'NIFTY MEMBS'!C115</f>
        <v>23438.280450358237</v>
      </c>
      <c r="C126" s="4">
        <f>$C$4*'NIFTY MEMBS'!D115</f>
        <v>21647.333348291413</v>
      </c>
      <c r="D126" s="4">
        <f>$D$4*'NIFTY MEMBS'!E115</f>
        <v>23247.477596039353</v>
      </c>
      <c r="E126" s="4">
        <f>$E$4*'NIFTY MEMBS'!F115</f>
        <v>17095.891743364664</v>
      </c>
      <c r="F126" s="4">
        <f>$F$4*'NIFTY MEMBS'!G115</f>
        <v>22174.268686947376</v>
      </c>
      <c r="G126" s="4">
        <f>$G$4*'NIFTY MEMBS'!H115</f>
        <v>19977.307110438727</v>
      </c>
      <c r="H126" s="4">
        <f>$H$4*'NIFTY MEMBS'!I115</f>
        <v>17422.576361221778</v>
      </c>
      <c r="I126" s="4">
        <f>$I$4*'NIFTY MEMBS'!J115</f>
        <v>20055.983807760218</v>
      </c>
      <c r="J126" s="4">
        <f>$J$4*'NIFTY MEMBS'!K115</f>
        <v>26617.449857972977</v>
      </c>
      <c r="K126" s="4">
        <f>$K$4*'NIFTY MEMBS'!L115</f>
        <v>18234.240531213138</v>
      </c>
      <c r="L126" s="4">
        <f>$L$4*'NIFTY MEMBS'!M115</f>
        <v>19753.510565780503</v>
      </c>
      <c r="M126" s="4">
        <f>$M$4*'NIFTY MEMBS'!N115</f>
        <v>22474.416280791917</v>
      </c>
      <c r="N126" s="4">
        <f>$N$4*'NIFTY MEMBS'!O115</f>
        <v>19514.600908500972</v>
      </c>
      <c r="O126" s="4">
        <f>$O$4*'NIFTY MEMBS'!P115</f>
        <v>23896.220084992172</v>
      </c>
      <c r="P126" s="4">
        <f>$P$4*'NIFTY MEMBS'!Q115</f>
        <v>18092.523340045504</v>
      </c>
      <c r="Q126" s="4">
        <f>$Q$4*'NIFTY MEMBS'!R115</f>
        <v>17462.895843805392</v>
      </c>
      <c r="R126" s="4">
        <f>$R$4*'NIFTY MEMBS'!S115</f>
        <v>19888.180309251333</v>
      </c>
      <c r="S126" s="4">
        <f>$S$4*'NIFTY MEMBS'!T115</f>
        <v>22674.006344467252</v>
      </c>
      <c r="T126" s="4">
        <f>$T$4*'NIFTY MEMBS'!U115</f>
        <v>25416.138036031462</v>
      </c>
      <c r="U126" s="4">
        <f>$U$4*'NIFTY MEMBS'!V115</f>
        <v>20933.355870737741</v>
      </c>
      <c r="V126" s="4">
        <f>$V$4*'NIFTY MEMBS'!W115</f>
        <v>20092.911733852838</v>
      </c>
      <c r="W126" s="4">
        <f>$W$4*'NIFTY MEMBS'!X115</f>
        <v>17884.267631103077</v>
      </c>
      <c r="X126" s="4">
        <f>$X$4*'NIFTY MEMBS'!Y115</f>
        <v>22848.937392303269</v>
      </c>
      <c r="Y126" s="4">
        <f>$Y$4*'NIFTY MEMBS'!Z115</f>
        <v>21296.476049799538</v>
      </c>
      <c r="Z126" s="4">
        <f>$Z$4*'NIFTY MEMBS'!AA115</f>
        <v>27339.231030962917</v>
      </c>
      <c r="AA126" s="4">
        <f>$AA$4*'NIFTY MEMBS'!AB115</f>
        <v>22080.733337014743</v>
      </c>
      <c r="AB126" s="4">
        <f>$AB$4*'NIFTY MEMBS'!AC115</f>
        <v>17509.823509823509</v>
      </c>
      <c r="AC126" s="4">
        <f>$AC$4*'NIFTY MEMBS'!AD115</f>
        <v>18592.139175257733</v>
      </c>
      <c r="AD126" s="4">
        <f>$AD$4*'NIFTY MEMBS'!AE115</f>
        <v>18011.344678011345</v>
      </c>
      <c r="AE126" s="4">
        <f>$AE$4*'NIFTY MEMBS'!AF115</f>
        <v>19436.991951307413</v>
      </c>
      <c r="AF126" s="4">
        <f>$AF$4*'NIFTY MEMBS'!AG115</f>
        <v>19654.177423903846</v>
      </c>
      <c r="AG126" s="4">
        <f>$AG$4*'NIFTY MEMBS'!AH115</f>
        <v>20253.6231884058</v>
      </c>
      <c r="AH126" s="4">
        <f>$AH$4*'NIFTY MEMBS'!AI115</f>
        <v>21777.212295550518</v>
      </c>
      <c r="AI126" s="4">
        <f>$AI$4*'NIFTY MEMBS'!AJ115</f>
        <v>22319.730876115253</v>
      </c>
      <c r="AJ126" s="4">
        <f>$AJ$4*'NIFTY MEMBS'!AK115</f>
        <v>19037.608802759078</v>
      </c>
      <c r="AK126" s="4">
        <f>$AK$4*'NIFTY MEMBS'!AL115</f>
        <v>21877.444055442949</v>
      </c>
      <c r="AL126" s="4">
        <f>$AL$4*'NIFTY MEMBS'!AM115</f>
        <v>21865.59679037111</v>
      </c>
      <c r="AM126" s="4">
        <f>$AM$4*'NIFTY MEMBS'!AN115</f>
        <v>15920.940004668899</v>
      </c>
      <c r="AN126" s="4">
        <f>$AN$4*'NIFTY MEMBS'!AO115</f>
        <v>25709.797200799771</v>
      </c>
      <c r="AO126" s="4">
        <f>$AO$4*'NIFTY MEMBS'!AP115</f>
        <v>25079.390797148408</v>
      </c>
      <c r="AP126" s="4">
        <f>$AP$4*'NIFTY MEMBS'!AQ115</f>
        <v>21644.320769036174</v>
      </c>
      <c r="AQ126" s="4">
        <f>$AQ$4*'NIFTY MEMBS'!AR115</f>
        <v>20173.137306687793</v>
      </c>
      <c r="AR126" s="4">
        <f>$AR$4*'NIFTY MEMBS'!AS115</f>
        <v>19665.162513897063</v>
      </c>
      <c r="AS126" s="4">
        <f>$AS$4*'NIFTY MEMBS'!AT115</f>
        <v>19014.471514929475</v>
      </c>
      <c r="AT126" s="4">
        <f>$AT$4*'NIFTY MEMBS'!AU115</f>
        <v>22784.506535555818</v>
      </c>
      <c r="AU126" s="4">
        <f>$AU$4*'NIFTY MEMBS'!AV115</f>
        <v>23288.058241877647</v>
      </c>
      <c r="AV126" s="4">
        <f>$AV$4*'NIFTY MEMBS'!AW115</f>
        <v>19266.617969320672</v>
      </c>
      <c r="AW126" s="4">
        <f>$AW$4*'NIFTY MEMBS'!AX115</f>
        <v>20892.133784219768</v>
      </c>
      <c r="AX126" s="4">
        <f>$AX$4*'NIFTY MEMBS'!AY115</f>
        <v>16693.831235815971</v>
      </c>
      <c r="AY126" s="4">
        <f t="shared" si="10"/>
        <v>1022027.2748739546</v>
      </c>
      <c r="AZ126" s="4">
        <f t="shared" si="11"/>
        <v>104.28849743611781</v>
      </c>
    </row>
    <row r="127" spans="1:52" ht="14.25" customHeight="1" x14ac:dyDescent="0.3">
      <c r="A127" s="2">
        <v>45826</v>
      </c>
      <c r="B127" s="4">
        <f>$B$4*'NIFTY MEMBS'!C116</f>
        <v>23420.266120777887</v>
      </c>
      <c r="C127" s="4">
        <f>$C$4*'NIFTY MEMBS'!D116</f>
        <v>21695.573156229668</v>
      </c>
      <c r="D127" s="4">
        <f>$D$4*'NIFTY MEMBS'!E116</f>
        <v>23386.601491508431</v>
      </c>
      <c r="E127" s="4">
        <f>$E$4*'NIFTY MEMBS'!F116</f>
        <v>16785.12808666367</v>
      </c>
      <c r="F127" s="4">
        <f>$F$4*'NIFTY MEMBS'!G116</f>
        <v>22009.114634051337</v>
      </c>
      <c r="G127" s="4">
        <f>$G$4*'NIFTY MEMBS'!H116</f>
        <v>19967.221381744828</v>
      </c>
      <c r="H127" s="4">
        <f>$H$4*'NIFTY MEMBS'!I116</f>
        <v>17348.207171314742</v>
      </c>
      <c r="I127" s="4">
        <f>$I$4*'NIFTY MEMBS'!J116</f>
        <v>19786.40024116102</v>
      </c>
      <c r="J127" s="4">
        <f>$J$4*'NIFTY MEMBS'!K116</f>
        <v>26502.097962597149</v>
      </c>
      <c r="K127" s="4">
        <f>$K$4*'NIFTY MEMBS'!L116</f>
        <v>18168.712594469442</v>
      </c>
      <c r="L127" s="4">
        <f>$L$4*'NIFTY MEMBS'!M116</f>
        <v>19640.081799591</v>
      </c>
      <c r="M127" s="4">
        <f>$M$4*'NIFTY MEMBS'!N116</f>
        <v>22747.428245139763</v>
      </c>
      <c r="N127" s="4">
        <f>$N$4*'NIFTY MEMBS'!O116</f>
        <v>19734.587929915637</v>
      </c>
      <c r="O127" s="4">
        <f>$O$4*'NIFTY MEMBS'!P116</f>
        <v>23847.014090807425</v>
      </c>
      <c r="P127" s="4">
        <f>$P$4*'NIFTY MEMBS'!Q116</f>
        <v>17949.214153089779</v>
      </c>
      <c r="Q127" s="4">
        <f>$Q$4*'NIFTY MEMBS'!R116</f>
        <v>17439.61480462446</v>
      </c>
      <c r="R127" s="4">
        <f>$R$4*'NIFTY MEMBS'!S116</f>
        <v>19928.365510614134</v>
      </c>
      <c r="S127" s="4">
        <f>$S$4*'NIFTY MEMBS'!T116</f>
        <v>22784.101511476023</v>
      </c>
      <c r="T127" s="4">
        <f>$T$4*'NIFTY MEMBS'!U116</f>
        <v>25138.289774168992</v>
      </c>
      <c r="U127" s="4">
        <f>$U$4*'NIFTY MEMBS'!V116</f>
        <v>21315.057547213302</v>
      </c>
      <c r="V127" s="4">
        <f>$V$4*'NIFTY MEMBS'!W116</f>
        <v>19925.071182376741</v>
      </c>
      <c r="W127" s="4">
        <f>$W$4*'NIFTY MEMBS'!X116</f>
        <v>17968.173598553345</v>
      </c>
      <c r="X127" s="4">
        <f>$X$4*'NIFTY MEMBS'!Y116</f>
        <v>22525.642077623692</v>
      </c>
      <c r="Y127" s="4">
        <f>$Y$4*'NIFTY MEMBS'!Z116</f>
        <v>21131.884363789832</v>
      </c>
      <c r="Z127" s="4">
        <f>$Z$4*'NIFTY MEMBS'!AA116</f>
        <v>27254.168084382447</v>
      </c>
      <c r="AA127" s="4">
        <f>$AA$4*'NIFTY MEMBS'!AB116</f>
        <v>21786.956761831134</v>
      </c>
      <c r="AB127" s="4">
        <f>$AB$4*'NIFTY MEMBS'!AC116</f>
        <v>17421.91142191142</v>
      </c>
      <c r="AC127" s="4">
        <f>$AC$4*'NIFTY MEMBS'!AD116</f>
        <v>18511.597938144332</v>
      </c>
      <c r="AD127" s="4">
        <f>$AD$4*'NIFTY MEMBS'!AE116</f>
        <v>17891.224557891223</v>
      </c>
      <c r="AE127" s="4">
        <f>$AE$4*'NIFTY MEMBS'!AF116</f>
        <v>19376.355034866228</v>
      </c>
      <c r="AF127" s="4">
        <f>$AF$4*'NIFTY MEMBS'!AG116</f>
        <v>19798.234005163475</v>
      </c>
      <c r="AG127" s="4">
        <f>$AG$4*'NIFTY MEMBS'!AH116</f>
        <v>20204.451345755697</v>
      </c>
      <c r="AH127" s="4">
        <f>$AH$4*'NIFTY MEMBS'!AI116</f>
        <v>21581.752134388087</v>
      </c>
      <c r="AI127" s="4">
        <f>$AI$4*'NIFTY MEMBS'!AJ116</f>
        <v>22248.062015503878</v>
      </c>
      <c r="AJ127" s="4">
        <f>$AJ$4*'NIFTY MEMBS'!AK116</f>
        <v>18929.21662013467</v>
      </c>
      <c r="AK127" s="4">
        <f>$AK$4*'NIFTY MEMBS'!AL116</f>
        <v>21910.202076039554</v>
      </c>
      <c r="AL127" s="4">
        <f>$AL$4*'NIFTY MEMBS'!AM116</f>
        <v>22078.480338976111</v>
      </c>
      <c r="AM127" s="4">
        <f>$AM$4*'NIFTY MEMBS'!AN116</f>
        <v>16227.955376659758</v>
      </c>
      <c r="AN127" s="4">
        <f>$AN$4*'NIFTY MEMBS'!AO116</f>
        <v>25666.952299343044</v>
      </c>
      <c r="AO127" s="4">
        <f>$AO$4*'NIFTY MEMBS'!AP116</f>
        <v>24828.25664290343</v>
      </c>
      <c r="AP127" s="4">
        <f>$AP$4*'NIFTY MEMBS'!AQ116</f>
        <v>21767.434016358882</v>
      </c>
      <c r="AQ127" s="4">
        <f>$AQ$4*'NIFTY MEMBS'!AR116</f>
        <v>20080.406139038063</v>
      </c>
      <c r="AR127" s="4">
        <f>$AR$4*'NIFTY MEMBS'!AS116</f>
        <v>19594.532731672225</v>
      </c>
      <c r="AS127" s="4">
        <f>$AS$4*'NIFTY MEMBS'!AT116</f>
        <v>18816.36169967366</v>
      </c>
      <c r="AT127" s="4">
        <f>$AT$4*'NIFTY MEMBS'!AU116</f>
        <v>22685.145529611291</v>
      </c>
      <c r="AU127" s="4">
        <f>$AU$4*'NIFTY MEMBS'!AV116</f>
        <v>23148.973160925787</v>
      </c>
      <c r="AV127" s="4">
        <f>$AV$4*'NIFTY MEMBS'!AW116</f>
        <v>19186.267348429512</v>
      </c>
      <c r="AW127" s="4">
        <f>$AW$4*'NIFTY MEMBS'!AX116</f>
        <v>20829.51951916068</v>
      </c>
      <c r="AX127" s="4">
        <f>$AX$4*'NIFTY MEMBS'!AY116</f>
        <v>17546.936249226328</v>
      </c>
      <c r="AY127" s="4">
        <f t="shared" si="10"/>
        <v>1020515.2024774933</v>
      </c>
      <c r="AZ127" s="4">
        <f t="shared" si="11"/>
        <v>104.1342043344381</v>
      </c>
    </row>
    <row r="128" spans="1:52" ht="14.25" customHeight="1" x14ac:dyDescent="0.3">
      <c r="A128" s="2">
        <v>45827</v>
      </c>
      <c r="B128" s="4">
        <f>$B$4*'NIFTY MEMBS'!C117</f>
        <v>23472.671443193449</v>
      </c>
      <c r="C128" s="4">
        <f>$C$4*'NIFTY MEMBS'!D117</f>
        <v>21711.279140209565</v>
      </c>
      <c r="D128" s="4">
        <f>$D$4*'NIFTY MEMBS'!E117</f>
        <v>23525.725386977501</v>
      </c>
      <c r="E128" s="4">
        <f>$E$4*'NIFTY MEMBS'!F117</f>
        <v>16651.874186920206</v>
      </c>
      <c r="F128" s="4">
        <f>$F$4*'NIFTY MEMBS'!G117</f>
        <v>21988.85989171503</v>
      </c>
      <c r="G128" s="4">
        <f>$G$4*'NIFTY MEMBS'!H117</f>
        <v>19795.76399394856</v>
      </c>
      <c r="H128" s="4">
        <f>$H$4*'NIFTY MEMBS'!I117</f>
        <v>17194.156706507303</v>
      </c>
      <c r="I128" s="4">
        <f>$I$4*'NIFTY MEMBS'!J117</f>
        <v>19759.700271306145</v>
      </c>
      <c r="J128" s="4">
        <f>$J$4*'NIFTY MEMBS'!K117</f>
        <v>25968.595446483931</v>
      </c>
      <c r="K128" s="4">
        <f>$K$4*'NIFTY MEMBS'!L117</f>
        <v>18173.081123585689</v>
      </c>
      <c r="L128" s="4">
        <f>$L$4*'NIFTY MEMBS'!M117</f>
        <v>19746.966598500341</v>
      </c>
      <c r="M128" s="4">
        <f>$M$4*'NIFTY MEMBS'!N117</f>
        <v>22850.92297672261</v>
      </c>
      <c r="N128" s="4">
        <f>$N$4*'NIFTY MEMBS'!O117</f>
        <v>20083.062946138871</v>
      </c>
      <c r="O128" s="4">
        <f>$O$4*'NIFTY MEMBS'!P117</f>
        <v>24003.578617758889</v>
      </c>
      <c r="P128" s="4">
        <f>$P$4*'NIFTY MEMBS'!Q117</f>
        <v>17928.293103899163</v>
      </c>
      <c r="Q128" s="4">
        <f>$Q$4*'NIFTY MEMBS'!R117</f>
        <v>17435.381888409745</v>
      </c>
      <c r="R128" s="4">
        <f>$R$4*'NIFTY MEMBS'!S117</f>
        <v>19952.826067965405</v>
      </c>
      <c r="S128" s="4">
        <f>$S$4*'NIFTY MEMBS'!T117</f>
        <v>22718.790819182686</v>
      </c>
      <c r="T128" s="4">
        <f>$T$4*'NIFTY MEMBS'!U117</f>
        <v>24963.207307789897</v>
      </c>
      <c r="U128" s="4">
        <f>$U$4*'NIFTY MEMBS'!V117</f>
        <v>21546.168385143756</v>
      </c>
      <c r="V128" s="4">
        <f>$V$4*'NIFTY MEMBS'!W117</f>
        <v>19784.205005245018</v>
      </c>
      <c r="W128" s="4">
        <f>$W$4*'NIFTY MEMBS'!X117</f>
        <v>18041.229656419531</v>
      </c>
      <c r="X128" s="4">
        <f>$X$4*'NIFTY MEMBS'!Y117</f>
        <v>21957.823910724539</v>
      </c>
      <c r="Y128" s="4">
        <f>$Y$4*'NIFTY MEMBS'!Z117</f>
        <v>21233.171555180419</v>
      </c>
      <c r="Z128" s="4">
        <f>$Z$4*'NIFTY MEMBS'!AA117</f>
        <v>27121.469887716914</v>
      </c>
      <c r="AA128" s="4">
        <f>$AA$4*'NIFTY MEMBS'!AB117</f>
        <v>22001.214865536473</v>
      </c>
      <c r="AB128" s="4">
        <f>$AB$4*'NIFTY MEMBS'!AC117</f>
        <v>17687.645687645687</v>
      </c>
      <c r="AC128" s="4">
        <f>$AC$4*'NIFTY MEMBS'!AD117</f>
        <v>18456.829896907217</v>
      </c>
      <c r="AD128" s="4">
        <f>$AD$4*'NIFTY MEMBS'!AE117</f>
        <v>17945.945945945943</v>
      </c>
      <c r="AE128" s="4">
        <f>$AE$4*'NIFTY MEMBS'!AF117</f>
        <v>19440.424229596538</v>
      </c>
      <c r="AF128" s="4">
        <f>$AF$4*'NIFTY MEMBS'!AG117</f>
        <v>19681.947367279194</v>
      </c>
      <c r="AG128" s="4">
        <f>$AG$4*'NIFTY MEMBS'!AH117</f>
        <v>19888.71635610766</v>
      </c>
      <c r="AH128" s="4">
        <f>$AH$4*'NIFTY MEMBS'!AI117</f>
        <v>21379.838099979719</v>
      </c>
      <c r="AI128" s="4">
        <f>$AI$4*'NIFTY MEMBS'!AJ117</f>
        <v>22085.710106771974</v>
      </c>
      <c r="AJ128" s="4">
        <f>$AJ$4*'NIFTY MEMBS'!AK117</f>
        <v>18663.163080965682</v>
      </c>
      <c r="AK128" s="4">
        <f>$AK$4*'NIFTY MEMBS'!AL117</f>
        <v>22055.975267694448</v>
      </c>
      <c r="AL128" s="4">
        <f>$AL$4*'NIFTY MEMBS'!AM117</f>
        <v>22489.91873579923</v>
      </c>
      <c r="AM128" s="4">
        <f>$AM$4*'NIFTY MEMBS'!AN117</f>
        <v>16195.414576863492</v>
      </c>
      <c r="AN128" s="4">
        <f>$AN$4*'NIFTY MEMBS'!AO117</f>
        <v>25555.555555555555</v>
      </c>
      <c r="AO128" s="4">
        <f>$AO$4*'NIFTY MEMBS'!AP117</f>
        <v>24687.297472456252</v>
      </c>
      <c r="AP128" s="4">
        <f>$AP$4*'NIFTY MEMBS'!AQ117</f>
        <v>21632.515389155913</v>
      </c>
      <c r="AQ128" s="4">
        <f>$AQ$4*'NIFTY MEMBS'!AR117</f>
        <v>19766.998268626932</v>
      </c>
      <c r="AR128" s="4">
        <f>$AR$4*'NIFTY MEMBS'!AS117</f>
        <v>19410.110522529594</v>
      </c>
      <c r="AS128" s="4">
        <f>$AS$4*'NIFTY MEMBS'!AT117</f>
        <v>19022.613014186561</v>
      </c>
      <c r="AT128" s="4">
        <f>$AT$4*'NIFTY MEMBS'!AU117</f>
        <v>22345.947612766176</v>
      </c>
      <c r="AU128" s="4">
        <f>$AU$4*'NIFTY MEMBS'!AV117</f>
        <v>23650.983374986419</v>
      </c>
      <c r="AV128" s="4">
        <f>$AV$4*'NIFTY MEMBS'!AW117</f>
        <v>19373.26515704894</v>
      </c>
      <c r="AW128" s="4">
        <f>$AW$4*'NIFTY MEMBS'!AX117</f>
        <v>20955.703992256862</v>
      </c>
      <c r="AX128" s="4">
        <f>$AX$4*'NIFTY MEMBS'!AY117</f>
        <v>17278.72911079018</v>
      </c>
      <c r="AY128" s="4">
        <f t="shared" si="10"/>
        <v>1019261.2700050977</v>
      </c>
      <c r="AZ128" s="4">
        <f t="shared" si="11"/>
        <v>104.00625204133651</v>
      </c>
    </row>
    <row r="129" spans="1:52" ht="14.25" customHeight="1" x14ac:dyDescent="0.3">
      <c r="A129" s="2">
        <v>45828</v>
      </c>
      <c r="B129" s="4">
        <f>$B$4*'NIFTY MEMBS'!C118</f>
        <v>24011.463664278403</v>
      </c>
      <c r="C129" s="4">
        <f>$C$4*'NIFTY MEMBS'!D118</f>
        <v>22041.104803787388</v>
      </c>
      <c r="D129" s="4">
        <f>$D$4*'NIFTY MEMBS'!E118</f>
        <v>24273.986338284139</v>
      </c>
      <c r="E129" s="4">
        <f>$E$4*'NIFTY MEMBS'!F118</f>
        <v>16708.774574766867</v>
      </c>
      <c r="F129" s="4">
        <f>$F$4*'NIFTY MEMBS'!G118</f>
        <v>22235.032913956293</v>
      </c>
      <c r="G129" s="4">
        <f>$G$4*'NIFTY MEMBS'!H118</f>
        <v>20074.382249117498</v>
      </c>
      <c r="H129" s="4">
        <f>$H$4*'NIFTY MEMBS'!I118</f>
        <v>17241.965471447544</v>
      </c>
      <c r="I129" s="4">
        <f>$I$4*'NIFTY MEMBS'!J118</f>
        <v>19863.054993325008</v>
      </c>
      <c r="J129" s="4">
        <f>$J$4*'NIFTY MEMBS'!K118</f>
        <v>26098.36632878174</v>
      </c>
      <c r="K129" s="4">
        <f>$K$4*'NIFTY MEMBS'!L118</f>
        <v>18284.478616049975</v>
      </c>
      <c r="L129" s="4">
        <f>$L$4*'NIFTY MEMBS'!M118</f>
        <v>19970.006816632584</v>
      </c>
      <c r="M129" s="4">
        <f>$M$4*'NIFTY MEMBS'!N118</f>
        <v>22824.157097864976</v>
      </c>
      <c r="N129" s="4">
        <f>$N$4*'NIFTY MEMBS'!O118</f>
        <v>20664.503569110966</v>
      </c>
      <c r="O129" s="4">
        <f>$O$4*'NIFTY MEMBS'!P118</f>
        <v>24265.265041377766</v>
      </c>
      <c r="P129" s="4">
        <f>$P$4*'NIFTY MEMBS'!Q118</f>
        <v>18200.266743377182</v>
      </c>
      <c r="Q129" s="4">
        <f>$Q$4*'NIFTY MEMBS'!R118</f>
        <v>17620.571972803511</v>
      </c>
      <c r="R129" s="4">
        <f>$R$4*'NIFTY MEMBS'!S118</f>
        <v>20019.219009347427</v>
      </c>
      <c r="S129" s="4">
        <f>$S$4*'NIFTY MEMBS'!T118</f>
        <v>22778.503452136596</v>
      </c>
      <c r="T129" s="4">
        <f>$T$4*'NIFTY MEMBS'!U118</f>
        <v>25199.188023344326</v>
      </c>
      <c r="U129" s="4">
        <f>$U$4*'NIFTY MEMBS'!V118</f>
        <v>21629.761666948387</v>
      </c>
      <c r="V129" s="4">
        <f>$V$4*'NIFTY MEMBS'!W118</f>
        <v>20092.911733852838</v>
      </c>
      <c r="W129" s="4">
        <f>$W$4*'NIFTY MEMBS'!X118</f>
        <v>18324.050632911396</v>
      </c>
      <c r="X129" s="4">
        <f>$X$4*'NIFTY MEMBS'!Y118</f>
        <v>22143.267416099119</v>
      </c>
      <c r="Y129" s="4">
        <f>$Y$4*'NIFTY MEMBS'!Z118</f>
        <v>21261.02553281283</v>
      </c>
      <c r="Z129" s="4">
        <f>$Z$4*'NIFTY MEMBS'!AA118</f>
        <v>27781.558353181357</v>
      </c>
      <c r="AA129" s="4">
        <f>$AA$4*'NIFTY MEMBS'!AB118</f>
        <v>22211.055276381907</v>
      </c>
      <c r="AB129" s="4">
        <f>$AB$4*'NIFTY MEMBS'!AC118</f>
        <v>17751.581751581751</v>
      </c>
      <c r="AC129" s="4">
        <f>$AC$4*'NIFTY MEMBS'!AD118</f>
        <v>18885.30927835052</v>
      </c>
      <c r="AD129" s="4">
        <f>$AD$4*'NIFTY MEMBS'!AE118</f>
        <v>18050.050050050049</v>
      </c>
      <c r="AE129" s="4">
        <f>$AE$4*'NIFTY MEMBS'!AF118</f>
        <v>19154.401038836229</v>
      </c>
      <c r="AF129" s="4">
        <f>$AF$4*'NIFTY MEMBS'!AG118</f>
        <v>19835.549866574096</v>
      </c>
      <c r="AG129" s="4">
        <f>$AG$4*'NIFTY MEMBS'!AH118</f>
        <v>20137.163561076606</v>
      </c>
      <c r="AH129" s="4">
        <f>$AH$4*'NIFTY MEMBS'!AI118</f>
        <v>21762.460585274108</v>
      </c>
      <c r="AI129" s="4">
        <f>$AI$4*'NIFTY MEMBS'!AJ118</f>
        <v>22227.585198186338</v>
      </c>
      <c r="AJ129" s="4">
        <f>$AJ$4*'NIFTY MEMBS'!AK118</f>
        <v>19329.939234685502</v>
      </c>
      <c r="AK129" s="4">
        <f>$AK$4*'NIFTY MEMBS'!AL118</f>
        <v>22214.851667587984</v>
      </c>
      <c r="AL129" s="4">
        <f>$AL$4*'NIFTY MEMBS'!AM118</f>
        <v>22618.877039281106</v>
      </c>
      <c r="AM129" s="4">
        <f>$AM$4*'NIFTY MEMBS'!AN118</f>
        <v>16687.771025954826</v>
      </c>
      <c r="AN129" s="4">
        <f>$AN$4*'NIFTY MEMBS'!AO118</f>
        <v>25862.610682662096</v>
      </c>
      <c r="AO129" s="4">
        <f>$AO$4*'NIFTY MEMBS'!AP118</f>
        <v>25241.412832145168</v>
      </c>
      <c r="AP129" s="4">
        <f>$AP$4*'NIFTY MEMBS'!AQ118</f>
        <v>21895.606712201701</v>
      </c>
      <c r="AQ129" s="4">
        <f>$AQ$4*'NIFTY MEMBS'!AR118</f>
        <v>19909.02955072336</v>
      </c>
      <c r="AR129" s="4">
        <f>$AR$4*'NIFTY MEMBS'!AS118</f>
        <v>19615.460074553659</v>
      </c>
      <c r="AS129" s="4">
        <f>$AS$4*'NIFTY MEMBS'!AT118</f>
        <v>19169.16000081415</v>
      </c>
      <c r="AT129" s="4">
        <f>$AT$4*'NIFTY MEMBS'!AU118</f>
        <v>22830.760796943789</v>
      </c>
      <c r="AU129" s="4">
        <f>$AU$4*'NIFTY MEMBS'!AV118</f>
        <v>23909.59469738129</v>
      </c>
      <c r="AV129" s="4">
        <f>$AV$4*'NIFTY MEMBS'!AW118</f>
        <v>19361.577794010227</v>
      </c>
      <c r="AW129" s="4">
        <f>$AW$4*'NIFTY MEMBS'!AX118</f>
        <v>20736.793050294549</v>
      </c>
      <c r="AX129" s="4">
        <f>$AX$4*'NIFTY MEMBS'!AY118</f>
        <v>17335.465236228596</v>
      </c>
      <c r="AY129" s="4">
        <f t="shared" si="10"/>
        <v>1030340.9340173755</v>
      </c>
      <c r="AZ129" s="4">
        <f t="shared" si="11"/>
        <v>105.13683000177301</v>
      </c>
    </row>
    <row r="130" spans="1:52" ht="14.25" customHeight="1" x14ac:dyDescent="0.3">
      <c r="A130" s="2">
        <v>45831</v>
      </c>
      <c r="B130" s="4">
        <f>$B$4*'NIFTY MEMBS'!C119</f>
        <v>23857.523029682699</v>
      </c>
      <c r="C130" s="4">
        <f>$C$4*'NIFTY MEMBS'!D119</f>
        <v>21858.242276021454</v>
      </c>
      <c r="D130" s="4">
        <f>$D$4*'NIFTY MEMBS'!E119</f>
        <v>24268.972864573541</v>
      </c>
      <c r="E130" s="4">
        <f>$E$4*'NIFTY MEMBS'!F119</f>
        <v>16504.030444139138</v>
      </c>
      <c r="F130" s="4">
        <f>$F$4*'NIFTY MEMBS'!G119</f>
        <v>22125.968916760798</v>
      </c>
      <c r="G130" s="4">
        <f>$G$4*'NIFTY MEMBS'!H119</f>
        <v>19924.357034795765</v>
      </c>
      <c r="H130" s="4">
        <f>$H$4*'NIFTY MEMBS'!I119</f>
        <v>16828.685258964142</v>
      </c>
      <c r="I130" s="4">
        <f>$I$4*'NIFTY MEMBS'!J119</f>
        <v>19595.194005426125</v>
      </c>
      <c r="J130" s="4">
        <f>$J$4*'NIFTY MEMBS'!K119</f>
        <v>26401.165054143297</v>
      </c>
      <c r="K130" s="4">
        <f>$K$4*'NIFTY MEMBS'!L119</f>
        <v>18081.342012144509</v>
      </c>
      <c r="L130" s="4">
        <f>$L$4*'NIFTY MEMBS'!M119</f>
        <v>19543.012951601908</v>
      </c>
      <c r="M130" s="4">
        <f>$M$4*'NIFTY MEMBS'!N119</f>
        <v>22659.993040871497</v>
      </c>
      <c r="N130" s="4">
        <f>$N$4*'NIFTY MEMBS'!O119</f>
        <v>20343.932511356263</v>
      </c>
      <c r="O130" s="4">
        <f>$O$4*'NIFTY MEMBS'!P119</f>
        <v>24425.18452247819</v>
      </c>
      <c r="P130" s="4">
        <f>$P$4*'NIFTY MEMBS'!Q119</f>
        <v>17816.36549072936</v>
      </c>
      <c r="Q130" s="4">
        <f>$Q$4*'NIFTY MEMBS'!R119</f>
        <v>17593.058017407868</v>
      </c>
      <c r="R130" s="4">
        <f>$R$4*'NIFTY MEMBS'!S119</f>
        <v>20003.494365335893</v>
      </c>
      <c r="S130" s="4">
        <f>$S$4*'NIFTY MEMBS'!T119</f>
        <v>22655.346146669155</v>
      </c>
      <c r="T130" s="4">
        <f>$T$4*'NIFTY MEMBS'!U119</f>
        <v>25343.821365135747</v>
      </c>
      <c r="U130" s="4">
        <f>$U$4*'NIFTY MEMBS'!V119</f>
        <v>21548.012354595325</v>
      </c>
      <c r="V130" s="4">
        <f>$V$4*'NIFTY MEMBS'!W119</f>
        <v>19937.059793196466</v>
      </c>
      <c r="W130" s="4">
        <f>$W$4*'NIFTY MEMBS'!X119</f>
        <v>18418.806509945753</v>
      </c>
      <c r="X130" s="4">
        <f>$X$4*'NIFTY MEMBS'!Y119</f>
        <v>22233.527529334533</v>
      </c>
      <c r="Y130" s="4">
        <f>$Y$4*'NIFTY MEMBS'!Z119</f>
        <v>21217.978476471832</v>
      </c>
      <c r="Z130" s="4">
        <f>$Z$4*'NIFTY MEMBS'!AA119</f>
        <v>28642.395372575709</v>
      </c>
      <c r="AA130" s="4">
        <f>$AA$4*'NIFTY MEMBS'!AB119</f>
        <v>22022.198906621015</v>
      </c>
      <c r="AB130" s="4">
        <f>$AB$4*'NIFTY MEMBS'!AC119</f>
        <v>17531.801531801531</v>
      </c>
      <c r="AC130" s="4">
        <f>$AC$4*'NIFTY MEMBS'!AD119</f>
        <v>18701.67525773196</v>
      </c>
      <c r="AD130" s="4">
        <f>$AD$4*'NIFTY MEMBS'!AE119</f>
        <v>17917.917917917915</v>
      </c>
      <c r="AE130" s="4">
        <f>$AE$4*'NIFTY MEMBS'!AF119</f>
        <v>18961.049361882262</v>
      </c>
      <c r="AF130" s="4">
        <f>$AF$4*'NIFTY MEMBS'!AG119</f>
        <v>19648.102748790487</v>
      </c>
      <c r="AG130" s="4">
        <f>$AG$4*'NIFTY MEMBS'!AH119</f>
        <v>20315.734989648034</v>
      </c>
      <c r="AH130" s="4">
        <f>$AH$4*'NIFTY MEMBS'!AI119</f>
        <v>21750.474820674524</v>
      </c>
      <c r="AI130" s="4">
        <f>$AI$4*'NIFTY MEMBS'!AJ119</f>
        <v>22294.86616937253</v>
      </c>
      <c r="AJ130" s="4">
        <f>$AJ$4*'NIFTY MEMBS'!AK119</f>
        <v>19257.677779602564</v>
      </c>
      <c r="AK130" s="4">
        <f>$AK$4*'NIFTY MEMBS'!AL119</f>
        <v>22305.755174743565</v>
      </c>
      <c r="AL130" s="4">
        <f>$AL$4*'NIFTY MEMBS'!AM119</f>
        <v>22731.459685177979</v>
      </c>
      <c r="AM130" s="4">
        <f>$AM$4*'NIFTY MEMBS'!AN119</f>
        <v>17317.364761143457</v>
      </c>
      <c r="AN130" s="4">
        <f>$AN$4*'NIFTY MEMBS'!AO119</f>
        <v>25972.579263067691</v>
      </c>
      <c r="AO130" s="4">
        <f>$AO$4*'NIFTY MEMBS'!AP119</f>
        <v>25085.871678548276</v>
      </c>
      <c r="AP130" s="4">
        <f>$AP$4*'NIFTY MEMBS'!AQ119</f>
        <v>22308.795008010791</v>
      </c>
      <c r="AQ130" s="4">
        <f>$AQ$4*'NIFTY MEMBS'!AR119</f>
        <v>19741.174399154854</v>
      </c>
      <c r="AR130" s="4">
        <f>$AR$4*'NIFTY MEMBS'!AS119</f>
        <v>19607.612320973119</v>
      </c>
      <c r="AS130" s="4">
        <f>$AS$4*'NIFTY MEMBS'!AT119</f>
        <v>19017.185348015169</v>
      </c>
      <c r="AT130" s="4">
        <f>$AT$4*'NIFTY MEMBS'!AU119</f>
        <v>22669.727442481966</v>
      </c>
      <c r="AU130" s="4">
        <f>$AU$4*'NIFTY MEMBS'!AV119</f>
        <v>24109.529501249595</v>
      </c>
      <c r="AV130" s="4">
        <f>$AV$4*'NIFTY MEMBS'!AW119</f>
        <v>19253.469685902121</v>
      </c>
      <c r="AW130" s="4">
        <f>$AW$4*'NIFTY MEMBS'!AX119</f>
        <v>20328.605398687967</v>
      </c>
      <c r="AX130" s="4">
        <f>$AX$4*'NIFTY MEMBS'!AY119</f>
        <v>17328.24427480916</v>
      </c>
      <c r="AY130" s="4">
        <f t="shared" si="10"/>
        <v>1028006.3427703655</v>
      </c>
      <c r="AZ130" s="4">
        <f t="shared" si="11"/>
        <v>104.89860640513935</v>
      </c>
    </row>
    <row r="131" spans="1:52" ht="14.25" customHeight="1" x14ac:dyDescent="0.3">
      <c r="A131" s="2">
        <v>45832</v>
      </c>
      <c r="B131" s="4">
        <f>$B$4*'NIFTY MEMBS'!C120</f>
        <v>23759.263050153528</v>
      </c>
      <c r="C131" s="4">
        <f>$C$4*'NIFTY MEMBS'!D120</f>
        <v>21998.474275841956</v>
      </c>
      <c r="D131" s="4">
        <f>$D$4*'NIFTY MEMBS'!E120</f>
        <v>24235.131917027007</v>
      </c>
      <c r="E131" s="4">
        <f>$E$4*'NIFTY MEMBS'!F120</f>
        <v>16488.467944899028</v>
      </c>
      <c r="F131" s="4">
        <f>$F$4*'NIFTY MEMBS'!G120</f>
        <v>22188.291200872511</v>
      </c>
      <c r="G131" s="4">
        <f>$G$4*'NIFTY MEMBS'!H120</f>
        <v>20055.471507816437</v>
      </c>
      <c r="H131" s="4">
        <f>$H$4*'NIFTY MEMBS'!I120</f>
        <v>16803.187250996016</v>
      </c>
      <c r="I131" s="4">
        <f>$I$4*'NIFTY MEMBS'!J120</f>
        <v>19491.839283407262</v>
      </c>
      <c r="J131" s="4">
        <f>$J$4*'NIFTY MEMBS'!K120</f>
        <v>26430.003027987252</v>
      </c>
      <c r="K131" s="4">
        <f>$K$4*'NIFTY MEMBS'!L120</f>
        <v>18101.000393167622</v>
      </c>
      <c r="L131" s="4">
        <f>$L$4*'NIFTY MEMBS'!M120</f>
        <v>19658.077709611451</v>
      </c>
      <c r="M131" s="4">
        <f>$M$4*'NIFTY MEMBS'!N120</f>
        <v>22502.96655157339</v>
      </c>
      <c r="N131" s="4">
        <f>$N$4*'NIFTY MEMBS'!O120</f>
        <v>20441.92083062946</v>
      </c>
      <c r="O131" s="4">
        <f>$O$4*'NIFTY MEMBS'!P120</f>
        <v>24866.92015209125</v>
      </c>
      <c r="P131" s="4">
        <f>$P$4*'NIFTY MEMBS'!Q120</f>
        <v>17697.115510342843</v>
      </c>
      <c r="Q131" s="4">
        <f>$Q$4*'NIFTY MEMBS'!R120</f>
        <v>17584.592184978439</v>
      </c>
      <c r="R131" s="4">
        <f>$R$4*'NIFTY MEMBS'!S120</f>
        <v>20230.628112169125</v>
      </c>
      <c r="S131" s="4">
        <f>$S$4*'NIFTY MEMBS'!T120</f>
        <v>22787.833551035645</v>
      </c>
      <c r="T131" s="4">
        <f>$T$4*'NIFTY MEMBS'!U120</f>
        <v>25490.992133976146</v>
      </c>
      <c r="U131" s="4">
        <f>$U$4*'NIFTY MEMBS'!V120</f>
        <v>21672.787620818417</v>
      </c>
      <c r="V131" s="4">
        <f>$V$4*'NIFTY MEMBS'!W120</f>
        <v>19778.210699835156</v>
      </c>
      <c r="W131" s="4">
        <f>$W$4*'NIFTY MEMBS'!X120</f>
        <v>18449.909584086799</v>
      </c>
      <c r="X131" s="4">
        <f>$X$4*'NIFTY MEMBS'!Y120</f>
        <v>22802.986789201605</v>
      </c>
      <c r="Y131" s="4">
        <f>$Y$4*'NIFTY MEMBS'!Z120</f>
        <v>20588.30976999367</v>
      </c>
      <c r="Z131" s="4">
        <f>$Z$4*'NIFTY MEMBS'!AA120</f>
        <v>28479.074515141208</v>
      </c>
      <c r="AA131" s="4">
        <f>$AA$4*'NIFTY MEMBS'!AB120</f>
        <v>22243.083549616211</v>
      </c>
      <c r="AB131" s="4">
        <f>$AB$4*'NIFTY MEMBS'!AC120</f>
        <v>17647.01964701965</v>
      </c>
      <c r="AC131" s="4">
        <f>$AC$4*'NIFTY MEMBS'!AD120</f>
        <v>18424.613402061856</v>
      </c>
      <c r="AD131" s="4">
        <f>$AD$4*'NIFTY MEMBS'!AE120</f>
        <v>17981.981981981982</v>
      </c>
      <c r="AE131" s="4">
        <f>$AE$4*'NIFTY MEMBS'!AF120</f>
        <v>19168.130151992726</v>
      </c>
      <c r="AF131" s="4">
        <f>$AF$4*'NIFTY MEMBS'!AG120</f>
        <v>19745.297550604213</v>
      </c>
      <c r="AG131" s="4">
        <f>$AG$4*'NIFTY MEMBS'!AH120</f>
        <v>20323.498964803312</v>
      </c>
      <c r="AH131" s="4">
        <f>$AH$4*'NIFTY MEMBS'!AI120</f>
        <v>21812.247607456993</v>
      </c>
      <c r="AI131" s="4">
        <f>$AI$4*'NIFTY MEMBS'!AJ120</f>
        <v>22640.046804153866</v>
      </c>
      <c r="AJ131" s="4">
        <f>$AJ$4*'NIFTY MEMBS'!AK120</f>
        <v>19760.223353588441</v>
      </c>
      <c r="AK131" s="4">
        <f>$AK$4*'NIFTY MEMBS'!AL120</f>
        <v>22774.194869275023</v>
      </c>
      <c r="AL131" s="4">
        <f>$AL$4*'NIFTY MEMBS'!AM120</f>
        <v>23044.644136491104</v>
      </c>
      <c r="AM131" s="4">
        <f>$AM$4*'NIFTY MEMBS'!AN120</f>
        <v>17140.51258833766</v>
      </c>
      <c r="AN131" s="4">
        <f>$AN$4*'NIFTY MEMBS'!AO120</f>
        <v>26321.05112824907</v>
      </c>
      <c r="AO131" s="4">
        <f>$AO$4*'NIFTY MEMBS'!AP120</f>
        <v>25265.716137394684</v>
      </c>
      <c r="AP131" s="4">
        <f>$AP$4*'NIFTY MEMBS'!AQ120</f>
        <v>22578.632262416726</v>
      </c>
      <c r="AQ131" s="4">
        <f>$AQ$4*'NIFTY MEMBS'!AR120</f>
        <v>19686.005223464505</v>
      </c>
      <c r="AR131" s="4">
        <f>$AR$4*'NIFTY MEMBS'!AS120</f>
        <v>19650.774965666078</v>
      </c>
      <c r="AS131" s="4">
        <f>$AS$4*'NIFTY MEMBS'!AT120</f>
        <v>19013.114598386626</v>
      </c>
      <c r="AT131" s="4">
        <f>$AT$4*'NIFTY MEMBS'!AU120</f>
        <v>23163.106230620317</v>
      </c>
      <c r="AU131" s="4">
        <f>$AU$4*'NIFTY MEMBS'!AV120</f>
        <v>24072.585026621757</v>
      </c>
      <c r="AV131" s="4">
        <f>$AV$4*'NIFTY MEMBS'!AW120</f>
        <v>19536.888239590942</v>
      </c>
      <c r="AW131" s="4">
        <f>$AW$4*'NIFTY MEMBS'!AX120</f>
        <v>20516.926165354234</v>
      </c>
      <c r="AX131" s="4">
        <f>$AX$4*'NIFTY MEMBS'!AY120</f>
        <v>17164.225293996289</v>
      </c>
      <c r="AY131" s="4">
        <f t="shared" si="10"/>
        <v>1032257.9754467972</v>
      </c>
      <c r="AZ131" s="4">
        <f t="shared" si="11"/>
        <v>105.33244647416298</v>
      </c>
    </row>
    <row r="132" spans="1:52" ht="14.25" customHeight="1" x14ac:dyDescent="0.3">
      <c r="A132" s="2">
        <v>45833</v>
      </c>
      <c r="B132" s="4">
        <f>$B$4*'NIFTY MEMBS'!C121</f>
        <v>24029.477993858749</v>
      </c>
      <c r="C132" s="4">
        <f>$C$4*'NIFTY MEMBS'!D121</f>
        <v>22214.992483564813</v>
      </c>
      <c r="D132" s="4">
        <f>$D$4*'NIFTY MEMBS'!E121</f>
        <v>24636.209813874786</v>
      </c>
      <c r="E132" s="4">
        <f>$E$4*'NIFTY MEMBS'!F121</f>
        <v>16753.030431980937</v>
      </c>
      <c r="F132" s="4">
        <f>$F$4*'NIFTY MEMBS'!G121</f>
        <v>22214.778171619986</v>
      </c>
      <c r="G132" s="4">
        <f>$G$4*'NIFTY MEMBS'!H121</f>
        <v>20172.718103883002</v>
      </c>
      <c r="H132" s="4">
        <f>$H$4*'NIFTY MEMBS'!I121</f>
        <v>17156.972111553783</v>
      </c>
      <c r="I132" s="4">
        <f>$I$4*'NIFTY MEMBS'!J121</f>
        <v>19626.200422031783</v>
      </c>
      <c r="J132" s="4">
        <f>$J$4*'NIFTY MEMBS'!K121</f>
        <v>26761.639727192767</v>
      </c>
      <c r="K132" s="4">
        <f>$K$4*'NIFTY MEMBS'!L121</f>
        <v>18188.370975492551</v>
      </c>
      <c r="L132" s="4">
        <f>$L$4*'NIFTY MEMBS'!M121</f>
        <v>19739.877300613498</v>
      </c>
      <c r="M132" s="4">
        <f>$M$4*'NIFTY MEMBS'!N121</f>
        <v>22781.331691692765</v>
      </c>
      <c r="N132" s="4">
        <f>$N$4*'NIFTY MEMBS'!O121</f>
        <v>20866.320571057753</v>
      </c>
      <c r="O132" s="4">
        <f>$O$4*'NIFTY MEMBS'!P121</f>
        <v>24583.985685528965</v>
      </c>
      <c r="P132" s="4">
        <f>$P$4*'NIFTY MEMBS'!Q121</f>
        <v>17961.766782604147</v>
      </c>
      <c r="Q132" s="4">
        <f>$Q$4*'NIFTY MEMBS'!R121</f>
        <v>17668.192280219049</v>
      </c>
      <c r="R132" s="4">
        <f>$R$4*'NIFTY MEMBS'!S121</f>
        <v>20499.694243033107</v>
      </c>
      <c r="S132" s="4">
        <f>$S$4*'NIFTY MEMBS'!T121</f>
        <v>22640.41798843068</v>
      </c>
      <c r="T132" s="4">
        <f>$T$4*'NIFTY MEMBS'!U121</f>
        <v>25523.978685612787</v>
      </c>
      <c r="U132" s="4">
        <f>$U$4*'NIFTY MEMBS'!V121</f>
        <v>22448.484103446688</v>
      </c>
      <c r="V132" s="4">
        <f>$V$4*'NIFTY MEMBS'!W121</f>
        <v>19832.159448523904</v>
      </c>
      <c r="W132" s="4">
        <f>$W$4*'NIFTY MEMBS'!X121</f>
        <v>18724.050632911396</v>
      </c>
      <c r="X132" s="4">
        <f>$X$4*'NIFTY MEMBS'!Y121</f>
        <v>22862.066136046604</v>
      </c>
      <c r="Y132" s="4">
        <f>$Y$4*'NIFTY MEMBS'!Z121</f>
        <v>20418.653724414435</v>
      </c>
      <c r="Z132" s="4">
        <f>$Z$4*'NIFTY MEMBS'!AA121</f>
        <v>27631.847567199733</v>
      </c>
      <c r="AA132" s="4">
        <f>$AA$4*'NIFTY MEMBS'!AB121</f>
        <v>22628.52725164283</v>
      </c>
      <c r="AB132" s="4">
        <f>$AB$4*'NIFTY MEMBS'!AC121</f>
        <v>17942.723942723944</v>
      </c>
      <c r="AC132" s="4">
        <f>$AC$4*'NIFTY MEMBS'!AD121</f>
        <v>18714.561855670105</v>
      </c>
      <c r="AD132" s="4">
        <f>$AD$4*'NIFTY MEMBS'!AE121</f>
        <v>18004.671338004671</v>
      </c>
      <c r="AE132" s="4">
        <f>$AE$4*'NIFTY MEMBS'!AF121</f>
        <v>19196.732471068754</v>
      </c>
      <c r="AF132" s="4">
        <f>$AF$4*'NIFTY MEMBS'!AG121</f>
        <v>19785.216844206279</v>
      </c>
      <c r="AG132" s="4">
        <f>$AG$4*'NIFTY MEMBS'!AH121</f>
        <v>20276.915113871637</v>
      </c>
      <c r="AH132" s="4">
        <f>$AH$4*'NIFTY MEMBS'!AI121</f>
        <v>22168.132617875388</v>
      </c>
      <c r="AI132" s="4">
        <f>$AI$4*'NIFTY MEMBS'!AJ121</f>
        <v>22874.067573497145</v>
      </c>
      <c r="AJ132" s="4">
        <f>$AJ$4*'NIFTY MEMBS'!AK121</f>
        <v>19924.453933322387</v>
      </c>
      <c r="AK132" s="4">
        <f>$AK$4*'NIFTY MEMBS'!AL121</f>
        <v>23191.040681366827</v>
      </c>
      <c r="AL132" s="4">
        <f>$AL$4*'NIFTY MEMBS'!AM121</f>
        <v>22827.666673489854</v>
      </c>
      <c r="AM132" s="4">
        <f>$AM$4*'NIFTY MEMBS'!AN121</f>
        <v>17330.098117585472</v>
      </c>
      <c r="AN132" s="4">
        <f>$AN$4*'NIFTY MEMBS'!AO121</f>
        <v>26316.766638103396</v>
      </c>
      <c r="AO132" s="4">
        <f>$AO$4*'NIFTY MEMBS'!AP121</f>
        <v>25440.699935191184</v>
      </c>
      <c r="AP132" s="4">
        <f>$AP$4*'NIFTY MEMBS'!AQ121</f>
        <v>22688.253647019137</v>
      </c>
      <c r="AQ132" s="4">
        <f>$AQ$4*'NIFTY MEMBS'!AR121</f>
        <v>20013.498840860404</v>
      </c>
      <c r="AR132" s="4">
        <f>$AR$4*'NIFTY MEMBS'!AS121</f>
        <v>19750.179844352886</v>
      </c>
      <c r="AS132" s="4">
        <f>$AS$4*'NIFTY MEMBS'!AT121</f>
        <v>19110.812589471683</v>
      </c>
      <c r="AT132" s="4">
        <f>$AT$4*'NIFTY MEMBS'!AU121</f>
        <v>23130.556935569526</v>
      </c>
      <c r="AU132" s="4">
        <f>$AU$4*'NIFTY MEMBS'!AV121</f>
        <v>24481.147451917856</v>
      </c>
      <c r="AV132" s="4">
        <f>$AV$4*'NIFTY MEMBS'!AW121</f>
        <v>19599.70781592403</v>
      </c>
      <c r="AW132" s="4">
        <f>$AW$4*'NIFTY MEMBS'!AX121</f>
        <v>20556.597798941293</v>
      </c>
      <c r="AX132" s="4">
        <f>$AX$4*'NIFTY MEMBS'!AY121</f>
        <v>17119.867959562616</v>
      </c>
      <c r="AY132" s="4">
        <f t="shared" si="10"/>
        <v>1039010.114947628</v>
      </c>
      <c r="AZ132" s="4">
        <f t="shared" si="11"/>
        <v>106.02144030077835</v>
      </c>
    </row>
    <row r="133" spans="1:52" ht="14.25" customHeight="1" x14ac:dyDescent="0.3">
      <c r="A133" s="2">
        <v>45834</v>
      </c>
      <c r="B133" s="4">
        <f>$B$4*'NIFTY MEMBS'!C122</f>
        <v>24488.024564994881</v>
      </c>
      <c r="C133" s="4">
        <f>$C$4*'NIFTY MEMBS'!D122</f>
        <v>22681.684578967444</v>
      </c>
      <c r="D133" s="4">
        <f>$D$4*'NIFTY MEMBS'!E122</f>
        <v>25246.600238139999</v>
      </c>
      <c r="E133" s="4">
        <f>$E$4*'NIFTY MEMBS'!F122</f>
        <v>16738.440588943333</v>
      </c>
      <c r="F133" s="4">
        <f>$F$4*'NIFTY MEMBS'!G122</f>
        <v>22421.999766291432</v>
      </c>
      <c r="G133" s="4">
        <f>$G$4*'NIFTY MEMBS'!H122</f>
        <v>20097.075138678767</v>
      </c>
      <c r="H133" s="4">
        <f>$H$4*'NIFTY MEMBS'!I122</f>
        <v>17168.658698539177</v>
      </c>
      <c r="I133" s="4">
        <f>$I$4*'NIFTY MEMBS'!J122</f>
        <v>19644.287498385085</v>
      </c>
      <c r="J133" s="4">
        <f>$J$4*'NIFTY MEMBS'!K122</f>
        <v>27439.332112525775</v>
      </c>
      <c r="K133" s="4">
        <f>$K$4*'NIFTY MEMBS'!L122</f>
        <v>18360.92787558429</v>
      </c>
      <c r="L133" s="4">
        <f>$L$4*'NIFTY MEMBS'!M122</f>
        <v>19956.918882072256</v>
      </c>
      <c r="M133" s="4">
        <f>$M$4*'NIFTY MEMBS'!N122</f>
        <v>22688.543311652975</v>
      </c>
      <c r="N133" s="4">
        <f>$N$4*'NIFTY MEMBS'!O122</f>
        <v>20868.267358857884</v>
      </c>
      <c r="O133" s="4">
        <f>$O$4*'NIFTY MEMBS'!P122</f>
        <v>24646.61149630955</v>
      </c>
      <c r="P133" s="4">
        <f>$P$4*'NIFTY MEMBS'!Q122</f>
        <v>18034.990454771305</v>
      </c>
      <c r="Q133" s="4">
        <f>$Q$4*'NIFTY MEMBS'!R122</f>
        <v>17670.30873832641</v>
      </c>
      <c r="R133" s="4">
        <f>$R$4*'NIFTY MEMBS'!S122</f>
        <v>20880.580064645757</v>
      </c>
      <c r="S133" s="4">
        <f>$S$4*'NIFTY MEMBS'!T122</f>
        <v>23017.353983952231</v>
      </c>
      <c r="T133" s="4">
        <f>$T$4*'NIFTY MEMBS'!U122</f>
        <v>26054.300938848006</v>
      </c>
      <c r="U133" s="4">
        <f>$U$4*'NIFTY MEMBS'!V122</f>
        <v>22709.713109086159</v>
      </c>
      <c r="V133" s="4">
        <f>$V$4*'NIFTY MEMBS'!W122</f>
        <v>20209.80068934512</v>
      </c>
      <c r="W133" s="4">
        <f>$W$4*'NIFTY MEMBS'!X122</f>
        <v>19181.193490054251</v>
      </c>
      <c r="X133" s="4">
        <f>$X$4*'NIFTY MEMBS'!Y122</f>
        <v>23456.141790432423</v>
      </c>
      <c r="Y133" s="4">
        <f>$Y$4*'NIFTY MEMBS'!Z122</f>
        <v>20656.678624182317</v>
      </c>
      <c r="Z133" s="4">
        <f>$Z$4*'NIFTY MEMBS'!AA122</f>
        <v>27907.451514120454</v>
      </c>
      <c r="AA133" s="4">
        <f>$AA$4*'NIFTY MEMBS'!AB122</f>
        <v>22807.443812468937</v>
      </c>
      <c r="AB133" s="4">
        <f>$AB$4*'NIFTY MEMBS'!AC122</f>
        <v>17883.449883449881</v>
      </c>
      <c r="AC133" s="4">
        <f>$AC$4*'NIFTY MEMBS'!AD122</f>
        <v>18911.082474226805</v>
      </c>
      <c r="AD133" s="4">
        <f>$AD$4*'NIFTY MEMBS'!AE122</f>
        <v>18224.891558224892</v>
      </c>
      <c r="AE133" s="4">
        <f>$AE$4*'NIFTY MEMBS'!AF122</f>
        <v>19296.268541453341</v>
      </c>
      <c r="AF133" s="4">
        <f>$AF$4*'NIFTY MEMBS'!AG122</f>
        <v>19871.130106523768</v>
      </c>
      <c r="AG133" s="4">
        <f>$AG$4*'NIFTY MEMBS'!AH122</f>
        <v>20401.138716356108</v>
      </c>
      <c r="AH133" s="4">
        <f>$AH$4*'NIFTY MEMBS'!AI122</f>
        <v>22417.067728789811</v>
      </c>
      <c r="AI133" s="4">
        <f>$AI$4*'NIFTY MEMBS'!AJ122</f>
        <v>23481.058943981276</v>
      </c>
      <c r="AJ133" s="4">
        <f>$AJ$4*'NIFTY MEMBS'!AK122</f>
        <v>20528.82246674331</v>
      </c>
      <c r="AK133" s="4">
        <f>$AK$4*'NIFTY MEMBS'!AL122</f>
        <v>23612.800196548123</v>
      </c>
      <c r="AL133" s="4">
        <f>$AL$4*'NIFTY MEMBS'!AM122</f>
        <v>22973.000634556731</v>
      </c>
      <c r="AM133" s="4">
        <f>$AM$4*'NIFTY MEMBS'!AN122</f>
        <v>17280.579509199852</v>
      </c>
      <c r="AN133" s="4">
        <f>$AN$4*'NIFTY MEMBS'!AO122</f>
        <v>26575.264210225647</v>
      </c>
      <c r="AO133" s="4">
        <f>$AO$4*'NIFTY MEMBS'!AP122</f>
        <v>25905.703175631883</v>
      </c>
      <c r="AP133" s="4">
        <f>$AP$4*'NIFTY MEMBS'!AQ122</f>
        <v>23293.700986592459</v>
      </c>
      <c r="AQ133" s="4">
        <f>$AQ$4*'NIFTY MEMBS'!AR122</f>
        <v>19839.774628048246</v>
      </c>
      <c r="AR133" s="4">
        <f>$AR$4*'NIFTY MEMBS'!AS122</f>
        <v>19799.88228369629</v>
      </c>
      <c r="AS133" s="4">
        <f>$AS$4*'NIFTY MEMBS'!AT122</f>
        <v>19272.285658070599</v>
      </c>
      <c r="AT133" s="4">
        <f>$AT$4*'NIFTY MEMBS'!AU122</f>
        <v>24093.330820756171</v>
      </c>
      <c r="AU133" s="4">
        <f>$AU$4*'NIFTY MEMBS'!AV122</f>
        <v>24891.883081603828</v>
      </c>
      <c r="AV133" s="4">
        <f>$AV$4*'NIFTY MEMBS'!AW122</f>
        <v>19306.062819576335</v>
      </c>
      <c r="AW133" s="4">
        <f>$AW$4*'NIFTY MEMBS'!AX122</f>
        <v>20447.620299449136</v>
      </c>
      <c r="AX133" s="4">
        <f>$AX$4*'NIFTY MEMBS'!AY122</f>
        <v>17249.845265112443</v>
      </c>
      <c r="AY133" s="4">
        <f t="shared" si="10"/>
        <v>1050589.9733089933</v>
      </c>
      <c r="AZ133" s="4">
        <f t="shared" si="11"/>
        <v>107.20305850091769</v>
      </c>
    </row>
    <row r="134" spans="1:52" ht="14.25" customHeight="1" x14ac:dyDescent="0.3">
      <c r="A134" s="2">
        <v>45835</v>
      </c>
      <c r="B134" s="4">
        <f>$B$4*'NIFTY MEMBS'!C123</f>
        <v>24817.195496417604</v>
      </c>
      <c r="C134" s="4">
        <f>$C$4*'NIFTY MEMBS'!D123</f>
        <v>22604.276515066529</v>
      </c>
      <c r="D134" s="4">
        <f>$D$4*'NIFTY MEMBS'!E123</f>
        <v>25407.031396879109</v>
      </c>
      <c r="E134" s="4">
        <f>$E$4*'NIFTY MEMBS'!F123</f>
        <v>16735.036292234556</v>
      </c>
      <c r="F134" s="4">
        <f>$F$4*'NIFTY MEMBS'!G123</f>
        <v>22781.910957036576</v>
      </c>
      <c r="G134" s="4">
        <f>$G$4*'NIFTY MEMBS'!H123</f>
        <v>20307.61472516389</v>
      </c>
      <c r="H134" s="4">
        <f>$H$4*'NIFTY MEMBS'!I123</f>
        <v>17083.665338645416</v>
      </c>
      <c r="I134" s="4">
        <f>$I$4*'NIFTY MEMBS'!J123</f>
        <v>19869.08401877611</v>
      </c>
      <c r="J134" s="4">
        <f>$J$4*'NIFTY MEMBS'!K123</f>
        <v>27309.561230227962</v>
      </c>
      <c r="K134" s="4">
        <f>$K$4*'NIFTY MEMBS'!L123</f>
        <v>18288.847145166219</v>
      </c>
      <c r="L134" s="4">
        <f>$L$4*'NIFTY MEMBS'!M123</f>
        <v>20063.803680981593</v>
      </c>
      <c r="M134" s="4">
        <f>$M$4*'NIFTY MEMBS'!N123</f>
        <v>22558.282701212494</v>
      </c>
      <c r="N134" s="4">
        <f>$N$4*'NIFTY MEMBS'!O123</f>
        <v>20787.151200519143</v>
      </c>
      <c r="O134" s="4">
        <f>$O$4*'NIFTY MEMBS'!P123</f>
        <v>24691.344218295682</v>
      </c>
      <c r="P134" s="4">
        <f>$P$4*'NIFTY MEMBS'!Q123</f>
        <v>18026.622035095061</v>
      </c>
      <c r="Q134" s="4">
        <f>$Q$4*'NIFTY MEMBS'!R123</f>
        <v>17858.67350988121</v>
      </c>
      <c r="R134" s="4">
        <f>$R$4*'NIFTY MEMBS'!S123</f>
        <v>21338.341923648117</v>
      </c>
      <c r="S134" s="4">
        <f>$S$4*'NIFTY MEMBS'!T123</f>
        <v>22860.608322448217</v>
      </c>
      <c r="T134" s="4">
        <f>$T$4*'NIFTY MEMBS'!U123</f>
        <v>25932.504440497334</v>
      </c>
      <c r="U134" s="4">
        <f>$U$4*'NIFTY MEMBS'!V123</f>
        <v>22534.536011186749</v>
      </c>
      <c r="V134" s="4">
        <f>$V$4*'NIFTY MEMBS'!W123</f>
        <v>20278.73520155852</v>
      </c>
      <c r="W134" s="4">
        <f>$W$4*'NIFTY MEMBS'!X123</f>
        <v>18941.04882459313</v>
      </c>
      <c r="X134" s="4">
        <f>$X$4*'NIFTY MEMBS'!Y123</f>
        <v>23635.020923935339</v>
      </c>
      <c r="Y134" s="4">
        <f>$Y$4*'NIFTY MEMBS'!Z123</f>
        <v>20496.307237813886</v>
      </c>
      <c r="Z134" s="4">
        <f>$Z$4*'NIFTY MEMBS'!AA123</f>
        <v>28206.873086083706</v>
      </c>
      <c r="AA134" s="4">
        <f>$AA$4*'NIFTY MEMBS'!AB123</f>
        <v>22726.820917775694</v>
      </c>
      <c r="AB134" s="4">
        <f>$AB$4*'NIFTY MEMBS'!AC123</f>
        <v>17652.347652347653</v>
      </c>
      <c r="AC134" s="4">
        <f>$AC$4*'NIFTY MEMBS'!AD123</f>
        <v>19281.572164948455</v>
      </c>
      <c r="AD134" s="4">
        <f>$AD$4*'NIFTY MEMBS'!AE123</f>
        <v>18335.669002335668</v>
      </c>
      <c r="AE134" s="4">
        <f>$AE$4*'NIFTY MEMBS'!AF123</f>
        <v>19303.133098031591</v>
      </c>
      <c r="AF134" s="4">
        <f>$AF$4*'NIFTY MEMBS'!AG123</f>
        <v>20469.051699824264</v>
      </c>
      <c r="AG134" s="4">
        <f>$AG$4*'NIFTY MEMBS'!AH123</f>
        <v>20401.138716356108</v>
      </c>
      <c r="AH134" s="4">
        <f>$AH$4*'NIFTY MEMBS'!AI123</f>
        <v>22668.768785381057</v>
      </c>
      <c r="AI134" s="4">
        <f>$AI$4*'NIFTY MEMBS'!AJ123</f>
        <v>23614.158256545266</v>
      </c>
      <c r="AJ134" s="4">
        <f>$AJ$4*'NIFTY MEMBS'!AK123</f>
        <v>21248.152405977995</v>
      </c>
      <c r="AK134" s="4">
        <f>$AK$4*'NIFTY MEMBS'!AL123</f>
        <v>23430.993182236962</v>
      </c>
      <c r="AL134" s="4">
        <f>$AL$4*'NIFTY MEMBS'!AM123</f>
        <v>23171.555482774853</v>
      </c>
      <c r="AM134" s="4">
        <f>$AM$4*'NIFTY MEMBS'!AN123</f>
        <v>17032.986467271738</v>
      </c>
      <c r="AN134" s="4">
        <f>$AN$4*'NIFTY MEMBS'!AO123</f>
        <v>26429.591545272775</v>
      </c>
      <c r="AO134" s="4">
        <f>$AO$4*'NIFTY MEMBS'!AP123</f>
        <v>26148.736228127022</v>
      </c>
      <c r="AP134" s="4">
        <f>$AP$4*'NIFTY MEMBS'!AQ123</f>
        <v>23521.376169997468</v>
      </c>
      <c r="AQ134" s="4">
        <f>$AQ$4*'NIFTY MEMBS'!AR123</f>
        <v>19654.312292748775</v>
      </c>
      <c r="AR134" s="4">
        <f>$AR$4*'NIFTY MEMBS'!AS123</f>
        <v>19650.774965666078</v>
      </c>
      <c r="AS134" s="4">
        <f>$AS$4*'NIFTY MEMBS'!AT123</f>
        <v>19834.049106809685</v>
      </c>
      <c r="AT134" s="4">
        <f>$AT$4*'NIFTY MEMBS'!AU123</f>
        <v>23981.977969266612</v>
      </c>
      <c r="AU134" s="4">
        <f>$AU$4*'NIFTY MEMBS'!AV123</f>
        <v>24433.336955340648</v>
      </c>
      <c r="AV134" s="4">
        <f>$AV$4*'NIFTY MEMBS'!AW123</f>
        <v>19006.574141709276</v>
      </c>
      <c r="AW134" s="4">
        <f>$AW$4*'NIFTY MEMBS'!AX123</f>
        <v>20649.802239296427</v>
      </c>
      <c r="AX134" s="4">
        <f>$AX$4*'NIFTY MEMBS'!AY123</f>
        <v>17695.481741283271</v>
      </c>
      <c r="AY134" s="4">
        <f t="shared" si="10"/>
        <v>1053756.4376206896</v>
      </c>
      <c r="AZ134" s="4">
        <f t="shared" si="11"/>
        <v>107.52616710415199</v>
      </c>
    </row>
    <row r="135" spans="1:52" ht="14.25" customHeight="1" x14ac:dyDescent="0.3">
      <c r="A135" s="2">
        <v>45838</v>
      </c>
      <c r="B135" s="4">
        <f>$B$4*'NIFTY MEMBS'!C124</f>
        <v>24574.820880245647</v>
      </c>
      <c r="C135" s="4">
        <f>$C$4*'NIFTY MEMBS'!D124</f>
        <v>22453.94781125895</v>
      </c>
      <c r="D135" s="4">
        <f>$D$4*'NIFTY MEMBS'!E124</f>
        <v>25187.691922040482</v>
      </c>
      <c r="E135" s="4">
        <f>$E$4*'NIFTY MEMBS'!F124</f>
        <v>16836.678865396541</v>
      </c>
      <c r="F135" s="4">
        <f>$F$4*'NIFTY MEMBS'!G124</f>
        <v>22526.389592178552</v>
      </c>
      <c r="G135" s="4">
        <f>$G$4*'NIFTY MEMBS'!H124</f>
        <v>20684.568835098333</v>
      </c>
      <c r="H135" s="4">
        <f>$H$4*'NIFTY MEMBS'!I124</f>
        <v>17017.795484727754</v>
      </c>
      <c r="I135" s="4">
        <f>$I$4*'NIFTY MEMBS'!J124</f>
        <v>19763.145428706775</v>
      </c>
      <c r="J135" s="4">
        <f>$J$4*'NIFTY MEMBS'!K124</f>
        <v>27006.762504866409</v>
      </c>
      <c r="K135" s="4">
        <f>$K$4*'NIFTY MEMBS'!L124</f>
        <v>18192.739504608799</v>
      </c>
      <c r="L135" s="4">
        <f>$L$4*'NIFTY MEMBS'!M124</f>
        <v>20012.542603953647</v>
      </c>
      <c r="M135" s="4">
        <f>$M$4*'NIFTY MEMBS'!N124</f>
        <v>22126.459855642694</v>
      </c>
      <c r="N135" s="4">
        <f>$N$4*'NIFTY MEMBS'!O124</f>
        <v>20656.716417910444</v>
      </c>
      <c r="O135" s="4">
        <f>$O$4*'NIFTY MEMBS'!P124</f>
        <v>24194.811004249605</v>
      </c>
      <c r="P135" s="4">
        <f>$P$4*'NIFTY MEMBS'!Q124</f>
        <v>18082.062815450194</v>
      </c>
      <c r="Q135" s="4">
        <f>$Q$4*'NIFTY MEMBS'!R124</f>
        <v>17732.744252493452</v>
      </c>
      <c r="R135" s="4">
        <f>$R$4*'NIFTY MEMBS'!S124</f>
        <v>21128.680003494363</v>
      </c>
      <c r="S135" s="4">
        <f>$S$4*'NIFTY MEMBS'!T124</f>
        <v>22377.309199477517</v>
      </c>
      <c r="T135" s="4">
        <f>$T$4*'NIFTY MEMBS'!U124</f>
        <v>26084.750063435673</v>
      </c>
      <c r="U135" s="4">
        <f>$U$4*'NIFTY MEMBS'!V124</f>
        <v>22682.053567312567</v>
      </c>
      <c r="V135" s="4">
        <f>$V$4*'NIFTY MEMBS'!W124</f>
        <v>20074.928817623259</v>
      </c>
      <c r="W135" s="4">
        <f>$W$4*'NIFTY MEMBS'!X124</f>
        <v>19106.690777576852</v>
      </c>
      <c r="X135" s="4">
        <f>$X$4*'NIFTY MEMBS'!Y124</f>
        <v>23799.130220727002</v>
      </c>
      <c r="Y135" s="4">
        <f>$Y$4*'NIFTY MEMBS'!Z124</f>
        <v>20612.787507913064</v>
      </c>
      <c r="Z135" s="4">
        <f>$Z$4*'NIFTY MEMBS'!AA124</f>
        <v>28683.225586934335</v>
      </c>
      <c r="AA135" s="4">
        <f>$AA$4*'NIFTY MEMBS'!AB124</f>
        <v>22541.277817659728</v>
      </c>
      <c r="AB135" s="4">
        <f>$AB$4*'NIFTY MEMBS'!AC124</f>
        <v>17714.285714285714</v>
      </c>
      <c r="AC135" s="4">
        <f>$AC$4*'NIFTY MEMBS'!AD124</f>
        <v>19323.453608247422</v>
      </c>
      <c r="AD135" s="4">
        <f>$AD$4*'NIFTY MEMBS'!AE124</f>
        <v>18365.03169836503</v>
      </c>
      <c r="AE135" s="4">
        <f>$AE$4*'NIFTY MEMBS'!AF124</f>
        <v>19165.841966466643</v>
      </c>
      <c r="AF135" s="4">
        <f>$AF$4*'NIFTY MEMBS'!AG124</f>
        <v>20316.317011259842</v>
      </c>
      <c r="AG135" s="4">
        <f>$AG$4*'NIFTY MEMBS'!AH124</f>
        <v>20287.267080745343</v>
      </c>
      <c r="AH135" s="4">
        <f>$AH$4*'NIFTY MEMBS'!AI124</f>
        <v>22729.619590271253</v>
      </c>
      <c r="AI135" s="4">
        <f>$AI$4*'NIFTY MEMBS'!AJ124</f>
        <v>23366.973818926428</v>
      </c>
      <c r="AJ135" s="4">
        <f>$AJ$4*'NIFTY MEMBS'!AK124</f>
        <v>21464.936771226807</v>
      </c>
      <c r="AK135" s="4">
        <f>$AK$4*'NIFTY MEMBS'!AL124</f>
        <v>23295.047396761049</v>
      </c>
      <c r="AL135" s="4">
        <f>$AL$4*'NIFTY MEMBS'!AM124</f>
        <v>23157.226782387977</v>
      </c>
      <c r="AM135" s="4">
        <f>$AM$4*'NIFTY MEMBS'!AN124</f>
        <v>17593.254150720495</v>
      </c>
      <c r="AN135" s="4">
        <f>$AN$4*'NIFTY MEMBS'!AO124</f>
        <v>26253.927449300198</v>
      </c>
      <c r="AO135" s="4">
        <f>$AO$4*'NIFTY MEMBS'!AP124</f>
        <v>26386.908619572256</v>
      </c>
      <c r="AP135" s="4">
        <f>$AP$4*'NIFTY MEMBS'!AQ124</f>
        <v>23369.59271439413</v>
      </c>
      <c r="AQ135" s="4">
        <f>$AQ$4*'NIFTY MEMBS'!AR124</f>
        <v>19802.212636088858</v>
      </c>
      <c r="AR135" s="4">
        <f>$AR$4*'NIFTY MEMBS'!AS124</f>
        <v>19696.553528219214</v>
      </c>
      <c r="AS135" s="4">
        <f>$AS$4*'NIFTY MEMBS'!AT124</f>
        <v>19653.579206610895</v>
      </c>
      <c r="AT135" s="4">
        <f>$AT$4*'NIFTY MEMBS'!AU124</f>
        <v>24218.388638582903</v>
      </c>
      <c r="AU135" s="4">
        <f>$AU$4*'NIFTY MEMBS'!AV124</f>
        <v>23881.343040312946</v>
      </c>
      <c r="AV135" s="4">
        <f>$AV$4*'NIFTY MEMBS'!AW124</f>
        <v>18747.991234477722</v>
      </c>
      <c r="AW135" s="4">
        <f>$AW$4*'NIFTY MEMBS'!AX124</f>
        <v>20252.129960447859</v>
      </c>
      <c r="AX135" s="4">
        <f>$AX$4*'NIFTY MEMBS'!AY124</f>
        <v>17992.572725397156</v>
      </c>
      <c r="AY135" s="4">
        <f t="shared" si="10"/>
        <v>1051175.1666840508</v>
      </c>
      <c r="AZ135" s="4">
        <f t="shared" si="11"/>
        <v>107.26277211061743</v>
      </c>
    </row>
    <row r="136" spans="1:52" ht="14.25" customHeight="1" x14ac:dyDescent="0.3">
      <c r="A136" s="2">
        <v>45839</v>
      </c>
      <c r="B136" s="4">
        <f>$B$4*'NIFTY MEMBS'!C125</f>
        <v>25030.092118730809</v>
      </c>
      <c r="C136" s="4">
        <f>$C$4*'NIFTY MEMBS'!D125</f>
        <v>22572.864547106736</v>
      </c>
      <c r="D136" s="4">
        <f>$D$4*'NIFTY MEMBS'!E125</f>
        <v>25310.522027950115</v>
      </c>
      <c r="E136" s="4">
        <f>$E$4*'NIFTY MEMBS'!F125</f>
        <v>16679.594888691656</v>
      </c>
      <c r="F136" s="4">
        <f>$F$4*'NIFTY MEMBS'!G125</f>
        <v>22311.377711993144</v>
      </c>
      <c r="G136" s="4">
        <f>$G$4*'NIFTY MEMBS'!H125</f>
        <v>20683.308119011595</v>
      </c>
      <c r="H136" s="4">
        <f>$H$4*'NIFTY MEMBS'!I125</f>
        <v>17070.916334661353</v>
      </c>
      <c r="I136" s="4">
        <f>$I$4*'NIFTY MEMBS'!J125</f>
        <v>19770.897032858189</v>
      </c>
      <c r="J136" s="4">
        <f>$J$4*'NIFTY MEMBS'!K125</f>
        <v>27011.088200943002</v>
      </c>
      <c r="K136" s="4">
        <f>$K$4*'NIFTY MEMBS'!L125</f>
        <v>18133.76436153947</v>
      </c>
      <c r="L136" s="4">
        <f>$L$4*'NIFTY MEMBS'!M125</f>
        <v>19995.637355146555</v>
      </c>
      <c r="M136" s="4">
        <f>$M$4*'NIFTY MEMBS'!N125</f>
        <v>22201.404316444066</v>
      </c>
      <c r="N136" s="4">
        <f>$N$4*'NIFTY MEMBS'!O125</f>
        <v>20610.642439974043</v>
      </c>
      <c r="O136" s="4">
        <f>$O$4*'NIFTY MEMBS'!P125</f>
        <v>24419.592932229923</v>
      </c>
      <c r="P136" s="4">
        <f>$P$4*'NIFTY MEMBS'!Q125</f>
        <v>17974.319412118515</v>
      </c>
      <c r="Q136" s="4">
        <f>$Q$4*'NIFTY MEMBS'!R125</f>
        <v>17642.794782930763</v>
      </c>
      <c r="R136" s="4">
        <f>$R$4*'NIFTY MEMBS'!S125</f>
        <v>21333.100375644273</v>
      </c>
      <c r="S136" s="4">
        <f>$S$4*'NIFTY MEMBS'!T125</f>
        <v>21894.010076506813</v>
      </c>
      <c r="T136" s="4">
        <f>$T$4*'NIFTY MEMBS'!U125</f>
        <v>26056.83836589698</v>
      </c>
      <c r="U136" s="4">
        <f>$U$4*'NIFTY MEMBS'!V125</f>
        <v>22745.363185149901</v>
      </c>
      <c r="V136" s="4">
        <f>$V$4*'NIFTY MEMBS'!W125</f>
        <v>19937.059793196466</v>
      </c>
      <c r="W136" s="4">
        <f>$W$4*'NIFTY MEMBS'!X125</f>
        <v>18878.842676311033</v>
      </c>
      <c r="X136" s="4">
        <f>$X$4*'NIFTY MEMBS'!Y125</f>
        <v>23746.61524575367</v>
      </c>
      <c r="Y136" s="4">
        <f>$Y$4*'NIFTY MEMBS'!Z125</f>
        <v>20541.886473939652</v>
      </c>
      <c r="Z136" s="4">
        <f>$Z$4*'NIFTY MEMBS'!AA125</f>
        <v>29414.766927526372</v>
      </c>
      <c r="AA136" s="4">
        <f>$AA$4*'NIFTY MEMBS'!AB125</f>
        <v>22742.282842785353</v>
      </c>
      <c r="AB136" s="4">
        <f>$AB$4*'NIFTY MEMBS'!AC125</f>
        <v>17619.047619047618</v>
      </c>
      <c r="AC136" s="4">
        <f>$AC$4*'NIFTY MEMBS'!AD125</f>
        <v>19172.036082474227</v>
      </c>
      <c r="AD136" s="4">
        <f>$AD$4*'NIFTY MEMBS'!AE125</f>
        <v>18252.919586252916</v>
      </c>
      <c r="AE136" s="4">
        <f>$AE$4*'NIFTY MEMBS'!AF125</f>
        <v>19218.470233566539</v>
      </c>
      <c r="AF136" s="4">
        <f>$AF$4*'NIFTY MEMBS'!AG125</f>
        <v>20562.775258716072</v>
      </c>
      <c r="AG136" s="4">
        <f>$AG$4*'NIFTY MEMBS'!AH125</f>
        <v>20173.395445134574</v>
      </c>
      <c r="AH136" s="4">
        <f>$AH$4*'NIFTY MEMBS'!AI125</f>
        <v>22220.6855857351</v>
      </c>
      <c r="AI136" s="4">
        <f>$AI$4*'NIFTY MEMBS'!AJ125</f>
        <v>23410.852713178294</v>
      </c>
      <c r="AJ136" s="4">
        <f>$AJ$4*'NIFTY MEMBS'!AK125</f>
        <v>21652.159632123505</v>
      </c>
      <c r="AK136" s="4">
        <f>$AK$4*'NIFTY MEMBS'!AL125</f>
        <v>23324.529615297994</v>
      </c>
      <c r="AL136" s="4">
        <f>$AL$4*'NIFTY MEMBS'!AM125</f>
        <v>23398.767731766726</v>
      </c>
      <c r="AM136" s="4">
        <f>$AM$4*'NIFTY MEMBS'!AN125</f>
        <v>17385.275995500881</v>
      </c>
      <c r="AN136" s="4">
        <f>$AN$4*'NIFTY MEMBS'!AO125</f>
        <v>26599.542987717792</v>
      </c>
      <c r="AO136" s="4">
        <f>$AO$4*'NIFTY MEMBS'!AP125</f>
        <v>26244.329228775106</v>
      </c>
      <c r="AP136" s="4">
        <f>$AP$4*'NIFTY MEMBS'!AQ125</f>
        <v>23418.500716755203</v>
      </c>
      <c r="AQ136" s="4">
        <f>$AQ$4*'NIFTY MEMBS'!AR125</f>
        <v>19616.75030078939</v>
      </c>
      <c r="AR136" s="4">
        <f>$AR$4*'NIFTY MEMBS'!AS125</f>
        <v>19824.733503367996</v>
      </c>
      <c r="AS136" s="4">
        <f>$AS$4*'NIFTY MEMBS'!AT125</f>
        <v>20342.892810377696</v>
      </c>
      <c r="AT136" s="4">
        <f>$AT$4*'NIFTY MEMBS'!AU125</f>
        <v>23862.059513816319</v>
      </c>
      <c r="AU136" s="4">
        <f>$AU$4*'NIFTY MEMBS'!AV125</f>
        <v>23809.627295447135</v>
      </c>
      <c r="AV136" s="4">
        <f>$AV$4*'NIFTY MEMBS'!AW125</f>
        <v>18653.031409788167</v>
      </c>
      <c r="AW136" s="4">
        <f>$AW$4*'NIFTY MEMBS'!AX125</f>
        <v>20199.075125168783</v>
      </c>
      <c r="AX136" s="4">
        <f>$AX$4*'NIFTY MEMBS'!AY125</f>
        <v>18136.991953785848</v>
      </c>
      <c r="AY136" s="4">
        <f t="shared" si="10"/>
        <v>1051808.0328896244</v>
      </c>
      <c r="AZ136" s="4">
        <f t="shared" si="11"/>
        <v>107.32735029485963</v>
      </c>
    </row>
    <row r="137" spans="1:52" ht="14.25" customHeight="1" x14ac:dyDescent="0.3">
      <c r="A137" s="2">
        <v>45840</v>
      </c>
      <c r="B137" s="4">
        <f>$B$4*'NIFTY MEMBS'!C126</f>
        <v>24872.876151484132</v>
      </c>
      <c r="C137" s="4">
        <f>$C$4*'NIFTY MEMBS'!D126</f>
        <v>22280.060131481525</v>
      </c>
      <c r="D137" s="4">
        <f>$D$4*'NIFTY MEMBS'!E126</f>
        <v>25484.74023939337</v>
      </c>
      <c r="E137" s="4">
        <f>$E$4*'NIFTY MEMBS'!F126</f>
        <v>16648.469890211432</v>
      </c>
      <c r="F137" s="4">
        <f>$F$4*'NIFTY MEMBS'!G126</f>
        <v>22245.939313675844</v>
      </c>
      <c r="G137" s="4">
        <f>$G$4*'NIFTY MEMBS'!H126</f>
        <v>20496.722138174482</v>
      </c>
      <c r="H137" s="4">
        <f>$H$4*'NIFTY MEMBS'!I126</f>
        <v>17110.225763612216</v>
      </c>
      <c r="I137" s="4">
        <f>$I$4*'NIFTY MEMBS'!J126</f>
        <v>19870.806597476425</v>
      </c>
      <c r="J137" s="4">
        <f>$J$4*'NIFTY MEMBS'!K126</f>
        <v>26617.449857972977</v>
      </c>
      <c r="K137" s="4">
        <f>$K$4*'NIFTY MEMBS'!L126</f>
        <v>18039.840985540166</v>
      </c>
      <c r="L137" s="4">
        <f>$L$4*'NIFTY MEMBS'!M126</f>
        <v>19614.451261077029</v>
      </c>
      <c r="M137" s="4">
        <f>$M$4*'NIFTY MEMBS'!N126</f>
        <v>22522.594862735652</v>
      </c>
      <c r="N137" s="4">
        <f>$N$4*'NIFTY MEMBS'!O126</f>
        <v>20539.909149902658</v>
      </c>
      <c r="O137" s="4">
        <f>$O$4*'NIFTY MEMBS'!P126</f>
        <v>24257.436815030193</v>
      </c>
      <c r="P137" s="4">
        <f>$P$4*'NIFTY MEMBS'!Q126</f>
        <v>17977.45756949711</v>
      </c>
      <c r="Q137" s="4">
        <f>$Q$4*'NIFTY MEMBS'!R126</f>
        <v>17751.792375459667</v>
      </c>
      <c r="R137" s="4">
        <f>$R$4*'NIFTY MEMBS'!S126</f>
        <v>21727.963658600507</v>
      </c>
      <c r="S137" s="4">
        <f>$S$4*'NIFTY MEMBS'!T126</f>
        <v>21931.330472103004</v>
      </c>
      <c r="T137" s="4">
        <f>$T$4*'NIFTY MEMBS'!U126</f>
        <v>25474.498858157825</v>
      </c>
      <c r="U137" s="4">
        <f>$U$4*'NIFTY MEMBS'!V126</f>
        <v>22791.462421439221</v>
      </c>
      <c r="V137" s="4">
        <f>$V$4*'NIFTY MEMBS'!W126</f>
        <v>20005.994305409862</v>
      </c>
      <c r="W137" s="4">
        <f>$W$4*'NIFTY MEMBS'!X126</f>
        <v>18788.42676311031</v>
      </c>
      <c r="X137" s="4">
        <f>$X$4*'NIFTY MEMBS'!Y126</f>
        <v>23695.741363748253</v>
      </c>
      <c r="Y137" s="4">
        <f>$Y$4*'NIFTY MEMBS'!Z126</f>
        <v>20347.752690441022</v>
      </c>
      <c r="Z137" s="4">
        <f>$Z$4*'NIFTY MEMBS'!AA126</f>
        <v>29054.100034025181</v>
      </c>
      <c r="AA137" s="4">
        <f>$AA$4*'NIFTY MEMBS'!AB126</f>
        <v>23411.5633110608</v>
      </c>
      <c r="AB137" s="4">
        <f>$AB$4*'NIFTY MEMBS'!AC126</f>
        <v>17782.21778221778</v>
      </c>
      <c r="AC137" s="4">
        <f>$AC$4*'NIFTY MEMBS'!AD126</f>
        <v>18998.067010309282</v>
      </c>
      <c r="AD137" s="4">
        <f>$AD$4*'NIFTY MEMBS'!AE126</f>
        <v>18379.713046379711</v>
      </c>
      <c r="AE137" s="4">
        <f>$AE$4*'NIFTY MEMBS'!AF126</f>
        <v>19121.222348708034</v>
      </c>
      <c r="AF137" s="4">
        <f>$AF$4*'NIFTY MEMBS'!AG126</f>
        <v>20995.812813225435</v>
      </c>
      <c r="AG137" s="4">
        <f>$AG$4*'NIFTY MEMBS'!AH126</f>
        <v>20025.879917184266</v>
      </c>
      <c r="AH137" s="4">
        <f>$AH$4*'NIFTY MEMBS'!AI126</f>
        <v>22016.927587542184</v>
      </c>
      <c r="AI137" s="4">
        <f>$AI$4*'NIFTY MEMBS'!AJ126</f>
        <v>24262.10326166447</v>
      </c>
      <c r="AJ137" s="4">
        <f>$AJ$4*'NIFTY MEMBS'!AK126</f>
        <v>21461.652159632125</v>
      </c>
      <c r="AK137" s="4">
        <f>$AK$4*'NIFTY MEMBS'!AL126</f>
        <v>23338.451774051551</v>
      </c>
      <c r="AL137" s="4">
        <f>$AL$4*'NIFTY MEMBS'!AM126</f>
        <v>23427.425132540477</v>
      </c>
      <c r="AM137" s="4">
        <f>$AM$4*'NIFTY MEMBS'!AN126</f>
        <v>17607.402324544961</v>
      </c>
      <c r="AN137" s="4">
        <f>$AN$4*'NIFTY MEMBS'!AO126</f>
        <v>26518.137674950009</v>
      </c>
      <c r="AO137" s="4">
        <f>$AO$4*'NIFTY MEMBS'!AP126</f>
        <v>25589.760207388201</v>
      </c>
      <c r="AP137" s="4">
        <f>$AP$4*'NIFTY MEMBS'!AQ126</f>
        <v>23555.105826798212</v>
      </c>
      <c r="AQ137" s="4">
        <f>$AQ$4*'NIFTY MEMBS'!AR126</f>
        <v>19686.005223464505</v>
      </c>
      <c r="AR137" s="4">
        <f>$AR$4*'NIFTY MEMBS'!AS126</f>
        <v>19587.992937021776</v>
      </c>
      <c r="AS137" s="4">
        <f>$AS$4*'NIFTY MEMBS'!AT126</f>
        <v>20193.631990664413</v>
      </c>
      <c r="AT137" s="4">
        <f>$AT$4*'NIFTY MEMBS'!AU126</f>
        <v>23192.229284086818</v>
      </c>
      <c r="AU137" s="4">
        <f>$AU$4*'NIFTY MEMBS'!AV126</f>
        <v>23813.973704226883</v>
      </c>
      <c r="AV137" s="4">
        <f>$AV$4*'NIFTY MEMBS'!AW126</f>
        <v>18565.376186997808</v>
      </c>
      <c r="AW137" s="4">
        <f>$AW$4*'NIFTY MEMBS'!AX126</f>
        <v>20283.676078721903</v>
      </c>
      <c r="AX137" s="4">
        <f>$AX$4*'NIFTY MEMBS'!AY126</f>
        <v>17694.450175366208</v>
      </c>
      <c r="AY137" s="4">
        <f t="shared" si="10"/>
        <v>1049656.821428508</v>
      </c>
      <c r="AZ137" s="4">
        <f t="shared" si="11"/>
        <v>107.10783892127634</v>
      </c>
    </row>
    <row r="138" spans="1:52" ht="14.25" customHeight="1" x14ac:dyDescent="0.3">
      <c r="A138" s="2">
        <v>45841</v>
      </c>
      <c r="B138" s="4">
        <f>$B$4*'NIFTY MEMBS'!C127</f>
        <v>24856.49948822927</v>
      </c>
      <c r="C138" s="4">
        <f>$C$4*'NIFTY MEMBS'!D127</f>
        <v>22292.400547465728</v>
      </c>
      <c r="D138" s="4">
        <f>$D$4*'NIFTY MEMBS'!E127</f>
        <v>25309.268659522466</v>
      </c>
      <c r="E138" s="4">
        <f>$E$4*'NIFTY MEMBS'!F127</f>
        <v>16539.046067429394</v>
      </c>
      <c r="F138" s="4">
        <f>$F$4*'NIFTY MEMBS'!G127</f>
        <v>22216.336228722783</v>
      </c>
      <c r="G138" s="4">
        <f>$G$4*'NIFTY MEMBS'!H127</f>
        <v>20350.479072112958</v>
      </c>
      <c r="H138" s="4">
        <f>$H$4*'NIFTY MEMBS'!I127</f>
        <v>17197.343957503319</v>
      </c>
      <c r="I138" s="4">
        <f>$I$4*'NIFTY MEMBS'!J127</f>
        <v>19925.067826536328</v>
      </c>
      <c r="J138" s="4">
        <f>$J$4*'NIFTY MEMBS'!K127</f>
        <v>26246.88189407812</v>
      </c>
      <c r="K138" s="4">
        <f>$K$4*'NIFTY MEMBS'!L127</f>
        <v>18057.315102005155</v>
      </c>
      <c r="L138" s="4">
        <f>$L$4*'NIFTY MEMBS'!M127</f>
        <v>19538.650306748466</v>
      </c>
      <c r="M138" s="4">
        <f>$M$4*'NIFTY MEMBS'!N127</f>
        <v>22754.565812835132</v>
      </c>
      <c r="N138" s="4">
        <f>$N$4*'NIFTY MEMBS'!O127</f>
        <v>20599.610642439973</v>
      </c>
      <c r="O138" s="4">
        <f>$O$4*'NIFTY MEMBS'!P127</f>
        <v>23782.151643927529</v>
      </c>
      <c r="P138" s="4">
        <f>$P$4*'NIFTY MEMBS'!Q127</f>
        <v>17907.372054708543</v>
      </c>
      <c r="Q138" s="4">
        <f>$Q$4*'NIFTY MEMBS'!R127</f>
        <v>17775.073414640599</v>
      </c>
      <c r="R138" s="4">
        <f>$R$4*'NIFTY MEMBS'!S127</f>
        <v>21661.570717218485</v>
      </c>
      <c r="S138" s="4">
        <f>$S$4*'NIFTY MEMBS'!T127</f>
        <v>21852.957641350997</v>
      </c>
      <c r="T138" s="4">
        <f>$T$4*'NIFTY MEMBS'!U127</f>
        <v>25129.408779497589</v>
      </c>
      <c r="U138" s="4">
        <f>$U$4*'NIFTY MEMBS'!V127</f>
        <v>22611.368071668945</v>
      </c>
      <c r="V138" s="4">
        <f>$V$4*'NIFTY MEMBS'!W127</f>
        <v>20056.945901393679</v>
      </c>
      <c r="W138" s="4">
        <f>$W$4*'NIFTY MEMBS'!X127</f>
        <v>18867.992766726948</v>
      </c>
      <c r="X138" s="4">
        <f>$X$4*'NIFTY MEMBS'!Y127</f>
        <v>23485.681463854922</v>
      </c>
      <c r="Y138" s="4">
        <f>$Y$4*'NIFTY MEMBS'!Z127</f>
        <v>20599.282549060987</v>
      </c>
      <c r="Z138" s="4">
        <f>$Z$4*'NIFTY MEMBS'!AA127</f>
        <v>29006.464783940119</v>
      </c>
      <c r="AA138" s="4">
        <f>$AA$4*'NIFTY MEMBS'!AB127</f>
        <v>23106.742503727426</v>
      </c>
      <c r="AB138" s="4">
        <f>$AB$4*'NIFTY MEMBS'!AC127</f>
        <v>17785.547785547784</v>
      </c>
      <c r="AC138" s="4">
        <f>$AC$4*'NIFTY MEMBS'!AD127</f>
        <v>18923.969072164949</v>
      </c>
      <c r="AD138" s="4">
        <f>$AD$4*'NIFTY MEMBS'!AE127</f>
        <v>18429.095762429093</v>
      </c>
      <c r="AE138" s="4">
        <f>$AE$4*'NIFTY MEMBS'!AF127</f>
        <v>19180.715172386179</v>
      </c>
      <c r="AF138" s="4">
        <f>$AF$4*'NIFTY MEMBS'!AG127</f>
        <v>21095.611047230599</v>
      </c>
      <c r="AG138" s="4">
        <f>$AG$4*'NIFTY MEMBS'!AH127</f>
        <v>20002.587991718425</v>
      </c>
      <c r="AH138" s="4">
        <f>$AH$4*'NIFTY MEMBS'!AI127</f>
        <v>22020.615515111287</v>
      </c>
      <c r="AI138" s="4">
        <f>$AI$4*'NIFTY MEMBS'!AJ127</f>
        <v>24266.491151089656</v>
      </c>
      <c r="AJ138" s="4">
        <f>$AJ$4*'NIFTY MEMBS'!AK127</f>
        <v>21353.259977007721</v>
      </c>
      <c r="AK138" s="4">
        <f>$AK$4*'NIFTY MEMBS'!AL127</f>
        <v>23074.749708248877</v>
      </c>
      <c r="AL138" s="4">
        <f>$AL$4*'NIFTY MEMBS'!AM127</f>
        <v>23400.814688964852</v>
      </c>
      <c r="AM138" s="4">
        <f>$AM$4*'NIFTY MEMBS'!AN127</f>
        <v>17518.268829450841</v>
      </c>
      <c r="AN138" s="4">
        <f>$AN$4*'NIFTY MEMBS'!AO127</f>
        <v>25852.613538988859</v>
      </c>
      <c r="AO138" s="4">
        <f>$AO$4*'NIFTY MEMBS'!AP127</f>
        <v>25465.003240440696</v>
      </c>
      <c r="AP138" s="4">
        <f>$AP$4*'NIFTY MEMBS'!AQ127</f>
        <v>23369.59271439413</v>
      </c>
      <c r="AQ138" s="4">
        <f>$AQ$4*'NIFTY MEMBS'!AR127</f>
        <v>19624.966986530508</v>
      </c>
      <c r="AR138" s="4">
        <f>$AR$4*'NIFTY MEMBS'!AS127</f>
        <v>19733.176378261724</v>
      </c>
      <c r="AS138" s="4">
        <f>$AS$4*'NIFTY MEMBS'!AT127</f>
        <v>20530.147293290727</v>
      </c>
      <c r="AT138" s="4">
        <f>$AT$4*'NIFTY MEMBS'!AU127</f>
        <v>23140.835660322406</v>
      </c>
      <c r="AU138" s="4">
        <f>$AU$4*'NIFTY MEMBS'!AV127</f>
        <v>23674.888623275023</v>
      </c>
      <c r="AV138" s="4">
        <f>$AV$4*'NIFTY MEMBS'!AW127</f>
        <v>18864.864864864863</v>
      </c>
      <c r="AW138" s="4">
        <f>$AW$4*'NIFTY MEMBS'!AX127</f>
        <v>20603.439004863361</v>
      </c>
      <c r="AX138" s="4">
        <f>$AX$4*'NIFTY MEMBS'!AY127</f>
        <v>17792.448937487108</v>
      </c>
      <c r="AY138" s="4">
        <f t="shared" si="10"/>
        <v>1047430.1818414155</v>
      </c>
      <c r="AZ138" s="4">
        <f t="shared" si="11"/>
        <v>106.88063080014443</v>
      </c>
    </row>
    <row r="139" spans="1:52" ht="14.25" customHeight="1" x14ac:dyDescent="0.3">
      <c r="A139" s="2">
        <v>45842</v>
      </c>
      <c r="B139" s="4">
        <f>$B$4*'NIFTY MEMBS'!C128</f>
        <v>25012.077789150459</v>
      </c>
      <c r="C139" s="4">
        <f>$C$4*'NIFTY MEMBS'!D128</f>
        <v>22317.081379434137</v>
      </c>
      <c r="D139" s="4">
        <f>$D$4*'NIFTY MEMBS'!E128</f>
        <v>25282.947922541833</v>
      </c>
      <c r="E139" s="4">
        <f>$E$4*'NIFTY MEMBS'!F128</f>
        <v>16631.448406667558</v>
      </c>
      <c r="F139" s="4">
        <f>$F$4*'NIFTY MEMBS'!G128</f>
        <v>22479.647879094766</v>
      </c>
      <c r="G139" s="4">
        <f>$G$4*'NIFTY MEMBS'!H128</f>
        <v>20470.247100353001</v>
      </c>
      <c r="H139" s="4">
        <f>$H$4*'NIFTY MEMBS'!I128</f>
        <v>17431.075697211156</v>
      </c>
      <c r="I139" s="4">
        <f>$I$4*'NIFTY MEMBS'!J128</f>
        <v>20148.14176822704</v>
      </c>
      <c r="J139" s="4">
        <f>$J$4*'NIFTY MEMBS'!K128</f>
        <v>26683.777197814081</v>
      </c>
      <c r="K139" s="4">
        <f>$K$4*'NIFTY MEMBS'!L128</f>
        <v>18022.366869075184</v>
      </c>
      <c r="L139" s="4">
        <f>$L$4*'NIFTY MEMBS'!M128</f>
        <v>19602.453987730059</v>
      </c>
      <c r="M139" s="4">
        <f>$M$4*'NIFTY MEMBS'!N128</f>
        <v>22565.420268907867</v>
      </c>
      <c r="N139" s="4">
        <f>$N$4*'NIFTY MEMBS'!O128</f>
        <v>20522.38805970149</v>
      </c>
      <c r="O139" s="4">
        <f>$O$4*'NIFTY MEMBS'!P128</f>
        <v>23817.93782151644</v>
      </c>
      <c r="P139" s="4">
        <f>$P$4*'NIFTY MEMBS'!Q128</f>
        <v>18053.819399042863</v>
      </c>
      <c r="Q139" s="4">
        <f>$Q$4*'NIFTY MEMBS'!R128</f>
        <v>17739.093626815524</v>
      </c>
      <c r="R139" s="4">
        <f>$R$4*'NIFTY MEMBS'!S128</f>
        <v>21850.266445356861</v>
      </c>
      <c r="S139" s="4">
        <f>$S$4*'NIFTY MEMBS'!T128</f>
        <v>21974.248927038625</v>
      </c>
      <c r="T139" s="4">
        <f>$T$4*'NIFTY MEMBS'!U128</f>
        <v>25303.222532352193</v>
      </c>
      <c r="U139" s="4">
        <f>$U$4*'NIFTY MEMBS'!V128</f>
        <v>22661.76990334527</v>
      </c>
      <c r="V139" s="4">
        <f>$V$4*'NIFTY MEMBS'!W128</f>
        <v>20110.89465008242</v>
      </c>
      <c r="W139" s="4">
        <f>$W$4*'NIFTY MEMBS'!X128</f>
        <v>18907.775768535263</v>
      </c>
      <c r="X139" s="4">
        <f>$X$4*'NIFTY MEMBS'!Y128</f>
        <v>23375.72823500451</v>
      </c>
      <c r="Y139" s="4">
        <f>$Y$4*'NIFTY MEMBS'!Z128</f>
        <v>20699.725680523319</v>
      </c>
      <c r="Z139" s="4">
        <f>$Z$4*'NIFTY MEMBS'!AA128</f>
        <v>29094.930248383811</v>
      </c>
      <c r="AA139" s="4">
        <f>$AA$4*'NIFTY MEMBS'!AB128</f>
        <v>23002.926721519689</v>
      </c>
      <c r="AB139" s="4">
        <f>$AB$4*'NIFTY MEMBS'!AC128</f>
        <v>17985.347985347984</v>
      </c>
      <c r="AC139" s="4">
        <f>$AC$4*'NIFTY MEMBS'!AD128</f>
        <v>18943.298969072166</v>
      </c>
      <c r="AD139" s="4">
        <f>$AD$4*'NIFTY MEMBS'!AE128</f>
        <v>18393.059726393058</v>
      </c>
      <c r="AE139" s="4">
        <f>$AE$4*'NIFTY MEMBS'!AF128</f>
        <v>19296.268541453341</v>
      </c>
      <c r="AF139" s="4">
        <f>$AF$4*'NIFTY MEMBS'!AG128</f>
        <v>21037.467728288459</v>
      </c>
      <c r="AG139" s="4">
        <f>$AG$4*'NIFTY MEMBS'!AH128</f>
        <v>19984.472049689444</v>
      </c>
      <c r="AH139" s="4">
        <f>$AH$4*'NIFTY MEMBS'!AI128</f>
        <v>22061.182718371416</v>
      </c>
      <c r="AI139" s="4">
        <f>$AI$4*'NIFTY MEMBS'!AJ128</f>
        <v>23842.328506654962</v>
      </c>
      <c r="AJ139" s="4">
        <f>$AJ$4*'NIFTY MEMBS'!AK128</f>
        <v>21346.690753818362</v>
      </c>
      <c r="AK139" s="4">
        <f>$AK$4*'NIFTY MEMBS'!AL128</f>
        <v>22978.932498003807</v>
      </c>
      <c r="AL139" s="4">
        <f>$AL$4*'NIFTY MEMBS'!AM128</f>
        <v>23044.644136491104</v>
      </c>
      <c r="AM139" s="4">
        <f>$AM$4*'NIFTY MEMBS'!AN128</f>
        <v>15438.48727725469</v>
      </c>
      <c r="AN139" s="4">
        <f>$AN$4*'NIFTY MEMBS'!AO128</f>
        <v>25702.656383890313</v>
      </c>
      <c r="AO139" s="4">
        <f>$AO$4*'NIFTY MEMBS'!AP128</f>
        <v>25440.699935191184</v>
      </c>
      <c r="AP139" s="4">
        <f>$AP$4*'NIFTY MEMBS'!AQ128</f>
        <v>23592.208449279027</v>
      </c>
      <c r="AQ139" s="4">
        <f>$AQ$4*'NIFTY MEMBS'!AR128</f>
        <v>19428.94034099246</v>
      </c>
      <c r="AR139" s="4">
        <f>$AR$4*'NIFTY MEMBS'!AS128</f>
        <v>19793.342489045845</v>
      </c>
      <c r="AS139" s="4">
        <f>$AS$4*'NIFTY MEMBS'!AT128</f>
        <v>20498.93821280522</v>
      </c>
      <c r="AT139" s="4">
        <f>$AT$4*'NIFTY MEMBS'!AU128</f>
        <v>23166.53247220461</v>
      </c>
      <c r="AU139" s="4">
        <f>$AU$4*'NIFTY MEMBS'!AV128</f>
        <v>23681.40823644464</v>
      </c>
      <c r="AV139" s="4">
        <f>$AV$4*'NIFTY MEMBS'!AW128</f>
        <v>19100.073046018995</v>
      </c>
      <c r="AW139" s="4">
        <f>$AW$4*'NIFTY MEMBS'!AX128</f>
        <v>20767.861197079594</v>
      </c>
      <c r="AX139" s="4">
        <f>$AX$4*'NIFTY MEMBS'!AY128</f>
        <v>17665.56632968847</v>
      </c>
      <c r="AY139" s="4">
        <f t="shared" si="10"/>
        <v>1046951.8222689045</v>
      </c>
      <c r="AZ139" s="4">
        <f t="shared" si="11"/>
        <v>106.83181859886781</v>
      </c>
    </row>
    <row r="140" spans="1:52" ht="14.25" customHeight="1" x14ac:dyDescent="0.3">
      <c r="A140" s="2">
        <v>45845</v>
      </c>
      <c r="B140" s="4">
        <f>$B$4*'NIFTY MEMBS'!C129</f>
        <v>25244.626407369498</v>
      </c>
      <c r="C140" s="4">
        <f>$C$4*'NIFTY MEMBS'!D129</f>
        <v>22295.766115461422</v>
      </c>
      <c r="D140" s="4">
        <f>$D$4*'NIFTY MEMBS'!E129</f>
        <v>25492.260449959267</v>
      </c>
      <c r="E140" s="4">
        <f>$E$4*'NIFTY MEMBS'!F129</f>
        <v>16592.055830466023</v>
      </c>
      <c r="F140" s="4">
        <f>$F$4*'NIFTY MEMBS'!G129</f>
        <v>22369.025824796478</v>
      </c>
      <c r="G140" s="4">
        <f>$G$4*'NIFTY MEMBS'!H129</f>
        <v>20344.175491679274</v>
      </c>
      <c r="H140" s="4">
        <f>$H$4*'NIFTY MEMBS'!I129</f>
        <v>17285.524568393092</v>
      </c>
      <c r="I140" s="4">
        <f>$I$4*'NIFTY MEMBS'!J129</f>
        <v>20760.518496188797</v>
      </c>
      <c r="J140" s="4">
        <f>$J$4*'NIFTY MEMBS'!K129</f>
        <v>26665.03251481551</v>
      </c>
      <c r="K140" s="4">
        <f>$K$4*'NIFTY MEMBS'!L129</f>
        <v>18179.633917260056</v>
      </c>
      <c r="L140" s="4">
        <f>$L$4*'NIFTY MEMBS'!M129</f>
        <v>19530.470347648261</v>
      </c>
      <c r="M140" s="4">
        <f>$M$4*'NIFTY MEMBS'!N129</f>
        <v>22340.586886503752</v>
      </c>
      <c r="N140" s="4">
        <f>$N$4*'NIFTY MEMBS'!O129</f>
        <v>20507.462686567163</v>
      </c>
      <c r="O140" s="4">
        <f>$O$4*'NIFTY MEMBS'!P129</f>
        <v>24041.601431447103</v>
      </c>
      <c r="P140" s="4">
        <f>$P$4*'NIFTY MEMBS'!Q129</f>
        <v>17891.68126781558</v>
      </c>
      <c r="Q140" s="4">
        <f>$Q$4*'NIFTY MEMBS'!R129</f>
        <v>17777.189872747957</v>
      </c>
      <c r="R140" s="4">
        <f>$R$4*'NIFTY MEMBS'!S129</f>
        <v>21568.970035817245</v>
      </c>
      <c r="S140" s="4">
        <f>$S$4*'NIFTY MEMBS'!T129</f>
        <v>21927.598432543386</v>
      </c>
      <c r="T140" s="4">
        <f>$T$4*'NIFTY MEMBS'!U129</f>
        <v>25455.468155290535</v>
      </c>
      <c r="U140" s="4">
        <f>$U$4*'NIFTY MEMBS'!V129</f>
        <v>22533.921354702892</v>
      </c>
      <c r="V140" s="4">
        <f>$V$4*'NIFTY MEMBS'!W129</f>
        <v>20227.783605574703</v>
      </c>
      <c r="W140" s="4">
        <f>$W$4*'NIFTY MEMBS'!X129</f>
        <v>18701.627486437614</v>
      </c>
      <c r="X140" s="4">
        <f>$X$4*'NIFTY MEMBS'!Y129</f>
        <v>23559.530647411171</v>
      </c>
      <c r="Y140" s="4">
        <f>$Y$4*'NIFTY MEMBS'!Z129</f>
        <v>20385.735387212495</v>
      </c>
      <c r="Z140" s="4">
        <f>$Z$4*'NIFTY MEMBS'!AA129</f>
        <v>28383.804014971083</v>
      </c>
      <c r="AA140" s="4">
        <f>$AA$4*'NIFTY MEMBS'!AB129</f>
        <v>23029.432878679108</v>
      </c>
      <c r="AB140" s="4">
        <f>$AB$4*'NIFTY MEMBS'!AC129</f>
        <v>17832.16783216783</v>
      </c>
      <c r="AC140" s="4">
        <f>$AC$4*'NIFTY MEMBS'!AD129</f>
        <v>19065.721649484538</v>
      </c>
      <c r="AD140" s="4">
        <f>$AD$4*'NIFTY MEMBS'!AE129</f>
        <v>18387.721054387719</v>
      </c>
      <c r="AE140" s="4">
        <f>$AE$4*'NIFTY MEMBS'!AF129</f>
        <v>19366.058199998857</v>
      </c>
      <c r="AF140" s="4">
        <f>$AF$4*'NIFTY MEMBS'!AG129</f>
        <v>21198.880524157681</v>
      </c>
      <c r="AG140" s="4">
        <f>$AG$4*'NIFTY MEMBS'!AH129</f>
        <v>19888.71635610766</v>
      </c>
      <c r="AH140" s="4">
        <f>$AH$4*'NIFTY MEMBS'!AI129</f>
        <v>22331.323412808175</v>
      </c>
      <c r="AI140" s="4">
        <f>$AI$4*'NIFTY MEMBS'!AJ129</f>
        <v>23753.10808834284</v>
      </c>
      <c r="AJ140" s="4">
        <f>$AJ$4*'NIFTY MEMBS'!AK129</f>
        <v>21550.33667268846</v>
      </c>
      <c r="AK140" s="4">
        <f>$AK$4*'NIFTY MEMBS'!AL129</f>
        <v>22759.453760006549</v>
      </c>
      <c r="AL140" s="4">
        <f>$AL$4*'NIFTY MEMBS'!AM129</f>
        <v>23263.668556690478</v>
      </c>
      <c r="AM140" s="4">
        <f>$AM$4*'NIFTY MEMBS'!AN129</f>
        <v>15560.161572145076</v>
      </c>
      <c r="AN140" s="4">
        <f>$AN$4*'NIFTY MEMBS'!AO129</f>
        <v>25825.47843473293</v>
      </c>
      <c r="AO140" s="4">
        <f>$AO$4*'NIFTY MEMBS'!AP129</f>
        <v>25581.659105638362</v>
      </c>
      <c r="AP140" s="4">
        <f>$AP$4*'NIFTY MEMBS'!AQ129</f>
        <v>23344.295471793572</v>
      </c>
      <c r="AQ140" s="4">
        <f>$AQ$4*'NIFTY MEMBS'!AR129</f>
        <v>19061.537107139713</v>
      </c>
      <c r="AR140" s="4">
        <f>$AR$4*'NIFTY MEMBS'!AS129</f>
        <v>19756.719639003335</v>
      </c>
      <c r="AS140" s="4">
        <f>$AS$4*'NIFTY MEMBS'!AT129</f>
        <v>20668.552780661226</v>
      </c>
      <c r="AT140" s="4">
        <f>$AT$4*'NIFTY MEMBS'!AU129</f>
        <v>23000.359755366346</v>
      </c>
      <c r="AU140" s="4">
        <f>$AU$4*'NIFTY MEMBS'!AV129</f>
        <v>23946.539172009132</v>
      </c>
      <c r="AV140" s="4">
        <f>$AV$4*'NIFTY MEMBS'!AW129</f>
        <v>19145.36157779401</v>
      </c>
      <c r="AW140" s="4">
        <f>$AW$4*'NIFTY MEMBS'!AX129</f>
        <v>20586.232031259333</v>
      </c>
      <c r="AX140" s="4">
        <f>$AX$4*'NIFTY MEMBS'!AY129</f>
        <v>17628.429956674234</v>
      </c>
      <c r="AY140" s="4">
        <f t="shared" si="10"/>
        <v>1046593.9668188174</v>
      </c>
      <c r="AZ140" s="4">
        <f t="shared" si="11"/>
        <v>106.79530273661402</v>
      </c>
    </row>
    <row r="141" spans="1:52" ht="14.25" customHeight="1" x14ac:dyDescent="0.3">
      <c r="A141" s="2">
        <v>45846</v>
      </c>
      <c r="B141" s="4">
        <f>$B$4*'NIFTY MEMBS'!C130</f>
        <v>25180.757420675534</v>
      </c>
      <c r="C141" s="4">
        <f>$C$4*'NIFTY MEMBS'!D130</f>
        <v>22452.825955260385</v>
      </c>
      <c r="D141" s="4">
        <f>$D$4*'NIFTY MEMBS'!E130</f>
        <v>25443.379081280942</v>
      </c>
      <c r="E141" s="4">
        <f>$E$4*'NIFTY MEMBS'!F130</f>
        <v>16565.307784897079</v>
      </c>
      <c r="F141" s="4">
        <f>$F$4*'NIFTY MEMBS'!G130</f>
        <v>22467.183422272425</v>
      </c>
      <c r="G141" s="4">
        <f>$G$4*'NIFTY MEMBS'!H130</f>
        <v>20490.418557740795</v>
      </c>
      <c r="H141" s="4">
        <f>$H$4*'NIFTY MEMBS'!I130</f>
        <v>17409.827357237715</v>
      </c>
      <c r="I141" s="4">
        <f>$I$4*'NIFTY MEMBS'!J130</f>
        <v>20608.070281210974</v>
      </c>
      <c r="J141" s="4">
        <f>$J$4*'NIFTY MEMBS'!K130</f>
        <v>26751.54643634738</v>
      </c>
      <c r="K141" s="4">
        <f>$K$4*'NIFTY MEMBS'!L130</f>
        <v>18225.503472980647</v>
      </c>
      <c r="L141" s="4">
        <f>$L$4*'NIFTY MEMBS'!M130</f>
        <v>19666.802999318337</v>
      </c>
      <c r="M141" s="4">
        <f>$M$4*'NIFTY MEMBS'!N130</f>
        <v>22151.441342576487</v>
      </c>
      <c r="N141" s="4">
        <f>$N$4*'NIFTY MEMBS'!O130</f>
        <v>20492.537313432837</v>
      </c>
      <c r="O141" s="4">
        <f>$O$4*'NIFTY MEMBS'!P130</f>
        <v>24876.985014538132</v>
      </c>
      <c r="P141" s="4">
        <f>$P$4*'NIFTY MEMBS'!Q130</f>
        <v>17867.622061246369</v>
      </c>
      <c r="Q141" s="4">
        <f>$Q$4*'NIFTY MEMBS'!R130</f>
        <v>17698.880922775734</v>
      </c>
      <c r="R141" s="4">
        <f>$R$4*'NIFTY MEMBS'!S130</f>
        <v>21743.688302612038</v>
      </c>
      <c r="S141" s="4">
        <f>$S$4*'NIFTY MEMBS'!T130</f>
        <v>21746.594513901851</v>
      </c>
      <c r="T141" s="4">
        <f>$T$4*'NIFTY MEMBS'!U130</f>
        <v>25606.445064704389</v>
      </c>
      <c r="U141" s="4">
        <f>$U$4*'NIFTY MEMBS'!V130</f>
        <v>21152.173578991045</v>
      </c>
      <c r="V141" s="4">
        <f>$V$4*'NIFTY MEMBS'!W130</f>
        <v>20572.456166641688</v>
      </c>
      <c r="W141" s="4">
        <f>$W$4*'NIFTY MEMBS'!X130</f>
        <v>19059.674502712478</v>
      </c>
      <c r="X141" s="4">
        <f>$X$4*'NIFTY MEMBS'!Y130</f>
        <v>23771.231640272417</v>
      </c>
      <c r="Y141" s="4">
        <f>$Y$4*'NIFTY MEMBS'!Z130</f>
        <v>20530.913694872339</v>
      </c>
      <c r="Z141" s="4">
        <f>$Z$4*'NIFTY MEMBS'!AA130</f>
        <v>28717.250765566525</v>
      </c>
      <c r="AA141" s="4">
        <f>$AA$4*'NIFTY MEMBS'!AB130</f>
        <v>23082.445192997955</v>
      </c>
      <c r="AB141" s="4">
        <f>$AB$4*'NIFTY MEMBS'!AC130</f>
        <v>17958.707958707957</v>
      </c>
      <c r="AC141" s="4">
        <f>$AC$4*'NIFTY MEMBS'!AD130</f>
        <v>19184.922680412372</v>
      </c>
      <c r="AD141" s="4">
        <f>$AD$4*'NIFTY MEMBS'!AE130</f>
        <v>18503.837170503837</v>
      </c>
      <c r="AE141" s="4">
        <f>$AE$4*'NIFTY MEMBS'!AF130</f>
        <v>19082.323194764631</v>
      </c>
      <c r="AF141" s="4">
        <f>$AF$4*'NIFTY MEMBS'!AG130</f>
        <v>21561.625409498185</v>
      </c>
      <c r="AG141" s="4">
        <f>$AG$4*'NIFTY MEMBS'!AH130</f>
        <v>19816.252587991719</v>
      </c>
      <c r="AH141" s="4">
        <f>$AH$4*'NIFTY MEMBS'!AI130</f>
        <v>22292.600173332601</v>
      </c>
      <c r="AI141" s="4">
        <f>$AI$4*'NIFTY MEMBS'!AJ130</f>
        <v>23690.215006581831</v>
      </c>
      <c r="AJ141" s="4">
        <f>$AJ$4*'NIFTY MEMBS'!AK130</f>
        <v>21602.890458203321</v>
      </c>
      <c r="AK141" s="4">
        <f>$AK$4*'NIFTY MEMBS'!AL130</f>
        <v>23100.956124726163</v>
      </c>
      <c r="AL141" s="4">
        <f>$AL$4*'NIFTY MEMBS'!AM130</f>
        <v>23251.386813501726</v>
      </c>
      <c r="AM141" s="4">
        <f>$AM$4*'NIFTY MEMBS'!AN130</f>
        <v>15393.213121016406</v>
      </c>
      <c r="AN141" s="4">
        <f>$AN$4*'NIFTY MEMBS'!AO130</f>
        <v>25948.300485575546</v>
      </c>
      <c r="AO141" s="4">
        <f>$AO$4*'NIFTY MEMBS'!AP130</f>
        <v>25733.959818535317</v>
      </c>
      <c r="AP141" s="4">
        <f>$AP$4*'NIFTY MEMBS'!AQ130</f>
        <v>23125.05270258875</v>
      </c>
      <c r="AQ141" s="4">
        <f>$AQ$4*'NIFTY MEMBS'!AR130</f>
        <v>19196.525515743757</v>
      </c>
      <c r="AR141" s="4">
        <f>$AR$4*'NIFTY MEMBS'!AS130</f>
        <v>19466.352756523444</v>
      </c>
      <c r="AS141" s="4">
        <f>$AS$4*'NIFTY MEMBS'!AT130</f>
        <v>20530.147293290727</v>
      </c>
      <c r="AT141" s="4">
        <f>$AT$4*'NIFTY MEMBS'!AU130</f>
        <v>22919.843078135436</v>
      </c>
      <c r="AU141" s="4">
        <f>$AU$4*'NIFTY MEMBS'!AV130</f>
        <v>23903.075084211672</v>
      </c>
      <c r="AV141" s="4">
        <f>$AV$4*'NIFTY MEMBS'!AW130</f>
        <v>18755.295836376918</v>
      </c>
      <c r="AW141" s="4">
        <f>$AW$4*'NIFTY MEMBS'!AX130</f>
        <v>20554.685912985286</v>
      </c>
      <c r="AX141" s="4">
        <f>$AX$4*'NIFTY MEMBS'!AY130</f>
        <v>17542.809985558077</v>
      </c>
      <c r="AY141" s="4">
        <f t="shared" si="10"/>
        <v>1047446.9420158302</v>
      </c>
      <c r="AZ141" s="4">
        <f t="shared" si="11"/>
        <v>106.8823410220235</v>
      </c>
    </row>
    <row r="142" spans="1:52" ht="14.25" customHeight="1" x14ac:dyDescent="0.3">
      <c r="A142" s="2">
        <v>45847</v>
      </c>
      <c r="B142" s="4">
        <f>$B$4*'NIFTY MEMBS'!C131</f>
        <v>24876.151484135105</v>
      </c>
      <c r="C142" s="4">
        <f>$C$4*'NIFTY MEMBS'!D131</f>
        <v>22562.767843119658</v>
      </c>
      <c r="D142" s="4">
        <f>$D$4*'NIFTY MEMBS'!E131</f>
        <v>25314.282133233064</v>
      </c>
      <c r="E142" s="4">
        <f>$E$4*'NIFTY MEMBS'!F131</f>
        <v>16456.370290216295</v>
      </c>
      <c r="F142" s="4">
        <f>$F$4*'NIFTY MEMBS'!G131</f>
        <v>22309.819654890351</v>
      </c>
      <c r="G142" s="4">
        <f>$G$4*'NIFTY MEMBS'!H131</f>
        <v>20447.554210791728</v>
      </c>
      <c r="H142" s="4">
        <f>$H$4*'NIFTY MEMBS'!I131</f>
        <v>17356.706507304116</v>
      </c>
      <c r="I142" s="4">
        <f>$I$4*'NIFTY MEMBS'!J131</f>
        <v>20872.486111709233</v>
      </c>
      <c r="J142" s="4">
        <f>$J$4*'NIFTY MEMBS'!K131</f>
        <v>27124.998197626635</v>
      </c>
      <c r="K142" s="4">
        <f>$K$4*'NIFTY MEMBS'!L131</f>
        <v>18323.795378096194</v>
      </c>
      <c r="L142" s="4">
        <f>$L$4*'NIFTY MEMBS'!M131</f>
        <v>19521.199727334693</v>
      </c>
      <c r="M142" s="4">
        <f>$M$4*'NIFTY MEMBS'!N131</f>
        <v>22251.367290311646</v>
      </c>
      <c r="N142" s="4">
        <f>$N$4*'NIFTY MEMBS'!O131</f>
        <v>20611.940298507463</v>
      </c>
      <c r="O142" s="4">
        <f>$O$4*'NIFTY MEMBS'!P131</f>
        <v>24930.664280921494</v>
      </c>
      <c r="P142" s="4">
        <f>$P$4*'NIFTY MEMBS'!Q131</f>
        <v>17510.918172546353</v>
      </c>
      <c r="Q142" s="4">
        <f>$Q$4*'NIFTY MEMBS'!R131</f>
        <v>17666.075822111696</v>
      </c>
      <c r="R142" s="4">
        <f>$R$4*'NIFTY MEMBS'!S131</f>
        <v>21948.108674761945</v>
      </c>
      <c r="S142" s="4">
        <f>$S$4*'NIFTY MEMBS'!T131</f>
        <v>21733.532375443181</v>
      </c>
      <c r="T142" s="4">
        <f>$T$4*'NIFTY MEMBS'!U131</f>
        <v>25709.21086018777</v>
      </c>
      <c r="U142" s="4">
        <f>$U$4*'NIFTY MEMBS'!V131</f>
        <v>21095.625182476146</v>
      </c>
      <c r="V142" s="4">
        <f>$V$4*'NIFTY MEMBS'!W131</f>
        <v>20620.410609920575</v>
      </c>
      <c r="W142" s="4">
        <f>$W$4*'NIFTY MEMBS'!X131</f>
        <v>19135.623869801086</v>
      </c>
      <c r="X142" s="4">
        <f>$X$4*'NIFTY MEMBS'!Y131</f>
        <v>23680.971527037003</v>
      </c>
      <c r="Y142" s="4">
        <f>$Y$4*'NIFTY MEMBS'!Z131</f>
        <v>20540.198354083139</v>
      </c>
      <c r="Z142" s="4">
        <f>$Z$4*'NIFTY MEMBS'!AA131</f>
        <v>28421.231711466487</v>
      </c>
      <c r="AA142" s="4">
        <f>$AA$4*'NIFTY MEMBS'!AB131</f>
        <v>22980.83825722017</v>
      </c>
      <c r="AB142" s="4">
        <f>$AB$4*'NIFTY MEMBS'!AC131</f>
        <v>17835.497835497834</v>
      </c>
      <c r="AC142" s="4">
        <f>$AC$4*'NIFTY MEMBS'!AD131</f>
        <v>19307.345360824744</v>
      </c>
      <c r="AD142" s="4">
        <f>$AD$4*'NIFTY MEMBS'!AE131</f>
        <v>18493.159826493156</v>
      </c>
      <c r="AE142" s="4">
        <f>$AE$4*'NIFTY MEMBS'!AF131</f>
        <v>19131.519183575405</v>
      </c>
      <c r="AF142" s="4">
        <f>$AF$4*'NIFTY MEMBS'!AG131</f>
        <v>21685.722343956782</v>
      </c>
      <c r="AG142" s="4">
        <f>$AG$4*'NIFTY MEMBS'!AH131</f>
        <v>20054.347826086956</v>
      </c>
      <c r="AH142" s="4">
        <f>$AH$4*'NIFTY MEMBS'!AI131</f>
        <v>22383.876380667887</v>
      </c>
      <c r="AI142" s="4">
        <f>$AI$4*'NIFTY MEMBS'!AJ131</f>
        <v>23255.81395348837</v>
      </c>
      <c r="AJ142" s="4">
        <f>$AJ$4*'NIFTY MEMBS'!AK131</f>
        <v>21668.5826900969</v>
      </c>
      <c r="AK142" s="4">
        <f>$AK$4*'NIFTY MEMBS'!AL131</f>
        <v>22913.416456810595</v>
      </c>
      <c r="AL142" s="4">
        <f>$AL$4*'NIFTY MEMBS'!AM131</f>
        <v>23314.842486643603</v>
      </c>
      <c r="AM142" s="4">
        <f>$AM$4*'NIFTY MEMBS'!AN131</f>
        <v>15302.664808539839</v>
      </c>
      <c r="AN142" s="4">
        <f>$AN$4*'NIFTY MEMBS'!AO131</f>
        <v>25919.737217937731</v>
      </c>
      <c r="AO142" s="4">
        <f>$AO$4*'NIFTY MEMBS'!AP131</f>
        <v>25479.585223590402</v>
      </c>
      <c r="AP142" s="4">
        <f>$AP$4*'NIFTY MEMBS'!AQ131</f>
        <v>22732.102200860107</v>
      </c>
      <c r="AQ142" s="4">
        <f>$AQ$4*'NIFTY MEMBS'!AR131</f>
        <v>18954.72019250521</v>
      </c>
      <c r="AR142" s="4">
        <f>$AR$4*'NIFTY MEMBS'!AS131</f>
        <v>19510.823360146493</v>
      </c>
      <c r="AS142" s="4">
        <f>$AS$4*'NIFTY MEMBS'!AT131</f>
        <v>20269.619317063902</v>
      </c>
      <c r="AT142" s="4">
        <f>$AT$4*'NIFTY MEMBS'!AU131</f>
        <v>23334.418309835022</v>
      </c>
      <c r="AU142" s="4">
        <f>$AU$4*'NIFTY MEMBS'!AV131</f>
        <v>23859.610996414216</v>
      </c>
      <c r="AV142" s="4">
        <f>$AV$4*'NIFTY MEMBS'!AW131</f>
        <v>18544.923301680061</v>
      </c>
      <c r="AW142" s="4">
        <f>$AW$4*'NIFTY MEMBS'!AX131</f>
        <v>20710.982589888514</v>
      </c>
      <c r="AX142" s="4">
        <f>$AX$4*'NIFTY MEMBS'!AY131</f>
        <v>17345.780895399217</v>
      </c>
      <c r="AY142" s="4">
        <f t="shared" ref="AY142:AY178" si="12">SUM(B142:AX142)</f>
        <v>1046011.9415832559</v>
      </c>
      <c r="AZ142" s="4">
        <f t="shared" ref="AZ142:AZ178" si="13">AY142/$AY$13*100</f>
        <v>106.73591240645467</v>
      </c>
    </row>
    <row r="143" spans="1:52" ht="14.25" customHeight="1" x14ac:dyDescent="0.3">
      <c r="A143" s="2">
        <v>45848</v>
      </c>
      <c r="B143" s="4">
        <f>$B$4*'NIFTY MEMBS'!C132</f>
        <v>24846.673490276356</v>
      </c>
      <c r="C143" s="4">
        <f>$C$4*'NIFTY MEMBS'!D132</f>
        <v>22506.675043191459</v>
      </c>
      <c r="D143" s="4">
        <f>$D$4*'NIFTY MEMBS'!E132</f>
        <v>24622.422761170645</v>
      </c>
      <c r="E143" s="4">
        <f>$E$4*'NIFTY MEMBS'!F132</f>
        <v>16447.616384393732</v>
      </c>
      <c r="F143" s="4">
        <f>$F$4*'NIFTY MEMBS'!G132</f>
        <v>22188.291200872511</v>
      </c>
      <c r="G143" s="4">
        <f>$G$4*'NIFTY MEMBS'!H132</f>
        <v>20373.17196167423</v>
      </c>
      <c r="H143" s="4">
        <f>$H$4*'NIFTY MEMBS'!I132</f>
        <v>17166.533864541831</v>
      </c>
      <c r="I143" s="4">
        <f>$I$4*'NIFTY MEMBS'!J132</f>
        <v>20743.292709185655</v>
      </c>
      <c r="J143" s="4">
        <f>$J$4*'NIFTY MEMBS'!K132</f>
        <v>27328.305913226537</v>
      </c>
      <c r="K143" s="4">
        <f>$K$4*'NIFTY MEMBS'!L132</f>
        <v>18210.213621073784</v>
      </c>
      <c r="L143" s="4">
        <f>$L$4*'NIFTY MEMBS'!M132</f>
        <v>19493.933197000679</v>
      </c>
      <c r="M143" s="4">
        <f>$M$4*'NIFTY MEMBS'!N132</f>
        <v>22572.557836603235</v>
      </c>
      <c r="N143" s="4">
        <f>$N$4*'NIFTY MEMBS'!O132</f>
        <v>20521.739130434784</v>
      </c>
      <c r="O143" s="4">
        <f>$O$4*'NIFTY MEMBS'!P132</f>
        <v>24645.493178259898</v>
      </c>
      <c r="P143" s="4">
        <f>$P$4*'NIFTY MEMBS'!Q132</f>
        <v>17403.174769214675</v>
      </c>
      <c r="Q143" s="4">
        <f>$Q$4*'NIFTY MEMBS'!R132</f>
        <v>17593.058017407868</v>
      </c>
      <c r="R143" s="4">
        <f>$R$4*'NIFTY MEMBS'!S132</f>
        <v>21867.738272036338</v>
      </c>
      <c r="S143" s="4">
        <f>$S$4*'NIFTY MEMBS'!T132</f>
        <v>21726.068296323941</v>
      </c>
      <c r="T143" s="4">
        <f>$T$4*'NIFTY MEMBS'!U132</f>
        <v>25874.14361837097</v>
      </c>
      <c r="U143" s="4">
        <f>$U$4*'NIFTY MEMBS'!V132</f>
        <v>21020.022434961662</v>
      </c>
      <c r="V143" s="4">
        <f>$V$4*'NIFTY MEMBS'!W132</f>
        <v>20467.55582196913</v>
      </c>
      <c r="W143" s="4">
        <f>$W$4*'NIFTY MEMBS'!X132</f>
        <v>19012.658227848104</v>
      </c>
      <c r="X143" s="4">
        <f>$X$4*'NIFTY MEMBS'!Y132</f>
        <v>23682.612620004918</v>
      </c>
      <c r="Y143" s="4">
        <f>$Y$4*'NIFTY MEMBS'!Z132</f>
        <v>20518.252795948512</v>
      </c>
      <c r="Z143" s="4">
        <f>$Z$4*'NIFTY MEMBS'!AA132</f>
        <v>28138.82272881933</v>
      </c>
      <c r="AA143" s="4">
        <f>$AA$4*'NIFTY MEMBS'!AB132</f>
        <v>23044.89480368877</v>
      </c>
      <c r="AB143" s="4">
        <f>$AB$4*'NIFTY MEMBS'!AC132</f>
        <v>17652.347652347653</v>
      </c>
      <c r="AC143" s="4">
        <f>$AC$4*'NIFTY MEMBS'!AD132</f>
        <v>19281.572164948455</v>
      </c>
      <c r="AD143" s="4">
        <f>$AD$4*'NIFTY MEMBS'!AE132</f>
        <v>18567.9012345679</v>
      </c>
      <c r="AE143" s="4">
        <f>$AE$4*'NIFTY MEMBS'!AF132</f>
        <v>18957.617083593137</v>
      </c>
      <c r="AF143" s="4">
        <f>$AF$4*'NIFTY MEMBS'!AG132</f>
        <v>21271.77662551797</v>
      </c>
      <c r="AG143" s="4">
        <f>$AG$4*'NIFTY MEMBS'!AH132</f>
        <v>19878.364389233957</v>
      </c>
      <c r="AH143" s="4">
        <f>$AH$4*'NIFTY MEMBS'!AI132</f>
        <v>22140.473161107118</v>
      </c>
      <c r="AI143" s="4">
        <f>$AI$4*'NIFTY MEMBS'!AJ132</f>
        <v>23498.610501682022</v>
      </c>
      <c r="AJ143" s="4">
        <f>$AJ$4*'NIFTY MEMBS'!AK132</f>
        <v>21786.828707505338</v>
      </c>
      <c r="AK143" s="4">
        <f>$AK$4*'NIFTY MEMBS'!AL132</f>
        <v>22726.695739409945</v>
      </c>
      <c r="AL143" s="4">
        <f>$AL$4*'NIFTY MEMBS'!AM132</f>
        <v>23138.804167604852</v>
      </c>
      <c r="AM143" s="4">
        <f>$AM$4*'NIFTY MEMBS'!AN132</f>
        <v>15367.746408132371</v>
      </c>
      <c r="AN143" s="4">
        <f>$AN$4*'NIFTY MEMBS'!AO132</f>
        <v>25852.613538988859</v>
      </c>
      <c r="AO143" s="4">
        <f>$AO$4*'NIFTY MEMBS'!AP132</f>
        <v>24991.898898250158</v>
      </c>
      <c r="AP143" s="4">
        <f>$AP$4*'NIFTY MEMBS'!AQ132</f>
        <v>22769.204823340919</v>
      </c>
      <c r="AQ143" s="4">
        <f>$AQ$4*'NIFTY MEMBS'!AR132</f>
        <v>18782.169791941778</v>
      </c>
      <c r="AR143" s="4">
        <f>$AR$4*'NIFTY MEMBS'!AS132</f>
        <v>19329.017068864039</v>
      </c>
      <c r="AS143" s="4">
        <f>$AS$4*'NIFTY MEMBS'!AT132</f>
        <v>19971.097677637335</v>
      </c>
      <c r="AT143" s="4">
        <f>$AT$4*'NIFTY MEMBS'!AU132</f>
        <v>23015.77784249567</v>
      </c>
      <c r="AU143" s="4">
        <f>$AU$4*'NIFTY MEMBS'!AV132</f>
        <v>23664.022601325658</v>
      </c>
      <c r="AV143" s="4">
        <f>$AV$4*'NIFTY MEMBS'!AW132</f>
        <v>18445.580715850985</v>
      </c>
      <c r="AW143" s="4">
        <f>$AW$4*'NIFTY MEMBS'!AX132</f>
        <v>20654.581954186433</v>
      </c>
      <c r="AX143" s="4">
        <f>$AX$4*'NIFTY MEMBS'!AY132</f>
        <v>17595.419847328245</v>
      </c>
      <c r="AY143" s="4">
        <f t="shared" si="12"/>
        <v>1041356.0452943604</v>
      </c>
      <c r="AZ143" s="4">
        <f t="shared" si="13"/>
        <v>106.26082094840412</v>
      </c>
    </row>
    <row r="144" spans="1:52" ht="14.25" customHeight="1" x14ac:dyDescent="0.3">
      <c r="A144" s="2">
        <v>45849</v>
      </c>
      <c r="B144" s="4">
        <f>$B$4*'NIFTY MEMBS'!C133</f>
        <v>24486.386898669396</v>
      </c>
      <c r="C144" s="4">
        <f>$C$4*'NIFTY MEMBS'!D133</f>
        <v>22254.257443514554</v>
      </c>
      <c r="D144" s="4">
        <f>$D$4*'NIFTY MEMBS'!E133</f>
        <v>24088.487810992043</v>
      </c>
      <c r="E144" s="4">
        <f>$E$4*'NIFTY MEMBS'!F133</f>
        <v>15883.47578693966</v>
      </c>
      <c r="F144" s="4">
        <f>$F$4*'NIFTY MEMBS'!G133</f>
        <v>22154.01394461107</v>
      </c>
      <c r="G144" s="4">
        <f>$G$4*'NIFTY MEMBS'!H133</f>
        <v>20389.561270801812</v>
      </c>
      <c r="H144" s="4">
        <f>$H$4*'NIFTY MEMBS'!I133</f>
        <v>16944.488711819387</v>
      </c>
      <c r="I144" s="4">
        <f>$I$4*'NIFTY MEMBS'!J133</f>
        <v>21701.046466560441</v>
      </c>
      <c r="J144" s="4">
        <f>$J$4*'NIFTY MEMBS'!K133</f>
        <v>26920.248583334534</v>
      </c>
      <c r="K144" s="4">
        <f>$K$4*'NIFTY MEMBS'!L133</f>
        <v>18208.029356515661</v>
      </c>
      <c r="L144" s="4">
        <f>$L$4*'NIFTY MEMBS'!M133</f>
        <v>19307.9754601227</v>
      </c>
      <c r="M144" s="4">
        <f>$M$4*'NIFTY MEMBS'!N133</f>
        <v>22436.94405039123</v>
      </c>
      <c r="N144" s="4">
        <f>$N$4*'NIFTY MEMBS'!O133</f>
        <v>19942.894224529526</v>
      </c>
      <c r="O144" s="4">
        <f>$O$4*'NIFTY MEMBS'!P133</f>
        <v>24833.370610601651</v>
      </c>
      <c r="P144" s="4">
        <f>$P$4*'NIFTY MEMBS'!Q133</f>
        <v>17137.477444493841</v>
      </c>
      <c r="Q144" s="4">
        <f>$Q$4*'NIFTY MEMBS'!R133</f>
        <v>17693.589777507339</v>
      </c>
      <c r="R144" s="4">
        <f>$R$4*'NIFTY MEMBS'!S133</f>
        <v>21831.047436009434</v>
      </c>
      <c r="S144" s="4">
        <f>$S$4*'NIFTY MEMBS'!T133</f>
        <v>21903.340175405861</v>
      </c>
      <c r="T144" s="4">
        <f>$T$4*'NIFTY MEMBS'!U133</f>
        <v>25592.489215935042</v>
      </c>
      <c r="U144" s="4">
        <f>$U$4*'NIFTY MEMBS'!V133</f>
        <v>20662.292361356547</v>
      </c>
      <c r="V144" s="4">
        <f>$V$4*'NIFTY MEMBS'!W133</f>
        <v>20542.484639592385</v>
      </c>
      <c r="W144" s="4">
        <f>$W$4*'NIFTY MEMBS'!X133</f>
        <v>19048.824593128393</v>
      </c>
      <c r="X144" s="4">
        <f>$X$4*'NIFTY MEMBS'!Y133</f>
        <v>23495.528021662423</v>
      </c>
      <c r="Y144" s="4">
        <f>$Y$4*'NIFTY MEMBS'!Z133</f>
        <v>20405.992825490612</v>
      </c>
      <c r="Z144" s="4">
        <f>$Z$4*'NIFTY MEMBS'!AA133</f>
        <v>27853.011228308955</v>
      </c>
      <c r="AA144" s="4">
        <f>$AA$4*'NIFTY MEMBS'!AB133</f>
        <v>22910.155171461705</v>
      </c>
      <c r="AB144" s="4">
        <f>$AB$4*'NIFTY MEMBS'!AC133</f>
        <v>17202.797202797203</v>
      </c>
      <c r="AC144" s="4">
        <f>$AC$4*'NIFTY MEMBS'!AD133</f>
        <v>19236.469072164949</v>
      </c>
      <c r="AD144" s="4">
        <f>$AD$4*'NIFTY MEMBS'!AE133</f>
        <v>18199.53286619953</v>
      </c>
      <c r="AE144" s="4">
        <f>$AE$4*'NIFTY MEMBS'!AF133</f>
        <v>18458.792638907162</v>
      </c>
      <c r="AF144" s="4">
        <f>$AF$4*'NIFTY MEMBS'!AG133</f>
        <v>21167.639337860408</v>
      </c>
      <c r="AG144" s="4">
        <f>$AG$4*'NIFTY MEMBS'!AH133</f>
        <v>19717.90890269151</v>
      </c>
      <c r="AH144" s="4">
        <f>$AH$4*'NIFTY MEMBS'!AI133</f>
        <v>22159.834780844907</v>
      </c>
      <c r="AI144" s="4">
        <f>$AI$4*'NIFTY MEMBS'!AJ133</f>
        <v>23378.674857393591</v>
      </c>
      <c r="AJ144" s="4">
        <f>$AJ$4*'NIFTY MEMBS'!AK133</f>
        <v>21402.529150927905</v>
      </c>
      <c r="AK144" s="4">
        <f>$AK$4*'NIFTY MEMBS'!AL133</f>
        <v>22619.413221956063</v>
      </c>
      <c r="AL144" s="4">
        <f>$AL$4*'NIFTY MEMBS'!AM133</f>
        <v>22977.09454895298</v>
      </c>
      <c r="AM144" s="4">
        <f>$AM$4*'NIFTY MEMBS'!AN133</f>
        <v>15178.160878884559</v>
      </c>
      <c r="AN144" s="4">
        <f>$AN$4*'NIFTY MEMBS'!AO133</f>
        <v>26209.654384461581</v>
      </c>
      <c r="AO144" s="4">
        <f>$AO$4*'NIFTY MEMBS'!AP133</f>
        <v>24594.944912508097</v>
      </c>
      <c r="AP144" s="4">
        <f>$AP$4*'NIFTY MEMBS'!AQ133</f>
        <v>22630.913230457878</v>
      </c>
      <c r="AQ144" s="4">
        <f>$AQ$4*'NIFTY MEMBS'!AR133</f>
        <v>18810.34128591132</v>
      </c>
      <c r="AR144" s="4">
        <f>$AR$4*'NIFTY MEMBS'!AS133</f>
        <v>19423.190111830489</v>
      </c>
      <c r="AS144" s="4">
        <f>$AS$4*'NIFTY MEMBS'!AT133</f>
        <v>19511.102969611853</v>
      </c>
      <c r="AT144" s="4">
        <f>$AT$4*'NIFTY MEMBS'!AU133</f>
        <v>22895.859387045377</v>
      </c>
      <c r="AU144" s="4">
        <f>$AU$4*'NIFTY MEMBS'!AV133</f>
        <v>23401.064870151036</v>
      </c>
      <c r="AV144" s="4">
        <f>$AV$4*'NIFTY MEMBS'!AW133</f>
        <v>18330.168005843683</v>
      </c>
      <c r="AW144" s="4">
        <f>$AW$4*'NIFTY MEMBS'!AX133</f>
        <v>20164.183206471731</v>
      </c>
      <c r="AX144" s="4">
        <f>$AX$4*'NIFTY MEMBS'!AY133</f>
        <v>17719.207757375698</v>
      </c>
      <c r="AY144" s="4">
        <f t="shared" si="12"/>
        <v>1034016.891091006</v>
      </c>
      <c r="AZ144" s="4">
        <f t="shared" si="13"/>
        <v>105.51192766234756</v>
      </c>
    </row>
    <row r="145" spans="1:52" ht="14.25" customHeight="1" x14ac:dyDescent="0.3">
      <c r="A145" s="2">
        <v>45852</v>
      </c>
      <c r="B145" s="4">
        <f>$B$4*'NIFTY MEMBS'!C134</f>
        <v>24298.055271238485</v>
      </c>
      <c r="C145" s="4">
        <f>$C$4*'NIFTY MEMBS'!D134</f>
        <v>22246.404451524602</v>
      </c>
      <c r="D145" s="4">
        <f>$D$4*'NIFTY MEMBS'!E134</f>
        <v>24075.954126715547</v>
      </c>
      <c r="E145" s="4">
        <f>$E$4*'NIFTY MEMBS'!F134</f>
        <v>15672.895719096889</v>
      </c>
      <c r="F145" s="4">
        <f>$F$4*'NIFTY MEMBS'!G134</f>
        <v>22171.15257274179</v>
      </c>
      <c r="G145" s="4">
        <f>$G$4*'NIFTY MEMBS'!H134</f>
        <v>20394.604135148762</v>
      </c>
      <c r="H145" s="4">
        <f>$H$4*'NIFTY MEMBS'!I134</f>
        <v>16683.134130146082</v>
      </c>
      <c r="I145" s="4">
        <f>$I$4*'NIFTY MEMBS'!J134</f>
        <v>21675.207786055726</v>
      </c>
      <c r="J145" s="4">
        <f>$J$4*'NIFTY MEMBS'!K134</f>
        <v>26497.772266520555</v>
      </c>
      <c r="K145" s="4">
        <f>$K$4*'NIFTY MEMBS'!L134</f>
        <v>18321.611113538071</v>
      </c>
      <c r="L145" s="4">
        <f>$L$4*'NIFTY MEMBS'!M134</f>
        <v>19064.212678936605</v>
      </c>
      <c r="M145" s="4">
        <f>$M$4*'NIFTY MEMBS'!N134</f>
        <v>22329.880534960699</v>
      </c>
      <c r="N145" s="4">
        <f>$N$4*'NIFTY MEMBS'!O134</f>
        <v>20065.541855937699</v>
      </c>
      <c r="O145" s="4">
        <f>$O$4*'NIFTY MEMBS'!P134</f>
        <v>24645.493178259898</v>
      </c>
      <c r="P145" s="4">
        <f>$P$4*'NIFTY MEMBS'!Q134</f>
        <v>16943.957739480633</v>
      </c>
      <c r="Q145" s="4">
        <f>$Q$4*'NIFTY MEMBS'!R134</f>
        <v>17805.762057197277</v>
      </c>
      <c r="R145" s="4">
        <f>$R$4*'NIFTY MEMBS'!S134</f>
        <v>21867.738272036338</v>
      </c>
      <c r="S145" s="4">
        <f>$S$4*'NIFTY MEMBS'!T134</f>
        <v>21882.813957827955</v>
      </c>
      <c r="T145" s="4">
        <f>$T$4*'NIFTY MEMBS'!U134</f>
        <v>25419.94417660492</v>
      </c>
      <c r="U145" s="4">
        <f>$U$4*'NIFTY MEMBS'!V134</f>
        <v>20927.209305899167</v>
      </c>
      <c r="V145" s="4">
        <f>$V$4*'NIFTY MEMBS'!W134</f>
        <v>20506.518807133227</v>
      </c>
      <c r="W145" s="4">
        <f>$W$4*'NIFTY MEMBS'!X134</f>
        <v>19573.236889692591</v>
      </c>
      <c r="X145" s="4">
        <f>$X$4*'NIFTY MEMBS'!Y134</f>
        <v>23516.86223024534</v>
      </c>
      <c r="Y145" s="4">
        <f>$Y$4*'NIFTY MEMBS'!Z134</f>
        <v>20613.631567841319</v>
      </c>
      <c r="Z145" s="4">
        <f>$Z$4*'NIFTY MEMBS'!AA134</f>
        <v>27716.910513780203</v>
      </c>
      <c r="AA145" s="4">
        <f>$AA$4*'NIFTY MEMBS'!AB134</f>
        <v>22947.70556077089</v>
      </c>
      <c r="AB145" s="4">
        <f>$AB$4*'NIFTY MEMBS'!AC134</f>
        <v>16933.066933066933</v>
      </c>
      <c r="AC145" s="4">
        <f>$AC$4*'NIFTY MEMBS'!AD134</f>
        <v>19213.917525773199</v>
      </c>
      <c r="AD145" s="4">
        <f>$AD$4*'NIFTY MEMBS'!AE134</f>
        <v>18004.671338004671</v>
      </c>
      <c r="AE145" s="4">
        <f>$AE$4*'NIFTY MEMBS'!AF134</f>
        <v>18505.700442191854</v>
      </c>
      <c r="AF145" s="4">
        <f>$AF$4*'NIFTY MEMBS'!AG134</f>
        <v>20841.342503200049</v>
      </c>
      <c r="AG145" s="4">
        <f>$AG$4*'NIFTY MEMBS'!AH134</f>
        <v>19868.012422360251</v>
      </c>
      <c r="AH145" s="4">
        <f>$AH$4*'NIFTY MEMBS'!AI134</f>
        <v>22062.104700263691</v>
      </c>
      <c r="AI145" s="4">
        <f>$AI$4*'NIFTY MEMBS'!AJ134</f>
        <v>23466.432645897323</v>
      </c>
      <c r="AJ145" s="4">
        <f>$AJ$4*'NIFTY MEMBS'!AK134</f>
        <v>20962.39119724093</v>
      </c>
      <c r="AK145" s="4">
        <f>$AK$4*'NIFTY MEMBS'!AL134</f>
        <v>22802.858137297055</v>
      </c>
      <c r="AL145" s="4">
        <f>$AL$4*'NIFTY MEMBS'!AM134</f>
        <v>22682.33271242298</v>
      </c>
      <c r="AM145" s="4">
        <f>$AM$4*'NIFTY MEMBS'!AN134</f>
        <v>15038.093958022369</v>
      </c>
      <c r="AN145" s="4">
        <f>$AN$4*'NIFTY MEMBS'!AO134</f>
        <v>26439.588688946013</v>
      </c>
      <c r="AO145" s="4">
        <f>$AO$4*'NIFTY MEMBS'!AP134</f>
        <v>24781.27025275437</v>
      </c>
      <c r="AP145" s="4">
        <f>$AP$4*'NIFTY MEMBS'!AQ134</f>
        <v>22480.816257694576</v>
      </c>
      <c r="AQ145" s="4">
        <f>$AQ$4*'NIFTY MEMBS'!AR134</f>
        <v>18507.497725738769</v>
      </c>
      <c r="AR145" s="4">
        <f>$AR$4*'NIFTY MEMBS'!AS134</f>
        <v>19410.110522529594</v>
      </c>
      <c r="AS145" s="4">
        <f>$AS$4*'NIFTY MEMBS'!AT134</f>
        <v>19593.874878725583</v>
      </c>
      <c r="AT145" s="4">
        <f>$AT$4*'NIFTY MEMBS'!AU134</f>
        <v>22947.253010809789</v>
      </c>
      <c r="AU145" s="4">
        <f>$AU$4*'NIFTY MEMBS'!AV134</f>
        <v>23292.404650657394</v>
      </c>
      <c r="AV145" s="4">
        <f>$AV$4*'NIFTY MEMBS'!AW134</f>
        <v>18270.27027027027</v>
      </c>
      <c r="AW145" s="4">
        <f>$AW$4*'NIFTY MEMBS'!AX134</f>
        <v>20321.913797841957</v>
      </c>
      <c r="AX145" s="4">
        <f>$AX$4*'NIFTY MEMBS'!AY134</f>
        <v>17899.731792861567</v>
      </c>
      <c r="AY145" s="4">
        <f t="shared" si="12"/>
        <v>1032189.8672639027</v>
      </c>
      <c r="AZ145" s="4">
        <f t="shared" si="13"/>
        <v>105.3254966595819</v>
      </c>
    </row>
    <row r="146" spans="1:52" ht="14.25" customHeight="1" x14ac:dyDescent="0.3">
      <c r="A146" s="2">
        <v>45853</v>
      </c>
      <c r="B146" s="4">
        <f>$B$4*'NIFTY MEMBS'!C135</f>
        <v>24325.895598771749</v>
      </c>
      <c r="C146" s="4">
        <f>$C$4*'NIFTY MEMBS'!D135</f>
        <v>22386.636451345108</v>
      </c>
      <c r="D146" s="4">
        <f>$D$4*'NIFTY MEMBS'!E135</f>
        <v>24242.652127592904</v>
      </c>
      <c r="E146" s="4">
        <f>$E$4*'NIFTY MEMBS'!F135</f>
        <v>15816.84883706793</v>
      </c>
      <c r="F146" s="4">
        <f>$F$4*'NIFTY MEMBS'!G135</f>
        <v>22292.68102675963</v>
      </c>
      <c r="G146" s="4">
        <f>$G$4*'NIFTY MEMBS'!H135</f>
        <v>20586.232980332828</v>
      </c>
      <c r="H146" s="4">
        <f>$H$4*'NIFTY MEMBS'!I135</f>
        <v>16845.683930942894</v>
      </c>
      <c r="I146" s="4">
        <f>$I$4*'NIFTY MEMBS'!J135</f>
        <v>21763.920589121917</v>
      </c>
      <c r="J146" s="4">
        <f>$J$4*'NIFTY MEMBS'!K135</f>
        <v>26773.17491673035</v>
      </c>
      <c r="K146" s="4">
        <f>$K$4*'NIFTY MEMBS'!L135</f>
        <v>18439.561399676728</v>
      </c>
      <c r="L146" s="4">
        <f>$L$4*'NIFTY MEMBS'!M135</f>
        <v>19053.851397409679</v>
      </c>
      <c r="M146" s="4">
        <f>$M$4*'NIFTY MEMBS'!N135</f>
        <v>22369.137157285229</v>
      </c>
      <c r="N146" s="4">
        <f>$N$4*'NIFTY MEMBS'!O135</f>
        <v>20302.401038286825</v>
      </c>
      <c r="O146" s="4">
        <f>$O$4*'NIFTY MEMBS'!P135</f>
        <v>24469.917244464323</v>
      </c>
      <c r="P146" s="4">
        <f>$P$4*'NIFTY MEMBS'!Q135</f>
        <v>16385.365726091164</v>
      </c>
      <c r="Q146" s="4">
        <f>$Q$4*'NIFTY MEMBS'!R135</f>
        <v>18280.906902299001</v>
      </c>
      <c r="R146" s="4">
        <f>$R$4*'NIFTY MEMBS'!S135</f>
        <v>21843.277714685068</v>
      </c>
      <c r="S146" s="4">
        <f>$S$4*'NIFTY MEMBS'!T135</f>
        <v>21755.9246128009</v>
      </c>
      <c r="T146" s="4">
        <f>$T$4*'NIFTY MEMBS'!U135</f>
        <v>25837.350926160871</v>
      </c>
      <c r="U146" s="4">
        <f>$U$4*'NIFTY MEMBS'!V135</f>
        <v>20990.518923736498</v>
      </c>
      <c r="V146" s="4">
        <f>$V$4*'NIFTY MEMBS'!W135</f>
        <v>20500.524501723365</v>
      </c>
      <c r="W146" s="4">
        <f>$W$4*'NIFTY MEMBS'!X135</f>
        <v>19273.056057866186</v>
      </c>
      <c r="X146" s="4">
        <f>$X$4*'NIFTY MEMBS'!Y135</f>
        <v>23715.434479363252</v>
      </c>
      <c r="Y146" s="4">
        <f>$Y$4*'NIFTY MEMBS'!Z135</f>
        <v>20567.208271787298</v>
      </c>
      <c r="Z146" s="4">
        <f>$Z$4*'NIFTY MEMBS'!AA135</f>
        <v>27829.19360326642</v>
      </c>
      <c r="AA146" s="4">
        <f>$AA$4*'NIFTY MEMBS'!AB135</f>
        <v>22861.56055000276</v>
      </c>
      <c r="AB146" s="4">
        <f>$AB$4*'NIFTY MEMBS'!AC135</f>
        <v>17142.857142857141</v>
      </c>
      <c r="AC146" s="4">
        <f>$AC$4*'NIFTY MEMBS'!AD135</f>
        <v>19204.252577319588</v>
      </c>
      <c r="AD146" s="4">
        <f>$AD$4*'NIFTY MEMBS'!AE135</f>
        <v>18268.935602268935</v>
      </c>
      <c r="AE146" s="4">
        <f>$AE$4*'NIFTY MEMBS'!AF135</f>
        <v>19017.109907271282</v>
      </c>
      <c r="AF146" s="4">
        <f>$AF$4*'NIFTY MEMBS'!AG135</f>
        <v>20771.049834031197</v>
      </c>
      <c r="AG146" s="4">
        <f>$AG$4*'NIFTY MEMBS'!AH135</f>
        <v>20002.587991718425</v>
      </c>
      <c r="AH146" s="4">
        <f>$AH$4*'NIFTY MEMBS'!AI135</f>
        <v>22277.848463056191</v>
      </c>
      <c r="AI146" s="4">
        <f>$AI$4*'NIFTY MEMBS'!AJ135</f>
        <v>23255.81395348837</v>
      </c>
      <c r="AJ146" s="4">
        <f>$AJ$4*'NIFTY MEMBS'!AK135</f>
        <v>21100.344884217444</v>
      </c>
      <c r="AK146" s="4">
        <f>$AK$4*'NIFTY MEMBS'!AL135</f>
        <v>22755.359007431973</v>
      </c>
      <c r="AL146" s="4">
        <f>$AL$4*'NIFTY MEMBS'!AM135</f>
        <v>22889.075389433605</v>
      </c>
      <c r="AM146" s="4">
        <f>$AM$4*'NIFTY MEMBS'!AN135</f>
        <v>15251.73138277177</v>
      </c>
      <c r="AN146" s="4">
        <f>$AN$4*'NIFTY MEMBS'!AO135</f>
        <v>26061.125392744925</v>
      </c>
      <c r="AO146" s="4">
        <f>$AO$4*'NIFTY MEMBS'!AP135</f>
        <v>24525.275437459492</v>
      </c>
      <c r="AP146" s="4">
        <f>$AP$4*'NIFTY MEMBS'!AQ135</f>
        <v>22627.540264777803</v>
      </c>
      <c r="AQ146" s="4">
        <f>$AQ$4*'NIFTY MEMBS'!AR135</f>
        <v>18534.495407459577</v>
      </c>
      <c r="AR146" s="4">
        <f>$AR$4*'NIFTY MEMBS'!AS135</f>
        <v>19500.359688705776</v>
      </c>
      <c r="AS146" s="4">
        <f>$AS$4*'NIFTY MEMBS'!AT135</f>
        <v>19975.168427265882</v>
      </c>
      <c r="AT146" s="4">
        <f>$AT$4*'NIFTY MEMBS'!AU135</f>
        <v>23450.910523701026</v>
      </c>
      <c r="AU146" s="4">
        <f>$AU$4*'NIFTY MEMBS'!AV135</f>
        <v>23509.725089644682</v>
      </c>
      <c r="AV146" s="4">
        <f>$AV$4*'NIFTY MEMBS'!AW135</f>
        <v>18420.745069393721</v>
      </c>
      <c r="AW146" s="4">
        <f>$AW$4*'NIFTY MEMBS'!AX135</f>
        <v>21288.850120090334</v>
      </c>
      <c r="AX146" s="4">
        <f>$AX$4*'NIFTY MEMBS'!AY135</f>
        <v>18176.19145863421</v>
      </c>
      <c r="AY146" s="4">
        <f t="shared" si="12"/>
        <v>1037516.2699813141</v>
      </c>
      <c r="AZ146" s="4">
        <f t="shared" si="13"/>
        <v>105.86900714095042</v>
      </c>
    </row>
    <row r="147" spans="1:52" ht="14.25" customHeight="1" x14ac:dyDescent="0.3">
      <c r="A147" s="2">
        <v>45854</v>
      </c>
      <c r="B147" s="4">
        <f>$B$4*'NIFTY MEMBS'!C136</f>
        <v>24329.170931422719</v>
      </c>
      <c r="C147" s="4">
        <f>$C$4*'NIFTY MEMBS'!D136</f>
        <v>22395.611299333617</v>
      </c>
      <c r="D147" s="4">
        <f>$D$4*'NIFTY MEMBS'!E136</f>
        <v>24272.732969856486</v>
      </c>
      <c r="E147" s="4">
        <f>$E$4*'NIFTY MEMBS'!F136</f>
        <v>15723.473841627254</v>
      </c>
      <c r="F147" s="4">
        <f>$F$4*'NIFTY MEMBS'!G136</f>
        <v>22224.126514236748</v>
      </c>
      <c r="G147" s="4">
        <f>$G$4*'NIFTY MEMBS'!H136</f>
        <v>20970.751386787695</v>
      </c>
      <c r="H147" s="4">
        <f>$H$4*'NIFTY MEMBS'!I136</f>
        <v>17082.602921646747</v>
      </c>
      <c r="I147" s="4">
        <f>$I$4*'NIFTY MEMBS'!J136</f>
        <v>21683.820679557299</v>
      </c>
      <c r="J147" s="4">
        <f>$J$4*'NIFTY MEMBS'!K136</f>
        <v>26581.40239066803</v>
      </c>
      <c r="K147" s="4">
        <f>$K$4*'NIFTY MEMBS'!L136</f>
        <v>18548.774627582894</v>
      </c>
      <c r="L147" s="4">
        <f>$L$4*'NIFTY MEMBS'!M136</f>
        <v>19107.293796864349</v>
      </c>
      <c r="M147" s="4">
        <f>$M$4*'NIFTY MEMBS'!N136</f>
        <v>22419.100131152809</v>
      </c>
      <c r="N147" s="4">
        <f>$N$4*'NIFTY MEMBS'!O136</f>
        <v>20743.024010382866</v>
      </c>
      <c r="O147" s="4">
        <f>$O$4*'NIFTY MEMBS'!P136</f>
        <v>24372.623574144483</v>
      </c>
      <c r="P147" s="4">
        <f>$P$4*'NIFTY MEMBS'!Q136</f>
        <v>16347.707837548052</v>
      </c>
      <c r="Q147" s="4">
        <f>$Q$4*'NIFTY MEMBS'!R136</f>
        <v>18000.476203074155</v>
      </c>
      <c r="R147" s="4">
        <f>$R$4*'NIFTY MEMBS'!S136</f>
        <v>21757.665763955622</v>
      </c>
      <c r="S147" s="4">
        <f>$S$4*'NIFTY MEMBS'!T136</f>
        <v>21802.575107296139</v>
      </c>
      <c r="T147" s="4">
        <f>$T$4*'NIFTY MEMBS'!U136</f>
        <v>25831.007358538442</v>
      </c>
      <c r="U147" s="4">
        <f>$U$4*'NIFTY MEMBS'!V136</f>
        <v>21004.656022865223</v>
      </c>
      <c r="V147" s="4">
        <f>$V$4*'NIFTY MEMBS'!W136</f>
        <v>20527.498876067737</v>
      </c>
      <c r="W147" s="4">
        <f>$W$4*'NIFTY MEMBS'!X136</f>
        <v>18976.491862567815</v>
      </c>
      <c r="X147" s="4">
        <f>$X$4*'NIFTY MEMBS'!Y136</f>
        <v>23905.801263641584</v>
      </c>
      <c r="Y147" s="4">
        <f>$Y$4*'NIFTY MEMBS'!Z136</f>
        <v>20497.995357670396</v>
      </c>
      <c r="Z147" s="4">
        <f>$Z$4*'NIFTY MEMBS'!AA136</f>
        <v>27638.652602926169</v>
      </c>
      <c r="AA147" s="4">
        <f>$AA$4*'NIFTY MEMBS'!AB136</f>
        <v>22746.700535645257</v>
      </c>
      <c r="AB147" s="4">
        <f>$AB$4*'NIFTY MEMBS'!AC136</f>
        <v>17502.497502497503</v>
      </c>
      <c r="AC147" s="4">
        <f>$AC$4*'NIFTY MEMBS'!AD136</f>
        <v>19139.81958762887</v>
      </c>
      <c r="AD147" s="4">
        <f>$AD$4*'NIFTY MEMBS'!AE136</f>
        <v>18124.79145812479</v>
      </c>
      <c r="AE147" s="4">
        <f>$AE$4*'NIFTY MEMBS'!AF136</f>
        <v>18997.660330299583</v>
      </c>
      <c r="AF147" s="4">
        <f>$AF$4*'NIFTY MEMBS'!AG136</f>
        <v>20918.577658212744</v>
      </c>
      <c r="AG147" s="4">
        <f>$AG$4*'NIFTY MEMBS'!AH136</f>
        <v>20002.587991718425</v>
      </c>
      <c r="AH147" s="4">
        <f>$AH$4*'NIFTY MEMBS'!AI136</f>
        <v>22680.75454998064</v>
      </c>
      <c r="AI147" s="4">
        <f>$AI$4*'NIFTY MEMBS'!AJ136</f>
        <v>23011.554775486326</v>
      </c>
      <c r="AJ147" s="4">
        <f>$AJ$4*'NIFTY MEMBS'!AK136</f>
        <v>20991.95270159304</v>
      </c>
      <c r="AK147" s="4">
        <f>$AK$4*'NIFTY MEMBS'!AL136</f>
        <v>22622.689024015723</v>
      </c>
      <c r="AL147" s="4">
        <f>$AL$4*'NIFTY MEMBS'!AM136</f>
        <v>23034.409350500478</v>
      </c>
      <c r="AM147" s="4">
        <f>$AM$4*'NIFTY MEMBS'!AN136</f>
        <v>15229.094304652628</v>
      </c>
      <c r="AN147" s="4">
        <f>$AN$4*'NIFTY MEMBS'!AO136</f>
        <v>26122.536418166233</v>
      </c>
      <c r="AO147" s="4">
        <f>$AO$4*'NIFTY MEMBS'!AP136</f>
        <v>24496.111471160075</v>
      </c>
      <c r="AP147" s="4">
        <f>$AP$4*'NIFTY MEMBS'!AQ136</f>
        <v>22489.248671894762</v>
      </c>
      <c r="AQ147" s="4">
        <f>$AQ$4*'NIFTY MEMBS'!AR136</f>
        <v>18873.727147342783</v>
      </c>
      <c r="AR147" s="4">
        <f>$AR$4*'NIFTY MEMBS'!AS136</f>
        <v>19302.857890262247</v>
      </c>
      <c r="AS147" s="4">
        <f>$AS$4*'NIFTY MEMBS'!AT136</f>
        <v>19953.45776258031</v>
      </c>
      <c r="AT147" s="4">
        <f>$AT$4*'NIFTY MEMBS'!AU136</f>
        <v>22899.285628629674</v>
      </c>
      <c r="AU147" s="4">
        <f>$AU$4*'NIFTY MEMBS'!AV136</f>
        <v>23503.205476475065</v>
      </c>
      <c r="AV147" s="4">
        <f>$AV$4*'NIFTY MEMBS'!AW136</f>
        <v>18398.831263696131</v>
      </c>
      <c r="AW147" s="4">
        <f>$AW$4*'NIFTY MEMBS'!AX136</f>
        <v>21147.848530835134</v>
      </c>
      <c r="AX147" s="4">
        <f>$AX$4*'NIFTY MEMBS'!AY136</f>
        <v>18150.402310707657</v>
      </c>
      <c r="AY147" s="4">
        <f t="shared" si="12"/>
        <v>1037085.6396735213</v>
      </c>
      <c r="AZ147" s="4">
        <f t="shared" si="13"/>
        <v>105.82506527280829</v>
      </c>
    </row>
    <row r="148" spans="1:52" ht="14.25" customHeight="1" x14ac:dyDescent="0.3">
      <c r="A148" s="2">
        <v>45855</v>
      </c>
      <c r="B148" s="4">
        <f>$B$4*'NIFTY MEMBS'!C137</f>
        <v>24178.505629477993</v>
      </c>
      <c r="C148" s="4">
        <f>$C$4*'NIFTY MEMBS'!D137</f>
        <v>22290.156835468602</v>
      </c>
      <c r="D148" s="4">
        <f>$D$4*'NIFTY MEMBS'!E137</f>
        <v>24188.757285203985</v>
      </c>
      <c r="E148" s="4">
        <f>$E$4*'NIFTY MEMBS'!F137</f>
        <v>15607.241425427665</v>
      </c>
      <c r="F148" s="4">
        <f>$F$4*'NIFTY MEMBS'!G137</f>
        <v>22104.156117321698</v>
      </c>
      <c r="G148" s="4">
        <f>$G$4*'NIFTY MEMBS'!H137</f>
        <v>20902.67271810388</v>
      </c>
      <c r="H148" s="4">
        <f>$H$4*'NIFTY MEMBS'!I137</f>
        <v>16823.373173970784</v>
      </c>
      <c r="I148" s="4">
        <f>$I$4*'NIFTY MEMBS'!J137</f>
        <v>21616.64011024504</v>
      </c>
      <c r="J148" s="4">
        <f>$J$4*'NIFTY MEMBS'!K137</f>
        <v>26626.101250126165</v>
      </c>
      <c r="K148" s="4">
        <f>$K$4*'NIFTY MEMBS'!L137</f>
        <v>18520.37918832729</v>
      </c>
      <c r="L148" s="4">
        <f>$L$4*'NIFTY MEMBS'!M137</f>
        <v>18944.78527607362</v>
      </c>
      <c r="M148" s="4">
        <f>$M$4*'NIFTY MEMBS'!N137</f>
        <v>22262.073641854699</v>
      </c>
      <c r="N148" s="4">
        <f>$N$4*'NIFTY MEMBS'!O137</f>
        <v>20733.29007138222</v>
      </c>
      <c r="O148" s="4">
        <f>$O$4*'NIFTY MEMBS'!P137</f>
        <v>24276.4482218743</v>
      </c>
      <c r="P148" s="4">
        <f>$P$4*'NIFTY MEMBS'!Q137</f>
        <v>16150.003922696724</v>
      </c>
      <c r="Q148" s="4">
        <f>$Q$4*'NIFTY MEMBS'!R137</f>
        <v>18025.873700362445</v>
      </c>
      <c r="R148" s="4">
        <f>$R$4*'NIFTY MEMBS'!S137</f>
        <v>21831.047436009434</v>
      </c>
      <c r="S148" s="4">
        <f>$S$4*'NIFTY MEMBS'!T137</f>
        <v>21642.097406232508</v>
      </c>
      <c r="T148" s="4">
        <f>$T$4*'NIFTY MEMBS'!U137</f>
        <v>25710.479573712255</v>
      </c>
      <c r="U148" s="4">
        <f>$U$4*'NIFTY MEMBS'!V137</f>
        <v>21103.001060282437</v>
      </c>
      <c r="V148" s="4">
        <f>$V$4*'NIFTY MEMBS'!W137</f>
        <v>20539.487486887458</v>
      </c>
      <c r="W148" s="4">
        <f>$W$4*'NIFTY MEMBS'!X137</f>
        <v>18781.193490054251</v>
      </c>
      <c r="X148" s="4">
        <f>$X$4*'NIFTY MEMBS'!Y137</f>
        <v>23836.875358989084</v>
      </c>
      <c r="Y148" s="4">
        <f>$Y$4*'NIFTY MEMBS'!Z137</f>
        <v>20584.089470352395</v>
      </c>
      <c r="Z148" s="4">
        <f>$Z$4*'NIFTY MEMBS'!AA137</f>
        <v>27505.954406260636</v>
      </c>
      <c r="AA148" s="4">
        <f>$AA$4*'NIFTY MEMBS'!AB137</f>
        <v>22843.889778563145</v>
      </c>
      <c r="AB148" s="4">
        <f>$AB$4*'NIFTY MEMBS'!AC137</f>
        <v>17355.977355977357</v>
      </c>
      <c r="AC148" s="4">
        <f>$AC$4*'NIFTY MEMBS'!AD137</f>
        <v>19110.824742268043</v>
      </c>
      <c r="AD148" s="4">
        <f>$AD$4*'NIFTY MEMBS'!AE137</f>
        <v>18196.863530196864</v>
      </c>
      <c r="AE148" s="4">
        <f>$AE$4*'NIFTY MEMBS'!AF137</f>
        <v>19060.585432266849</v>
      </c>
      <c r="AF148" s="4">
        <f>$AF$4*'NIFTY MEMBS'!AG137</f>
        <v>20817.911613477099</v>
      </c>
      <c r="AG148" s="4">
        <f>$AG$4*'NIFTY MEMBS'!AH137</f>
        <v>19974.120082815734</v>
      </c>
      <c r="AH148" s="4">
        <f>$AH$4*'NIFTY MEMBS'!AI137</f>
        <v>22580.258523722598</v>
      </c>
      <c r="AI148" s="4">
        <f>$AI$4*'NIFTY MEMBS'!AJ137</f>
        <v>23387.450636243964</v>
      </c>
      <c r="AJ148" s="4">
        <f>$AJ$4*'NIFTY MEMBS'!AK137</f>
        <v>20899.983576942028</v>
      </c>
      <c r="AK148" s="4">
        <f>$AK$4*'NIFTY MEMBS'!AL137</f>
        <v>22654.628094097414</v>
      </c>
      <c r="AL148" s="4">
        <f>$AL$4*'NIFTY MEMBS'!AM137</f>
        <v>23130.616338812353</v>
      </c>
      <c r="AM148" s="4">
        <f>$AM$4*'NIFTY MEMBS'!AN137</f>
        <v>15329.54633880632</v>
      </c>
      <c r="AN148" s="4">
        <f>$AN$4*'NIFTY MEMBS'!AO137</f>
        <v>25746.92944872893</v>
      </c>
      <c r="AO148" s="4">
        <f>$AO$4*'NIFTY MEMBS'!AP137</f>
        <v>24361.633182112761</v>
      </c>
      <c r="AP148" s="4">
        <f>$AP$4*'NIFTY MEMBS'!AQ137</f>
        <v>22752.339994940547</v>
      </c>
      <c r="AQ148" s="4">
        <f>$AQ$4*'NIFTY MEMBS'!AR137</f>
        <v>18354.902133403764</v>
      </c>
      <c r="AR148" s="4">
        <f>$AR$4*'NIFTY MEMBS'!AS137</f>
        <v>19389.18317964816</v>
      </c>
      <c r="AS148" s="4">
        <f>$AS$4*'NIFTY MEMBS'!AT137</f>
        <v>19948.030096408918</v>
      </c>
      <c r="AT148" s="4">
        <f>$AT$4*'NIFTY MEMBS'!AU137</f>
        <v>22799.924622685143</v>
      </c>
      <c r="AU148" s="4">
        <f>$AU$4*'NIFTY MEMBS'!AV137</f>
        <v>24031.294143214171</v>
      </c>
      <c r="AV148" s="4">
        <f>$AV$4*'NIFTY MEMBS'!AW137</f>
        <v>18452.885317750181</v>
      </c>
      <c r="AW148" s="4">
        <f>$AW$4*'NIFTY MEMBS'!AX137</f>
        <v>21239.141085234267</v>
      </c>
      <c r="AX148" s="4">
        <f>$AX$4*'NIFTY MEMBS'!AY137</f>
        <v>17848.153497008461</v>
      </c>
      <c r="AY148" s="4">
        <f t="shared" si="12"/>
        <v>1035051.7570020226</v>
      </c>
      <c r="AZ148" s="4">
        <f t="shared" si="13"/>
        <v>105.61752622469618</v>
      </c>
    </row>
    <row r="149" spans="1:52" ht="14.25" customHeight="1" x14ac:dyDescent="0.3">
      <c r="A149" s="2">
        <v>45856</v>
      </c>
      <c r="B149" s="4">
        <f>$B$4*'NIFTY MEMBS'!C138</f>
        <v>24171.95496417605</v>
      </c>
      <c r="C149" s="4">
        <f>$C$4*'NIFTY MEMBS'!D138</f>
        <v>21959.209315892214</v>
      </c>
      <c r="D149" s="4">
        <f>$D$4*'NIFTY MEMBS'!E138</f>
        <v>23826.533809613335</v>
      </c>
      <c r="E149" s="4">
        <f>$E$4*'NIFTY MEMBS'!F138</f>
        <v>15513.380101885738</v>
      </c>
      <c r="F149" s="4">
        <f>$F$4*'NIFTY MEMBS'!G138</f>
        <v>22214.778171619986</v>
      </c>
      <c r="G149" s="4">
        <f>$G$4*'NIFTY MEMBS'!H138</f>
        <v>20760.211800302572</v>
      </c>
      <c r="H149" s="4">
        <f>$H$4*'NIFTY MEMBS'!I138</f>
        <v>16850.996015936253</v>
      </c>
      <c r="I149" s="4">
        <f>$I$4*'NIFTY MEMBS'!J138</f>
        <v>21442.659661513288</v>
      </c>
      <c r="J149" s="4">
        <f>$J$4*'NIFTY MEMBS'!K138</f>
        <v>27165.371361008176</v>
      </c>
      <c r="K149" s="4">
        <f>$K$4*'NIFTY MEMBS'!L138</f>
        <v>18467.956838932332</v>
      </c>
      <c r="L149" s="4">
        <f>$L$4*'NIFTY MEMBS'!M138</f>
        <v>18894.614860259033</v>
      </c>
      <c r="M149" s="4">
        <f>$M$4*'NIFTY MEMBS'!N138</f>
        <v>22160.363302195696</v>
      </c>
      <c r="N149" s="4">
        <f>$N$4*'NIFTY MEMBS'!O138</f>
        <v>20716.417910447763</v>
      </c>
      <c r="O149" s="4">
        <f>$O$4*'NIFTY MEMBS'!P138</f>
        <v>23937.597852829342</v>
      </c>
      <c r="P149" s="4">
        <f>$P$4*'NIFTY MEMBS'!Q138</f>
        <v>16201.260493213735</v>
      </c>
      <c r="Q149" s="4">
        <f>$Q$4*'NIFTY MEMBS'!R138</f>
        <v>17922.167253101932</v>
      </c>
      <c r="R149" s="4">
        <f>$R$4*'NIFTY MEMBS'!S138</f>
        <v>21836.288984013278</v>
      </c>
      <c r="S149" s="4">
        <f>$S$4*'NIFTY MEMBS'!T138</f>
        <v>20513.155439447659</v>
      </c>
      <c r="T149" s="4">
        <f>$T$4*'NIFTY MEMBS'!U138</f>
        <v>25749.809692971325</v>
      </c>
      <c r="U149" s="4">
        <f>$U$4*'NIFTY MEMBS'!V138</f>
        <v>20916.14548918973</v>
      </c>
      <c r="V149" s="4">
        <f>$V$4*'NIFTY MEMBS'!W138</f>
        <v>20506.518807133227</v>
      </c>
      <c r="W149" s="4">
        <f>$W$4*'NIFTY MEMBS'!X138</f>
        <v>18603.978300180832</v>
      </c>
      <c r="X149" s="4">
        <f>$X$4*'NIFTY MEMBS'!Y138</f>
        <v>23682.612620004918</v>
      </c>
      <c r="Y149" s="4">
        <f>$Y$4*'NIFTY MEMBS'!Z138</f>
        <v>20790.040092846593</v>
      </c>
      <c r="Z149" s="4">
        <f>$Z$4*'NIFTY MEMBS'!AA138</f>
        <v>26862.878530112288</v>
      </c>
      <c r="AA149" s="4">
        <f>$AA$4*'NIFTY MEMBS'!AB138</f>
        <v>22848.30747142305</v>
      </c>
      <c r="AB149" s="4">
        <f>$AB$4*'NIFTY MEMBS'!AC138</f>
        <v>17778.887778887776</v>
      </c>
      <c r="AC149" s="4">
        <f>$AC$4*'NIFTY MEMBS'!AD138</f>
        <v>18952.963917525773</v>
      </c>
      <c r="AD149" s="4">
        <f>$AD$4*'NIFTY MEMBS'!AE138</f>
        <v>18158.158158158156</v>
      </c>
      <c r="AE149" s="4">
        <f>$AE$4*'NIFTY MEMBS'!AF138</f>
        <v>19100.628678973291</v>
      </c>
      <c r="AF149" s="4">
        <f>$AF$4*'NIFTY MEMBS'!AG138</f>
        <v>20674.722842947951</v>
      </c>
      <c r="AG149" s="4">
        <f>$AG$4*'NIFTY MEMBS'!AH138</f>
        <v>20108.695652173912</v>
      </c>
      <c r="AH149" s="4">
        <f>$AH$4*'NIFTY MEMBS'!AI138</f>
        <v>22793.236340838266</v>
      </c>
      <c r="AI149" s="4">
        <f>$AI$4*'NIFTY MEMBS'!AJ138</f>
        <v>23748.720198917654</v>
      </c>
      <c r="AJ149" s="4">
        <f>$AJ$4*'NIFTY MEMBS'!AK138</f>
        <v>20814.583675480379</v>
      </c>
      <c r="AK149" s="4">
        <f>$AK$4*'NIFTY MEMBS'!AL138</f>
        <v>22345.064799459491</v>
      </c>
      <c r="AL149" s="4">
        <f>$AL$4*'NIFTY MEMBS'!AM138</f>
        <v>23038.503264896728</v>
      </c>
      <c r="AM149" s="4">
        <f>$AM$4*'NIFTY MEMBS'!AN138</f>
        <v>15209.286861298378</v>
      </c>
      <c r="AN149" s="4">
        <f>$AN$4*'NIFTY MEMBS'!AO138</f>
        <v>25541.273921736643</v>
      </c>
      <c r="AO149" s="4">
        <f>$AO$4*'NIFTY MEMBS'!AP138</f>
        <v>23963.058976020733</v>
      </c>
      <c r="AP149" s="4">
        <f>$AP$4*'NIFTY MEMBS'!AQ138</f>
        <v>22797.875031621552</v>
      </c>
      <c r="AQ149" s="4">
        <f>$AQ$4*'NIFTY MEMBS'!AR138</f>
        <v>18181.177920591603</v>
      </c>
      <c r="AR149" s="4">
        <f>$AR$4*'NIFTY MEMBS'!AS138</f>
        <v>19387.87522071807</v>
      </c>
      <c r="AS149" s="4">
        <f>$AS$4*'NIFTY MEMBS'!AT138</f>
        <v>19820.479941381203</v>
      </c>
      <c r="AT149" s="4">
        <f>$AT$4*'NIFTY MEMBS'!AU138</f>
        <v>22116.389426618469</v>
      </c>
      <c r="AU149" s="4">
        <f>$AU$4*'NIFTY MEMBS'!AV138</f>
        <v>23816.14690861676</v>
      </c>
      <c r="AV149" s="4">
        <f>$AV$4*'NIFTY MEMBS'!AW138</f>
        <v>18371.073776479181</v>
      </c>
      <c r="AW149" s="4">
        <f>$AW$4*'NIFTY MEMBS'!AX138</f>
        <v>21014.972456892945</v>
      </c>
      <c r="AX149" s="4">
        <f>$AX$4*'NIFTY MEMBS'!AY138</f>
        <v>17950.278522797609</v>
      </c>
      <c r="AY149" s="4">
        <f t="shared" si="12"/>
        <v>1030199.2634132829</v>
      </c>
      <c r="AZ149" s="4">
        <f t="shared" si="13"/>
        <v>105.12237381768192</v>
      </c>
    </row>
    <row r="150" spans="1:52" ht="14.25" customHeight="1" x14ac:dyDescent="0.3">
      <c r="A150" s="2">
        <v>45859</v>
      </c>
      <c r="B150" s="4">
        <f>$B$4*'NIFTY MEMBS'!C139</f>
        <v>23395.701125895597</v>
      </c>
      <c r="C150" s="4">
        <f>$C$4*'NIFTY MEMBS'!D139</f>
        <v>22442.729251273307</v>
      </c>
      <c r="D150" s="4">
        <f>$D$4*'NIFTY MEMBS'!E139</f>
        <v>23929.310020680579</v>
      </c>
      <c r="E150" s="4">
        <f>$E$4*'NIFTY MEMBS'!F139</f>
        <v>15359.214093788374</v>
      </c>
      <c r="F150" s="4">
        <f>$F$4*'NIFTY MEMBS'!G139</f>
        <v>22838.001012737113</v>
      </c>
      <c r="G150" s="4">
        <f>$G$4*'NIFTY MEMBS'!H139</f>
        <v>20781.643973777103</v>
      </c>
      <c r="H150" s="4">
        <f>$H$4*'NIFTY MEMBS'!I139</f>
        <v>16831.872509960158</v>
      </c>
      <c r="I150" s="4">
        <f>$I$4*'NIFTY MEMBS'!J139</f>
        <v>21229.921192024463</v>
      </c>
      <c r="J150" s="4">
        <f>$J$4*'NIFTY MEMBS'!K139</f>
        <v>27351.376292301702</v>
      </c>
      <c r="K150" s="4">
        <f>$K$4*'NIFTY MEMBS'!L139</f>
        <v>18352.190817351799</v>
      </c>
      <c r="L150" s="4">
        <f>$L$4*'NIFTY MEMBS'!M139</f>
        <v>19101.840490797545</v>
      </c>
      <c r="M150" s="4">
        <f>$M$4*'NIFTY MEMBS'!N139</f>
        <v>22135.381815261906</v>
      </c>
      <c r="N150" s="4">
        <f>$N$4*'NIFTY MEMBS'!O139</f>
        <v>21068.78650227125</v>
      </c>
      <c r="O150" s="4">
        <f>$O$4*'NIFTY MEMBS'!P139</f>
        <v>24213.822411093712</v>
      </c>
      <c r="P150" s="4">
        <f>$P$4*'NIFTY MEMBS'!Q139</f>
        <v>16008.786840660059</v>
      </c>
      <c r="Q150" s="4">
        <f>$Q$4*'NIFTY MEMBS'!R139</f>
        <v>17908.410275404109</v>
      </c>
      <c r="R150" s="4">
        <f>$R$4*'NIFTY MEMBS'!S139</f>
        <v>21974.316414781166</v>
      </c>
      <c r="S150" s="4">
        <f>$S$4*'NIFTY MEMBS'!T139</f>
        <v>20518.753498787086</v>
      </c>
      <c r="T150" s="4">
        <f>$T$4*'NIFTY MEMBS'!U139</f>
        <v>26058.107079421465</v>
      </c>
      <c r="U150" s="4">
        <f>$U$4*'NIFTY MEMBS'!V139</f>
        <v>21101.157090830864</v>
      </c>
      <c r="V150" s="4">
        <f>$V$4*'NIFTY MEMBS'!W139</f>
        <v>20473.550127378992</v>
      </c>
      <c r="W150" s="4">
        <f>$W$4*'NIFTY MEMBS'!X139</f>
        <v>19652.802893309225</v>
      </c>
      <c r="X150" s="4">
        <f>$X$4*'NIFTY MEMBS'!Y139</f>
        <v>23804.053499630751</v>
      </c>
      <c r="Y150" s="4">
        <f>$Y$4*'NIFTY MEMBS'!Z139</f>
        <v>20682.844481958218</v>
      </c>
      <c r="Z150" s="4">
        <f>$Z$4*'NIFTY MEMBS'!AA139</f>
        <v>27216.740387887039</v>
      </c>
      <c r="AA150" s="4">
        <f>$AA$4*'NIFTY MEMBS'!AB139</f>
        <v>22857.142857142855</v>
      </c>
      <c r="AB150" s="4">
        <f>$AB$4*'NIFTY MEMBS'!AC139</f>
        <v>17339.327339327341</v>
      </c>
      <c r="AC150" s="4">
        <f>$AC$4*'NIFTY MEMBS'!AD139</f>
        <v>19136.597938144332</v>
      </c>
      <c r="AD150" s="4">
        <f>$AD$4*'NIFTY MEMBS'!AE139</f>
        <v>18350.350350350353</v>
      </c>
      <c r="AE150" s="4">
        <f>$AE$4*'NIFTY MEMBS'!AF139</f>
        <v>19308.853561846794</v>
      </c>
      <c r="AF150" s="4">
        <f>$AF$4*'NIFTY MEMBS'!AG139</f>
        <v>20613.976091814373</v>
      </c>
      <c r="AG150" s="4">
        <f>$AG$4*'NIFTY MEMBS'!AH139</f>
        <v>20020.703933747413</v>
      </c>
      <c r="AH150" s="4">
        <f>$AH$4*'NIFTY MEMBS'!AI139</f>
        <v>22796.924268407372</v>
      </c>
      <c r="AI150" s="4">
        <f>$AI$4*'NIFTY MEMBS'!AJ139</f>
        <v>23843.791136463362</v>
      </c>
      <c r="AJ150" s="4">
        <f>$AJ$4*'NIFTY MEMBS'!AK139</f>
        <v>20840.860568237807</v>
      </c>
      <c r="AK150" s="4">
        <f>$AK$4*'NIFTY MEMBS'!AL139</f>
        <v>22454.804168458119</v>
      </c>
      <c r="AL150" s="4">
        <f>$AL$4*'NIFTY MEMBS'!AM139</f>
        <v>22753.976214357357</v>
      </c>
      <c r="AM150" s="4">
        <f>$AM$4*'NIFTY MEMBS'!AN139</f>
        <v>15212.11649606327</v>
      </c>
      <c r="AN150" s="4">
        <f>$AN$4*'NIFTY MEMBS'!AO139</f>
        <v>25774.064552984859</v>
      </c>
      <c r="AO150" s="4">
        <f>$AO$4*'NIFTY MEMBS'!AP139</f>
        <v>24377.835385612438</v>
      </c>
      <c r="AP150" s="4">
        <f>$AP$4*'NIFTY MEMBS'!AQ139</f>
        <v>23027.2366978666</v>
      </c>
      <c r="AQ150" s="4">
        <f>$AQ$4*'NIFTY MEMBS'!AR139</f>
        <v>18121.313495906328</v>
      </c>
      <c r="AR150" s="4">
        <f>$AR$4*'NIFTY MEMBS'!AS139</f>
        <v>19278.006670590545</v>
      </c>
      <c r="AS150" s="4">
        <f>$AS$4*'NIFTY MEMBS'!AT139</f>
        <v>19687.502120182096</v>
      </c>
      <c r="AT150" s="4">
        <f>$AT$4*'NIFTY MEMBS'!AU139</f>
        <v>22464.152947424318</v>
      </c>
      <c r="AU150" s="4">
        <f>$AU$4*'NIFTY MEMBS'!AV139</f>
        <v>23694.447462783875</v>
      </c>
      <c r="AV150" s="4">
        <f>$AV$4*'NIFTY MEMBS'!AW139</f>
        <v>18397.370343316288</v>
      </c>
      <c r="AW150" s="4">
        <f>$AW$4*'NIFTY MEMBS'!AX139</f>
        <v>21069.939178128021</v>
      </c>
      <c r="AX150" s="4">
        <f>$AX$4*'NIFTY MEMBS'!AY139</f>
        <v>17718.176191458635</v>
      </c>
      <c r="AY150" s="4">
        <f t="shared" si="12"/>
        <v>1033570.7840698782</v>
      </c>
      <c r="AZ150" s="4">
        <f t="shared" si="13"/>
        <v>105.46640653774266</v>
      </c>
    </row>
    <row r="151" spans="1:52" ht="14.25" customHeight="1" x14ac:dyDescent="0.3">
      <c r="A151" s="2">
        <v>45860</v>
      </c>
      <c r="B151" s="4">
        <f>$B$4*'NIFTY MEMBS'!C140</f>
        <v>23136.949846468779</v>
      </c>
      <c r="C151" s="4">
        <f>$C$4*'NIFTY MEMBS'!D140</f>
        <v>22516.771747178533</v>
      </c>
      <c r="D151" s="4">
        <f>$D$4*'NIFTY MEMBS'!E140</f>
        <v>23899.229178416994</v>
      </c>
      <c r="E151" s="4">
        <f>$E$4*'NIFTY MEMBS'!F140</f>
        <v>15366.022687205923</v>
      </c>
      <c r="F151" s="4">
        <f>$F$4*'NIFTY MEMBS'!G140</f>
        <v>22959.529466754953</v>
      </c>
      <c r="G151" s="4">
        <f>$G$4*'NIFTY MEMBS'!H140</f>
        <v>20549.672213817448</v>
      </c>
      <c r="H151" s="4">
        <f>$H$4*'NIFTY MEMBS'!I140</f>
        <v>16689.508632138113</v>
      </c>
      <c r="I151" s="4">
        <f>$I$4*'NIFTY MEMBS'!J140</f>
        <v>21357.392015847723</v>
      </c>
      <c r="J151" s="4">
        <f>$J$4*'NIFTY MEMBS'!K140</f>
        <v>27469.611985061929</v>
      </c>
      <c r="K151" s="4">
        <f>$K$4*'NIFTY MEMBS'!L140</f>
        <v>18173.081123585689</v>
      </c>
      <c r="L151" s="4">
        <f>$L$4*'NIFTY MEMBS'!M140</f>
        <v>18893.524199045671</v>
      </c>
      <c r="M151" s="4">
        <f>$M$4*'NIFTY MEMBS'!N140</f>
        <v>22290.623912636172</v>
      </c>
      <c r="N151" s="4">
        <f>$N$4*'NIFTY MEMBS'!O140</f>
        <v>21136.924075275794</v>
      </c>
      <c r="O151" s="4">
        <f>$O$4*'NIFTY MEMBS'!P140</f>
        <v>24157.906508611046</v>
      </c>
      <c r="P151" s="4">
        <f>$P$4*'NIFTY MEMBS'!Q140</f>
        <v>15901.043437328381</v>
      </c>
      <c r="Q151" s="4">
        <f>$Q$4*'NIFTY MEMBS'!R140</f>
        <v>17757.083520728062</v>
      </c>
      <c r="R151" s="4">
        <f>$R$4*'NIFTY MEMBS'!S140</f>
        <v>21755.918581287671</v>
      </c>
      <c r="S151" s="4">
        <f>$S$4*'NIFTY MEMBS'!T140</f>
        <v>20488.897182310135</v>
      </c>
      <c r="T151" s="4">
        <f>$T$4*'NIFTY MEMBS'!U140</f>
        <v>25876.68104541994</v>
      </c>
      <c r="U151" s="4">
        <f>$U$4*'NIFTY MEMBS'!V140</f>
        <v>21343.33174547075</v>
      </c>
      <c r="V151" s="4">
        <f>$V$4*'NIFTY MEMBS'!W140</f>
        <v>20431.589989509968</v>
      </c>
      <c r="W151" s="4">
        <f>$W$4*'NIFTY MEMBS'!X140</f>
        <v>21685.352622061484</v>
      </c>
      <c r="X151" s="4">
        <f>$X$4*'NIFTY MEMBS'!Y140</f>
        <v>23315.007795191596</v>
      </c>
      <c r="Y151" s="4">
        <f>$Y$4*'NIFTY MEMBS'!Z140</f>
        <v>20798.480692129142</v>
      </c>
      <c r="Z151" s="4">
        <f>$Z$4*'NIFTY MEMBS'!AA140</f>
        <v>27431.099013269824</v>
      </c>
      <c r="AA151" s="4">
        <f>$AA$4*'NIFTY MEMBS'!AB140</f>
        <v>22766.580153514828</v>
      </c>
      <c r="AB151" s="4">
        <f>$AB$4*'NIFTY MEMBS'!AC140</f>
        <v>17296.037296037295</v>
      </c>
      <c r="AC151" s="4">
        <f>$AC$4*'NIFTY MEMBS'!AD140</f>
        <v>19188.14432989691</v>
      </c>
      <c r="AD151" s="4">
        <f>$AD$4*'NIFTY MEMBS'!AE140</f>
        <v>17975.308641975309</v>
      </c>
      <c r="AE151" s="4">
        <f>$AE$4*'NIFTY MEMBS'!AF140</f>
        <v>18980.498938853962</v>
      </c>
      <c r="AF151" s="4">
        <f>$AF$4*'NIFTY MEMBS'!AG140</f>
        <v>20525.459397305443</v>
      </c>
      <c r="AG151" s="4">
        <f>$AG$4*'NIFTY MEMBS'!AH140</f>
        <v>20139.751552795035</v>
      </c>
      <c r="AH151" s="4">
        <f>$AH$4*'NIFTY MEMBS'!AI140</f>
        <v>22528.627537755161</v>
      </c>
      <c r="AI151" s="4">
        <f>$AI$4*'NIFTY MEMBS'!AJ140</f>
        <v>23846.716396080148</v>
      </c>
      <c r="AJ151" s="4">
        <f>$AJ$4*'NIFTY MEMBS'!AK140</f>
        <v>20417.145672524228</v>
      </c>
      <c r="AK151" s="4">
        <f>$AK$4*'NIFTY MEMBS'!AL140</f>
        <v>22297.565669594413</v>
      </c>
      <c r="AL151" s="4">
        <f>$AL$4*'NIFTY MEMBS'!AM140</f>
        <v>22268.847358401734</v>
      </c>
      <c r="AM151" s="4">
        <f>$AM$4*'NIFTY MEMBS'!AN140</f>
        <v>15168.257157207434</v>
      </c>
      <c r="AN151" s="4">
        <f>$AN$4*'NIFTY MEMBS'!AO140</f>
        <v>25835.475578406167</v>
      </c>
      <c r="AO151" s="4">
        <f>$AO$4*'NIFTY MEMBS'!AP140</f>
        <v>24734.283862605309</v>
      </c>
      <c r="AP151" s="4">
        <f>$AP$4*'NIFTY MEMBS'!AQ140</f>
        <v>23275.149675352048</v>
      </c>
      <c r="AQ151" s="4">
        <f>$AQ$4*'NIFTY MEMBS'!AR140</f>
        <v>18161.223112363179</v>
      </c>
      <c r="AR151" s="4">
        <f>$AR$4*'NIFTY MEMBS'!AS140</f>
        <v>19153.750572232035</v>
      </c>
      <c r="AS151" s="4">
        <f>$AS$4*'NIFTY MEMBS'!AT140</f>
        <v>19665.791455496528</v>
      </c>
      <c r="AT151" s="4">
        <f>$AT$4*'NIFTY MEMBS'!AU140</f>
        <v>21933.085501858732</v>
      </c>
      <c r="AU151" s="4">
        <f>$AU$4*'NIFTY MEMBS'!AV140</f>
        <v>23574.921221340868</v>
      </c>
      <c r="AV151" s="4">
        <f>$AV$4*'NIFTY MEMBS'!AW140</f>
        <v>18115.412710007306</v>
      </c>
      <c r="AW151" s="4">
        <f>$AW$4*'NIFTY MEMBS'!AX140</f>
        <v>20755.433938365572</v>
      </c>
      <c r="AX151" s="4">
        <f>$AX$4*'NIFTY MEMBS'!AY140</f>
        <v>17396.327625335263</v>
      </c>
      <c r="AY151" s="4">
        <f t="shared" si="12"/>
        <v>1031381.0285720567</v>
      </c>
      <c r="AZ151" s="4">
        <f t="shared" si="13"/>
        <v>105.24296209918947</v>
      </c>
    </row>
    <row r="152" spans="1:52" ht="14.25" customHeight="1" x14ac:dyDescent="0.3">
      <c r="A152" s="2">
        <v>45861</v>
      </c>
      <c r="B152" s="4">
        <f>$B$4*'NIFTY MEMBS'!C141</f>
        <v>23330.194472876148</v>
      </c>
      <c r="C152" s="4">
        <f>$C$4*'NIFTY MEMBS'!D141</f>
        <v>22709.730978931544</v>
      </c>
      <c r="D152" s="4">
        <f>$D$4*'NIFTY MEMBS'!E141</f>
        <v>24362.975496647239</v>
      </c>
      <c r="E152" s="4">
        <f>$E$4*'NIFTY MEMBS'!F141</f>
        <v>15460.856666950358</v>
      </c>
      <c r="F152" s="4">
        <f>$F$4*'NIFTY MEMBS'!G141</f>
        <v>23193.238032173875</v>
      </c>
      <c r="G152" s="4">
        <f>$G$4*'NIFTY MEMBS'!H141</f>
        <v>20692.133131618757</v>
      </c>
      <c r="H152" s="4">
        <f>$H$4*'NIFTY MEMBS'!I141</f>
        <v>16727.755644090306</v>
      </c>
      <c r="I152" s="4">
        <f>$I$4*'NIFTY MEMBS'!J141</f>
        <v>21105.034236251671</v>
      </c>
      <c r="J152" s="4">
        <f>$J$4*'NIFTY MEMBS'!K141</f>
        <v>27923.810073104261</v>
      </c>
      <c r="K152" s="4">
        <f>$K$4*'NIFTY MEMBS'!L141</f>
        <v>18127.211567865099</v>
      </c>
      <c r="L152" s="4">
        <f>$L$4*'NIFTY MEMBS'!M141</f>
        <v>19004.226312201772</v>
      </c>
      <c r="M152" s="4">
        <f>$M$4*'NIFTY MEMBS'!N141</f>
        <v>22531.516822354864</v>
      </c>
      <c r="N152" s="4">
        <f>$N$4*'NIFTY MEMBS'!O141</f>
        <v>21212.199870214146</v>
      </c>
      <c r="O152" s="4">
        <f>$O$4*'NIFTY MEMBS'!P141</f>
        <v>24271.974949675685</v>
      </c>
      <c r="P152" s="4">
        <f>$P$4*'NIFTY MEMBS'!Q141</f>
        <v>16002.510525902873</v>
      </c>
      <c r="Q152" s="4">
        <f>$Q$4*'NIFTY MEMBS'!R141</f>
        <v>17804.7038281436</v>
      </c>
      <c r="R152" s="4">
        <f>$R$4*'NIFTY MEMBS'!S141</f>
        <v>21616.143967851836</v>
      </c>
      <c r="S152" s="4">
        <f>$S$4*'NIFTY MEMBS'!T141</f>
        <v>20615.78652733719</v>
      </c>
      <c r="T152" s="4">
        <f>$T$4*'NIFTY MEMBS'!U141</f>
        <v>26141.842172037552</v>
      </c>
      <c r="U152" s="4">
        <f>$U$4*'NIFTY MEMBS'!V141</f>
        <v>21337.185180632176</v>
      </c>
      <c r="V152" s="4">
        <f>$V$4*'NIFTY MEMBS'!W141</f>
        <v>20563.464708526899</v>
      </c>
      <c r="W152" s="4">
        <f>$W$4*'NIFTY MEMBS'!X141</f>
        <v>21848.101265822788</v>
      </c>
      <c r="X152" s="4">
        <f>$X$4*'NIFTY MEMBS'!Y141</f>
        <v>23316.648888159511</v>
      </c>
      <c r="Y152" s="4">
        <f>$Y$4*'NIFTY MEMBS'!Z141</f>
        <v>20725.89153829922</v>
      </c>
      <c r="Z152" s="4">
        <f>$Z$4*'NIFTY MEMBS'!AA141</f>
        <v>27233.752977203134</v>
      </c>
      <c r="AA152" s="4">
        <f>$AA$4*'NIFTY MEMBS'!AB141</f>
        <v>22835.054392843336</v>
      </c>
      <c r="AB152" s="4">
        <f>$AB$4*'NIFTY MEMBS'!AC141</f>
        <v>17409.257409257407</v>
      </c>
      <c r="AC152" s="4">
        <f>$AC$4*'NIFTY MEMBS'!AD141</f>
        <v>19281.572164948455</v>
      </c>
      <c r="AD152" s="4">
        <f>$AD$4*'NIFTY MEMBS'!AE141</f>
        <v>18421.087754421089</v>
      </c>
      <c r="AE152" s="4">
        <f>$AE$4*'NIFTY MEMBS'!AF141</f>
        <v>19213.893862514375</v>
      </c>
      <c r="AF152" s="4">
        <f>$AF$4*'NIFTY MEMBS'!AG141</f>
        <v>20613.976091814373</v>
      </c>
      <c r="AG152" s="4">
        <f>$AG$4*'NIFTY MEMBS'!AH141</f>
        <v>20225.155279503106</v>
      </c>
      <c r="AH152" s="4">
        <f>$AH$4*'NIFTY MEMBS'!AI141</f>
        <v>22611.60590805997</v>
      </c>
      <c r="AI152" s="4">
        <f>$AI$4*'NIFTY MEMBS'!AJ141</f>
        <v>23807.225391253472</v>
      </c>
      <c r="AJ152" s="4">
        <f>$AJ$4*'NIFTY MEMBS'!AK141</f>
        <v>20656.922318935787</v>
      </c>
      <c r="AK152" s="4">
        <f>$AK$4*'NIFTY MEMBS'!AL141</f>
        <v>22186.188399565955</v>
      </c>
      <c r="AL152" s="4">
        <f>$AL$4*'NIFTY MEMBS'!AM141</f>
        <v>22277.035187194233</v>
      </c>
      <c r="AM152" s="4">
        <f>$AM$4*'NIFTY MEMBS'!AN141</f>
        <v>15164.012705060095</v>
      </c>
      <c r="AN152" s="4">
        <f>$AN$4*'NIFTY MEMBS'!AO141</f>
        <v>25842.616395315621</v>
      </c>
      <c r="AO152" s="4">
        <f>$AO$4*'NIFTY MEMBS'!AP141</f>
        <v>24708.36033700583</v>
      </c>
      <c r="AP152" s="4">
        <f>$AP$4*'NIFTY MEMBS'!AQ141</f>
        <v>23455.603339236019</v>
      </c>
      <c r="AQ152" s="4">
        <f>$AQ$4*'NIFTY MEMBS'!AR141</f>
        <v>18154.180238870791</v>
      </c>
      <c r="AR152" s="4">
        <f>$AR$4*'NIFTY MEMBS'!AS141</f>
        <v>19272.774834870186</v>
      </c>
      <c r="AS152" s="4">
        <f>$AS$4*'NIFTY MEMBS'!AT141</f>
        <v>20010.448257379929</v>
      </c>
      <c r="AT152" s="4">
        <f>$AT$4*'NIFTY MEMBS'!AU141</f>
        <v>22409.333082075613</v>
      </c>
      <c r="AU152" s="4">
        <f>$AU$4*'NIFTY MEMBS'!AV141</f>
        <v>23092.469846789088</v>
      </c>
      <c r="AV152" s="4">
        <f>$AV$4*'NIFTY MEMBS'!AW141</f>
        <v>18223.520818115416</v>
      </c>
      <c r="AW152" s="4">
        <f>$AW$4*'NIFTY MEMBS'!AX141</f>
        <v>20857.241865522719</v>
      </c>
      <c r="AX152" s="4">
        <f>$AX$4*'NIFTY MEMBS'!AY141</f>
        <v>17560.346606148134</v>
      </c>
      <c r="AY152" s="4">
        <f t="shared" si="12"/>
        <v>1036148.7723215735</v>
      </c>
      <c r="AZ152" s="4">
        <f t="shared" si="13"/>
        <v>105.72946656342586</v>
      </c>
    </row>
    <row r="153" spans="1:52" ht="14.25" customHeight="1" x14ac:dyDescent="0.3">
      <c r="A153" s="2">
        <v>45862</v>
      </c>
      <c r="B153" s="4">
        <f>$B$4*'NIFTY MEMBS'!C142</f>
        <v>22974.82088024565</v>
      </c>
      <c r="C153" s="4">
        <f>$C$4*'NIFTY MEMBS'!D142</f>
        <v>22596.423523076581</v>
      </c>
      <c r="D153" s="4">
        <f>$D$4*'NIFTY MEMBS'!E142</f>
        <v>24266.466127718242</v>
      </c>
      <c r="E153" s="4">
        <f>$E$4*'NIFTY MEMBS'!F142</f>
        <v>15309.608627460517</v>
      </c>
      <c r="F153" s="4">
        <f>$F$4*'NIFTY MEMBS'!G142</f>
        <v>23112.219062828652</v>
      </c>
      <c r="G153" s="4">
        <f>$G$4*'NIFTY MEMBS'!H142</f>
        <v>20567.322239031768</v>
      </c>
      <c r="H153" s="4">
        <f>$H$4*'NIFTY MEMBS'!I142</f>
        <v>16494.023904382469</v>
      </c>
      <c r="I153" s="4">
        <f>$I$4*'NIFTY MEMBS'!J142</f>
        <v>20996.511778131866</v>
      </c>
      <c r="J153" s="4">
        <f>$J$4*'NIFTY MEMBS'!K142</f>
        <v>27654.175017663259</v>
      </c>
      <c r="K153" s="4">
        <f>$K$4*'NIFTY MEMBS'!L142</f>
        <v>17908.78511205277</v>
      </c>
      <c r="L153" s="4">
        <f>$L$4*'NIFTY MEMBS'!M142</f>
        <v>18963.87184730743</v>
      </c>
      <c r="M153" s="4">
        <f>$M$4*'NIFTY MEMBS'!N142</f>
        <v>22406.609387685912</v>
      </c>
      <c r="N153" s="4">
        <f>$N$4*'NIFTY MEMBS'!O142</f>
        <v>21160.934458144064</v>
      </c>
      <c r="O153" s="4">
        <f>$O$4*'NIFTY MEMBS'!P142</f>
        <v>23955.490941623793</v>
      </c>
      <c r="P153" s="4">
        <f>$P$4*'NIFTY MEMBS'!Q142</f>
        <v>15766.102670048904</v>
      </c>
      <c r="Q153" s="4">
        <f>$Q$4*'NIFTY MEMBS'!R142</f>
        <v>17905.235588243075</v>
      </c>
      <c r="R153" s="4">
        <f>$R$4*'NIFTY MEMBS'!S142</f>
        <v>21497.335546431379</v>
      </c>
      <c r="S153" s="4">
        <f>$S$4*'NIFTY MEMBS'!T142</f>
        <v>20434.782608695652</v>
      </c>
      <c r="T153" s="4">
        <f>$T$4*'NIFTY MEMBS'!U142</f>
        <v>25784.064958132451</v>
      </c>
      <c r="U153" s="4">
        <f>$U$4*'NIFTY MEMBS'!V142</f>
        <v>21417.090523533661</v>
      </c>
      <c r="V153" s="4">
        <f>$V$4*'NIFTY MEMBS'!W142</f>
        <v>20314.701034017682</v>
      </c>
      <c r="W153" s="4">
        <f>$W$4*'NIFTY MEMBS'!X142</f>
        <v>22650.99457504521</v>
      </c>
      <c r="X153" s="4">
        <f>$X$4*'NIFTY MEMBS'!Y142</f>
        <v>23165.668335111179</v>
      </c>
      <c r="Y153" s="4">
        <f>$Y$4*'NIFTY MEMBS'!Z142</f>
        <v>20665.11922346487</v>
      </c>
      <c r="Z153" s="4">
        <f>$Z$4*'NIFTY MEMBS'!AA142</f>
        <v>27101.054780537601</v>
      </c>
      <c r="AA153" s="4">
        <f>$AA$4*'NIFTY MEMBS'!AB142</f>
        <v>22835.054392843336</v>
      </c>
      <c r="AB153" s="4">
        <f>$AB$4*'NIFTY MEMBS'!AC142</f>
        <v>17439.227439227441</v>
      </c>
      <c r="AC153" s="4">
        <f>$AC$4*'NIFTY MEMBS'!AD142</f>
        <v>19288.015463917531</v>
      </c>
      <c r="AD153" s="4">
        <f>$AD$4*'NIFTY MEMBS'!AE142</f>
        <v>18698.698698698699</v>
      </c>
      <c r="AE153" s="4">
        <f>$AE$4*'NIFTY MEMBS'!AF142</f>
        <v>18965.625732934426</v>
      </c>
      <c r="AF153" s="4">
        <f>$AF$4*'NIFTY MEMBS'!AG142</f>
        <v>20411.776191612607</v>
      </c>
      <c r="AG153" s="4">
        <f>$AG$4*'NIFTY MEMBS'!AH142</f>
        <v>19956.00414078675</v>
      </c>
      <c r="AH153" s="4">
        <f>$AH$4*'NIFTY MEMBS'!AI142</f>
        <v>21409.34152053254</v>
      </c>
      <c r="AI153" s="4">
        <f>$AI$4*'NIFTY MEMBS'!AJ142</f>
        <v>23911.07210764955</v>
      </c>
      <c r="AJ153" s="4">
        <f>$AJ$4*'NIFTY MEMBS'!AK142</f>
        <v>20788.306782722946</v>
      </c>
      <c r="AK153" s="4">
        <f>$AK$4*'NIFTY MEMBS'!AL142</f>
        <v>22405.66713756321</v>
      </c>
      <c r="AL153" s="4">
        <f>$AL$4*'NIFTY MEMBS'!AM142</f>
        <v>22389.617833091106</v>
      </c>
      <c r="AM153" s="4">
        <f>$AM$4*'NIFTY MEMBS'!AN142</f>
        <v>14583.937578257088</v>
      </c>
      <c r="AN153" s="4">
        <f>$AN$4*'NIFTY MEMBS'!AO142</f>
        <v>25615.538417594969</v>
      </c>
      <c r="AO153" s="4">
        <f>$AO$4*'NIFTY MEMBS'!AP142</f>
        <v>24539.857420609198</v>
      </c>
      <c r="AP153" s="4">
        <f>$AP$4*'NIFTY MEMBS'!AQ142</f>
        <v>23462.349270596169</v>
      </c>
      <c r="AQ153" s="4">
        <f>$AQ$4*'NIFTY MEMBS'!AR142</f>
        <v>17590.75035948</v>
      </c>
      <c r="AR153" s="4">
        <f>$AR$4*'NIFTY MEMBS'!AS142</f>
        <v>19461.120920803089</v>
      </c>
      <c r="AS153" s="4">
        <f>$AS$4*'NIFTY MEMBS'!AT142</f>
        <v>19983.309926522968</v>
      </c>
      <c r="AT153" s="4">
        <f>$AT$4*'NIFTY MEMBS'!AU142</f>
        <v>21706.953557295321</v>
      </c>
      <c r="AU153" s="4">
        <f>$AU$4*'NIFTY MEMBS'!AV142</f>
        <v>23314.136694556124</v>
      </c>
      <c r="AV153" s="4">
        <f>$AV$4*'NIFTY MEMBS'!AW142</f>
        <v>18487.947406866326</v>
      </c>
      <c r="AW153" s="4">
        <f>$AW$4*'NIFTY MEMBS'!AX142</f>
        <v>20561.855485320299</v>
      </c>
      <c r="AX153" s="4">
        <f>$AX$4*'NIFTY MEMBS'!AY142</f>
        <v>17493.294821539097</v>
      </c>
      <c r="AY153" s="4">
        <f t="shared" si="12"/>
        <v>1030368.8720516353</v>
      </c>
      <c r="AZ153" s="4">
        <f t="shared" si="13"/>
        <v>105.13968082159543</v>
      </c>
    </row>
    <row r="154" spans="1:52" ht="14.25" customHeight="1" x14ac:dyDescent="0.3">
      <c r="A154" s="2">
        <v>45863</v>
      </c>
      <c r="B154" s="4">
        <f>$B$4*'NIFTY MEMBS'!C143</f>
        <v>22791.402251791198</v>
      </c>
      <c r="C154" s="4">
        <f>$C$4*'NIFTY MEMBS'!D143</f>
        <v>22488.725347214433</v>
      </c>
      <c r="D154" s="4">
        <f>$D$4*'NIFTY MEMBS'!E143</f>
        <v>24289.02675941593</v>
      </c>
      <c r="E154" s="4">
        <f>$E$4*'NIFTY MEMBS'!F143</f>
        <v>15250.276599107588</v>
      </c>
      <c r="F154" s="4">
        <f>$F$4*'NIFTY MEMBS'!G143</f>
        <v>23014.061465352701</v>
      </c>
      <c r="G154" s="4">
        <f>$G$4*'NIFTY MEMBS'!H143</f>
        <v>20336.611195158846</v>
      </c>
      <c r="H154" s="4">
        <f>$H$4*'NIFTY MEMBS'!I143</f>
        <v>16103.054448871182</v>
      </c>
      <c r="I154" s="4">
        <f>$I$4*'NIFTY MEMBS'!J143</f>
        <v>20803.582963696655</v>
      </c>
      <c r="J154" s="4">
        <f>$J$4*'NIFTY MEMBS'!K143</f>
        <v>26350.69859991637</v>
      </c>
      <c r="K154" s="4">
        <f>$K$4*'NIFTY MEMBS'!L143</f>
        <v>17884.758201913413</v>
      </c>
      <c r="L154" s="4">
        <f>$L$4*'NIFTY MEMBS'!M143</f>
        <v>18775.187457396045</v>
      </c>
      <c r="M154" s="4">
        <f>$M$4*'NIFTY MEMBS'!N143</f>
        <v>22133.597423338062</v>
      </c>
      <c r="N154" s="4">
        <f>$N$4*'NIFTY MEMBS'!O143</f>
        <v>21066.839714471123</v>
      </c>
      <c r="O154" s="4">
        <f>$O$4*'NIFTY MEMBS'!P143</f>
        <v>23759.785282934463</v>
      </c>
      <c r="P154" s="4">
        <f>$P$4*'NIFTY MEMBS'!Q143</f>
        <v>15587.227699469127</v>
      </c>
      <c r="Q154" s="4">
        <f>$Q$4*'NIFTY MEMBS'!R143</f>
        <v>17979.31162200058</v>
      </c>
      <c r="R154" s="4">
        <f>$R$4*'NIFTY MEMBS'!S143</f>
        <v>21402.987682362189</v>
      </c>
      <c r="S154" s="4">
        <f>$S$4*'NIFTY MEMBS'!T143</f>
        <v>20266.840828512781</v>
      </c>
      <c r="T154" s="4">
        <f>$T$4*'NIFTY MEMBS'!U143</f>
        <v>25194.113169246382</v>
      </c>
      <c r="U154" s="4">
        <f>$U$4*'NIFTY MEMBS'!V143</f>
        <v>21284.324723020425</v>
      </c>
      <c r="V154" s="4">
        <f>$V$4*'NIFTY MEMBS'!W143</f>
        <v>19973.025625655628</v>
      </c>
      <c r="W154" s="4">
        <f>$W$4*'NIFTY MEMBS'!X143</f>
        <v>22462.929475587705</v>
      </c>
      <c r="X154" s="4">
        <f>$X$4*'NIFTY MEMBS'!Y143</f>
        <v>22914.581111019936</v>
      </c>
      <c r="Y154" s="4">
        <f>$Y$4*'NIFTY MEMBS'!Z143</f>
        <v>20281.916016037139</v>
      </c>
      <c r="Z154" s="4">
        <f>$Z$4*'NIFTY MEMBS'!AA143</f>
        <v>26893.501190881256</v>
      </c>
      <c r="AA154" s="4">
        <f>$AA$4*'NIFTY MEMBS'!AB143</f>
        <v>22682.643989176653</v>
      </c>
      <c r="AB154" s="4">
        <f>$AB$4*'NIFTY MEMBS'!AC143</f>
        <v>17262.737262737261</v>
      </c>
      <c r="AC154" s="4">
        <f>$AC$4*'NIFTY MEMBS'!AD143</f>
        <v>18820.876288659798</v>
      </c>
      <c r="AD154" s="4">
        <f>$AD$4*'NIFTY MEMBS'!AE143</f>
        <v>18349.015682349014</v>
      </c>
      <c r="AE154" s="4">
        <f>$AE$4*'NIFTY MEMBS'!AF143</f>
        <v>18478.242215878865</v>
      </c>
      <c r="AF154" s="4">
        <f>$AF$4*'NIFTY MEMBS'!AG143</f>
        <v>20273.794285466338</v>
      </c>
      <c r="AG154" s="4">
        <f>$AG$4*'NIFTY MEMBS'!AH143</f>
        <v>19710.144927536232</v>
      </c>
      <c r="AH154" s="4">
        <f>$AH$4*'NIFTY MEMBS'!AI143</f>
        <v>20971.400121701612</v>
      </c>
      <c r="AI154" s="4">
        <f>$AI$4*'NIFTY MEMBS'!AJ143</f>
        <v>23611.232996928476</v>
      </c>
      <c r="AJ154" s="4">
        <f>$AJ$4*'NIFTY MEMBS'!AK143</f>
        <v>20446.707176876338</v>
      </c>
      <c r="AK154" s="4">
        <f>$AK$4*'NIFTY MEMBS'!AL143</f>
        <v>22182.09364699138</v>
      </c>
      <c r="AL154" s="4">
        <f>$AL$4*'NIFTY MEMBS'!AM143</f>
        <v>22242.23691482611</v>
      </c>
      <c r="AM154" s="4">
        <f>$AM$4*'NIFTY MEMBS'!AN143</f>
        <v>14269.848119353996</v>
      </c>
      <c r="AN154" s="4">
        <f>$AN$4*'NIFTY MEMBS'!AO143</f>
        <v>26165.38131962296</v>
      </c>
      <c r="AO154" s="4">
        <f>$AO$4*'NIFTY MEMBS'!AP143</f>
        <v>24703.499675955925</v>
      </c>
      <c r="AP154" s="4">
        <f>$AP$4*'NIFTY MEMBS'!AQ143</f>
        <v>23389.830508474577</v>
      </c>
      <c r="AQ154" s="4">
        <f>$AQ$4*'NIFTY MEMBS'!AR143</f>
        <v>17159.961264195794</v>
      </c>
      <c r="AR154" s="4">
        <f>$AR$4*'NIFTY MEMBS'!AS143</f>
        <v>20044.470603623045</v>
      </c>
      <c r="AS154" s="4">
        <f>$AS$4*'NIFTY MEMBS'!AT143</f>
        <v>20268.262400521056</v>
      </c>
      <c r="AT154" s="4">
        <f>$AT$4*'NIFTY MEMBS'!AU143</f>
        <v>21100.508796875267</v>
      </c>
      <c r="AU154" s="4">
        <f>$AU$4*'NIFTY MEMBS'!AV143</f>
        <v>22914.26708681952</v>
      </c>
      <c r="AV154" s="4">
        <f>$AV$4*'NIFTY MEMBS'!AW143</f>
        <v>18669.101533966401</v>
      </c>
      <c r="AW154" s="4">
        <f>$AW$4*'NIFTY MEMBS'!AX143</f>
        <v>20221.539785151814</v>
      </c>
      <c r="AX154" s="4">
        <f>$AX$4*'NIFTY MEMBS'!AY143</f>
        <v>16994.016917681041</v>
      </c>
      <c r="AY154" s="4">
        <f t="shared" si="12"/>
        <v>1020220.1803757407</v>
      </c>
      <c r="AZ154" s="4">
        <f t="shared" si="13"/>
        <v>104.1041000383409</v>
      </c>
    </row>
    <row r="155" spans="1:52" ht="14.25" customHeight="1" x14ac:dyDescent="0.3">
      <c r="A155" s="2">
        <v>45866</v>
      </c>
      <c r="B155" s="4">
        <f>$B$4*'NIFTY MEMBS'!C144</f>
        <v>22724.25793244626</v>
      </c>
      <c r="C155" s="4">
        <f>$C$4*'NIFTY MEMBS'!D144</f>
        <v>22532.477731158429</v>
      </c>
      <c r="D155" s="4">
        <f>$D$4*'NIFTY MEMBS'!E144</f>
        <v>23692.423387854858</v>
      </c>
      <c r="E155" s="4">
        <f>$E$4*'NIFTY MEMBS'!F144</f>
        <v>14975.501221899356</v>
      </c>
      <c r="F155" s="4">
        <f>$F$4*'NIFTY MEMBS'!G144</f>
        <v>23190.121917968292</v>
      </c>
      <c r="G155" s="4">
        <f>$G$4*'NIFTY MEMBS'!H144</f>
        <v>20099.596570852242</v>
      </c>
      <c r="H155" s="4">
        <f>$H$4*'NIFTY MEMBS'!I144</f>
        <v>16106.241699867198</v>
      </c>
      <c r="I155" s="4">
        <f>$I$4*'NIFTY MEMBS'!J144</f>
        <v>21029.240773437839</v>
      </c>
      <c r="J155" s="4">
        <f>$J$4*'NIFTY MEMBS'!K144</f>
        <v>25391.835969604774</v>
      </c>
      <c r="K155" s="4">
        <f>$K$4*'NIFTY MEMBS'!L144</f>
        <v>17906.600847494647</v>
      </c>
      <c r="L155" s="4">
        <f>$L$4*'NIFTY MEMBS'!M144</f>
        <v>18662.304021813223</v>
      </c>
      <c r="M155" s="4">
        <f>$M$4*'NIFTY MEMBS'!N144</f>
        <v>22019.396340212166</v>
      </c>
      <c r="N155" s="4">
        <f>$N$4*'NIFTY MEMBS'!O144</f>
        <v>20829.331602855287</v>
      </c>
      <c r="O155" s="4">
        <f>$O$4*'NIFTY MEMBS'!P144</f>
        <v>21992.842764482215</v>
      </c>
      <c r="P155" s="4">
        <f>$P$4*'NIFTY MEMBS'!Q144</f>
        <v>15336.175109181724</v>
      </c>
      <c r="Q155" s="4">
        <f>$Q$4*'NIFTY MEMBS'!R144</f>
        <v>18013.174951718298</v>
      </c>
      <c r="R155" s="4">
        <f>$R$4*'NIFTY MEMBS'!S144</f>
        <v>21385.515855682712</v>
      </c>
      <c r="S155" s="4">
        <f>$S$4*'NIFTY MEMBS'!T144</f>
        <v>20033.588356036573</v>
      </c>
      <c r="T155" s="4">
        <f>$T$4*'NIFTY MEMBS'!U144</f>
        <v>25092.616087287486</v>
      </c>
      <c r="U155" s="4">
        <f>$U$4*'NIFTY MEMBS'!V144</f>
        <v>20855.294497287829</v>
      </c>
      <c r="V155" s="4">
        <f>$V$4*'NIFTY MEMBS'!W144</f>
        <v>19958.039862130976</v>
      </c>
      <c r="W155" s="4">
        <f>$W$4*'NIFTY MEMBS'!X144</f>
        <v>22227.848101265827</v>
      </c>
      <c r="X155" s="4">
        <f>$X$4*'NIFTY MEMBS'!Y144</f>
        <v>22581.439238532861</v>
      </c>
      <c r="Y155" s="4">
        <f>$Y$4*'NIFTY MEMBS'!Z144</f>
        <v>20259.126397974258</v>
      </c>
      <c r="Z155" s="4">
        <f>$Z$4*'NIFTY MEMBS'!AA144</f>
        <v>26488.60156515822</v>
      </c>
      <c r="AA155" s="4">
        <f>$AA$4*'NIFTY MEMBS'!AB144</f>
        <v>22724.612071345739</v>
      </c>
      <c r="AB155" s="4">
        <f>$AB$4*'NIFTY MEMBS'!AC144</f>
        <v>16653.346653346653</v>
      </c>
      <c r="AC155" s="4">
        <f>$AC$4*'NIFTY MEMBS'!AD144</f>
        <v>18807.98969072165</v>
      </c>
      <c r="AD155" s="4">
        <f>$AD$4*'NIFTY MEMBS'!AE144</f>
        <v>18228.895562228896</v>
      </c>
      <c r="AE155" s="4">
        <f>$AE$4*'NIFTY MEMBS'!AF144</f>
        <v>18510.276813244018</v>
      </c>
      <c r="AF155" s="4">
        <f>$AF$4*'NIFTY MEMBS'!AG144</f>
        <v>20476.861996398584</v>
      </c>
      <c r="AG155" s="4">
        <f>$AG$4*'NIFTY MEMBS'!AH144</f>
        <v>19583.333333333336</v>
      </c>
      <c r="AH155" s="4">
        <f>$AH$4*'NIFTY MEMBS'!AI144</f>
        <v>20553.742324500752</v>
      </c>
      <c r="AI155" s="4">
        <f>$AI$4*'NIFTY MEMBS'!AJ144</f>
        <v>23355.272780459265</v>
      </c>
      <c r="AJ155" s="4">
        <f>$AJ$4*'NIFTY MEMBS'!AK144</f>
        <v>20190.507472491383</v>
      </c>
      <c r="AK155" s="4">
        <f>$AK$4*'NIFTY MEMBS'!AL144</f>
        <v>22334.418442765593</v>
      </c>
      <c r="AL155" s="4">
        <f>$AL$4*'NIFTY MEMBS'!AM144</f>
        <v>22049.82293820236</v>
      </c>
      <c r="AM155" s="4">
        <f>$AM$4*'NIFTY MEMBS'!AN144</f>
        <v>14131.196015874251</v>
      </c>
      <c r="AN155" s="4">
        <f>$AN$4*'NIFTY MEMBS'!AO144</f>
        <v>26428.163381890885</v>
      </c>
      <c r="AO155" s="4">
        <f>$AO$4*'NIFTY MEMBS'!AP144</f>
        <v>24666.234607906674</v>
      </c>
      <c r="AP155" s="4">
        <f>$AP$4*'NIFTY MEMBS'!AQ144</f>
        <v>23251.538915591533</v>
      </c>
      <c r="AQ155" s="4">
        <f>$AQ$4*'NIFTY MEMBS'!AR144</f>
        <v>17027.320480089209</v>
      </c>
      <c r="AR155" s="4">
        <f>$AR$4*'NIFTY MEMBS'!AS144</f>
        <v>20561.114381008436</v>
      </c>
      <c r="AS155" s="4">
        <f>$AS$4*'NIFTY MEMBS'!AT144</f>
        <v>19964.313094923094</v>
      </c>
      <c r="AT155" s="4">
        <f>$AT$4*'NIFTY MEMBS'!AU144</f>
        <v>21703.527315711028</v>
      </c>
      <c r="AU155" s="4">
        <f>$AU$4*'NIFTY MEMBS'!AV144</f>
        <v>23033.793328262527</v>
      </c>
      <c r="AV155" s="4">
        <f>$AV$4*'NIFTY MEMBS'!AW144</f>
        <v>18807.888970051135</v>
      </c>
      <c r="AW155" s="4">
        <f>$AW$4*'NIFTY MEMBS'!AX144</f>
        <v>20510.234564508228</v>
      </c>
      <c r="AX155" s="4">
        <f>$AX$4*'NIFTY MEMBS'!AY144</f>
        <v>16547.34887559315</v>
      </c>
      <c r="AY155" s="4">
        <f t="shared" si="12"/>
        <v>1013485.3468146519</v>
      </c>
      <c r="AZ155" s="4">
        <f t="shared" si="13"/>
        <v>103.41687212394406</v>
      </c>
    </row>
    <row r="156" spans="1:52" ht="14.25" customHeight="1" x14ac:dyDescent="0.3">
      <c r="A156" s="2">
        <v>45867</v>
      </c>
      <c r="B156" s="4">
        <f>$B$4*'NIFTY MEMBS'!C145</f>
        <v>23207.369498464686</v>
      </c>
      <c r="C156" s="4">
        <f>$C$4*'NIFTY MEMBS'!D145</f>
        <v>22679.440866970315</v>
      </c>
      <c r="D156" s="4">
        <f>$D$4*'NIFTY MEMBS'!E145</f>
        <v>24043.366547596666</v>
      </c>
      <c r="E156" s="4">
        <f>$E$4*'NIFTY MEMBS'!F145</f>
        <v>14862.186774307287</v>
      </c>
      <c r="F156" s="4">
        <f>$F$4*'NIFTY MEMBS'!G145</f>
        <v>23155.844661706851</v>
      </c>
      <c r="G156" s="4">
        <f>$G$4*'NIFTY MEMBS'!H145</f>
        <v>20151.28593040847</v>
      </c>
      <c r="H156" s="4">
        <f>$H$4*'NIFTY MEMBS'!I145</f>
        <v>16081.806108897743</v>
      </c>
      <c r="I156" s="4">
        <f>$I$4*'NIFTY MEMBS'!J145</f>
        <v>21132.595495456699</v>
      </c>
      <c r="J156" s="4">
        <f>$J$4*'NIFTY MEMBS'!K145</f>
        <v>25566.305711360717</v>
      </c>
      <c r="K156" s="4">
        <f>$K$4*'NIFTY MEMBS'!L145</f>
        <v>17843.257175309071</v>
      </c>
      <c r="L156" s="4">
        <f>$L$4*'NIFTY MEMBS'!M145</f>
        <v>19062.576687116562</v>
      </c>
      <c r="M156" s="4">
        <f>$M$4*'NIFTY MEMBS'!N145</f>
        <v>22249.582898387805</v>
      </c>
      <c r="N156" s="4">
        <f>$N$4*'NIFTY MEMBS'!O145</f>
        <v>20761.842959117457</v>
      </c>
      <c r="O156" s="4">
        <f>$O$4*'NIFTY MEMBS'!P145</f>
        <v>22061.060165511069</v>
      </c>
      <c r="P156" s="4">
        <f>$P$4*'NIFTY MEMBS'!Q145</f>
        <v>15402.076414132169</v>
      </c>
      <c r="Q156" s="4">
        <f>$Q$4*'NIFTY MEMBS'!R145</f>
        <v>18101.007963173626</v>
      </c>
      <c r="R156" s="4">
        <f>$R$4*'NIFTY MEMBS'!S145</f>
        <v>21352.319384991701</v>
      </c>
      <c r="S156" s="4">
        <f>$S$4*'NIFTY MEMBS'!T145</f>
        <v>19858.182496734469</v>
      </c>
      <c r="T156" s="4">
        <f>$T$4*'NIFTY MEMBS'!U145</f>
        <v>25026.642984014208</v>
      </c>
      <c r="U156" s="4">
        <f>$U$4*'NIFTY MEMBS'!V145</f>
        <v>20770.471902515481</v>
      </c>
      <c r="V156" s="4">
        <f>$V$4*'NIFTY MEMBS'!W145</f>
        <v>20056.945901393679</v>
      </c>
      <c r="W156" s="4">
        <f>$W$4*'NIFTY MEMBS'!X145</f>
        <v>22173.598553345393</v>
      </c>
      <c r="X156" s="4">
        <f>$X$4*'NIFTY MEMBS'!Y145</f>
        <v>22908.016739148272</v>
      </c>
      <c r="Y156" s="4">
        <f>$Y$4*'NIFTY MEMBS'!Z145</f>
        <v>20378.982907786452</v>
      </c>
      <c r="Z156" s="4">
        <f>$Z$4*'NIFTY MEMBS'!AA145</f>
        <v>26420.551207893845</v>
      </c>
      <c r="AA156" s="4">
        <f>$AA$4*'NIFTY MEMBS'!AB145</f>
        <v>22859.351703572811</v>
      </c>
      <c r="AB156" s="4">
        <f>$AB$4*'NIFTY MEMBS'!AC145</f>
        <v>16769.896769896772</v>
      </c>
      <c r="AC156" s="4">
        <f>$AC$4*'NIFTY MEMBS'!AD145</f>
        <v>18885.30927835052</v>
      </c>
      <c r="AD156" s="4">
        <f>$AD$4*'NIFTY MEMBS'!AE145</f>
        <v>18481.147814481148</v>
      </c>
      <c r="AE156" s="4">
        <f>$AE$4*'NIFTY MEMBS'!AF145</f>
        <v>18597.227863235152</v>
      </c>
      <c r="AF156" s="4">
        <f>$AF$4*'NIFTY MEMBS'!AG145</f>
        <v>20840.474692469572</v>
      </c>
      <c r="AG156" s="4">
        <f>$AG$4*'NIFTY MEMBS'!AH145</f>
        <v>19857.660455486541</v>
      </c>
      <c r="AH156" s="4">
        <f>$AH$4*'NIFTY MEMBS'!AI145</f>
        <v>20502.111338533312</v>
      </c>
      <c r="AI156" s="4">
        <f>$AI$4*'NIFTY MEMBS'!AJ145</f>
        <v>23649.261371946759</v>
      </c>
      <c r="AJ156" s="4">
        <f>$AJ$4*'NIFTY MEMBS'!AK145</f>
        <v>21093.775661028089</v>
      </c>
      <c r="AK156" s="4">
        <f>$AK$4*'NIFTY MEMBS'!AL145</f>
        <v>22463.812624122187</v>
      </c>
      <c r="AL156" s="4">
        <f>$AL$4*'NIFTY MEMBS'!AM145</f>
        <v>22395.758704685482</v>
      </c>
      <c r="AM156" s="4">
        <f>$AM$4*'NIFTY MEMBS'!AN145</f>
        <v>14152.418276610946</v>
      </c>
      <c r="AN156" s="4">
        <f>$AN$4*'NIFTY MEMBS'!AO145</f>
        <v>26183.947443587545</v>
      </c>
      <c r="AO156" s="4">
        <f>$AO$4*'NIFTY MEMBS'!AP145</f>
        <v>24509.073233959814</v>
      </c>
      <c r="AP156" s="4">
        <f>$AP$4*'NIFTY MEMBS'!AQ145</f>
        <v>23364.533265874019</v>
      </c>
      <c r="AQ156" s="4">
        <f>$AQ$4*'NIFTY MEMBS'!AR145</f>
        <v>17064.882472048597</v>
      </c>
      <c r="AR156" s="4">
        <f>$AR$4*'NIFTY MEMBS'!AS145</f>
        <v>20587.273559610228</v>
      </c>
      <c r="AS156" s="4">
        <f>$AS$4*'NIFTY MEMBS'!AT145</f>
        <v>20234.339486949855</v>
      </c>
      <c r="AT156" s="4">
        <f>$AT$4*'NIFTY MEMBS'!AU145</f>
        <v>21871.41315334144</v>
      </c>
      <c r="AU156" s="4">
        <f>$AU$4*'NIFTY MEMBS'!AV145</f>
        <v>23070.737802890362</v>
      </c>
      <c r="AV156" s="4">
        <f>$AV$4*'NIFTY MEMBS'!AW145</f>
        <v>18989.043097151207</v>
      </c>
      <c r="AW156" s="4">
        <f>$AW$4*'NIFTY MEMBS'!AX145</f>
        <v>20673.222842257455</v>
      </c>
      <c r="AX156" s="4">
        <f>$AX$4*'NIFTY MEMBS'!AY145</f>
        <v>16674.231483391792</v>
      </c>
      <c r="AY156" s="4">
        <f t="shared" si="12"/>
        <v>1019078.2223312224</v>
      </c>
      <c r="AZ156" s="4">
        <f t="shared" si="13"/>
        <v>103.98757370726759</v>
      </c>
    </row>
    <row r="157" spans="1:52" ht="14.25" customHeight="1" x14ac:dyDescent="0.3">
      <c r="A157" s="2">
        <v>45868</v>
      </c>
      <c r="B157" s="4">
        <f>$B$4*'NIFTY MEMBS'!C146</f>
        <v>23092.732855680653</v>
      </c>
      <c r="C157" s="4">
        <f>$C$4*'NIFTY MEMBS'!D146</f>
        <v>22726.558818910005</v>
      </c>
      <c r="D157" s="4">
        <f>$D$4*'NIFTY MEMBS'!E146</f>
        <v>24222.598232750515</v>
      </c>
      <c r="E157" s="4">
        <f>$E$4*'NIFTY MEMBS'!F146</f>
        <v>14850.514899877202</v>
      </c>
      <c r="F157" s="4">
        <f>$F$4*'NIFTY MEMBS'!G146</f>
        <v>23096.638491800724</v>
      </c>
      <c r="G157" s="4">
        <f>$G$4*'NIFTY MEMBS'!H146</f>
        <v>20213.061018658595</v>
      </c>
      <c r="H157" s="4">
        <f>$H$4*'NIFTY MEMBS'!I146</f>
        <v>16138.114209827356</v>
      </c>
      <c r="I157" s="4">
        <f>$I$4*'NIFTY MEMBS'!J146</f>
        <v>20993.066620731239</v>
      </c>
      <c r="J157" s="4">
        <f>$J$4*'NIFTY MEMBS'!K146</f>
        <v>25517.281155825993</v>
      </c>
      <c r="K157" s="4">
        <f>$K$4*'NIFTY MEMBS'!L146</f>
        <v>17806.124677820979</v>
      </c>
      <c r="L157" s="4">
        <f>$L$4*'NIFTY MEMBS'!M146</f>
        <v>19986.912065439672</v>
      </c>
      <c r="M157" s="4">
        <f>$M$4*'NIFTY MEMBS'!N146</f>
        <v>22515.457295040283</v>
      </c>
      <c r="N157" s="4">
        <f>$N$4*'NIFTY MEMBS'!O146</f>
        <v>20823.491239454899</v>
      </c>
      <c r="O157" s="4">
        <f>$O$4*'NIFTY MEMBS'!P146</f>
        <v>21915.678819056138</v>
      </c>
      <c r="P157" s="4">
        <f>$P$4*'NIFTY MEMBS'!Q146</f>
        <v>15444.964564972934</v>
      </c>
      <c r="Q157" s="4">
        <f>$Q$4*'NIFTY MEMBS'!R146</f>
        <v>18347.575332680757</v>
      </c>
      <c r="R157" s="4">
        <f>$R$4*'NIFTY MEMBS'!S146</f>
        <v>21434.436970385254</v>
      </c>
      <c r="S157" s="4">
        <f>$S$4*'NIFTY MEMBS'!T146</f>
        <v>20027.990296697146</v>
      </c>
      <c r="T157" s="4">
        <f>$T$4*'NIFTY MEMBS'!U146</f>
        <v>24864.247652879978</v>
      </c>
      <c r="U157" s="4">
        <f>$U$4*'NIFTY MEMBS'!V146</f>
        <v>20753.87617745133</v>
      </c>
      <c r="V157" s="4">
        <f>$V$4*'NIFTY MEMBS'!W146</f>
        <v>20308.706728607824</v>
      </c>
      <c r="W157" s="4">
        <f>$W$4*'NIFTY MEMBS'!X146</f>
        <v>21949.367088607596</v>
      </c>
      <c r="X157" s="4">
        <f>$X$4*'NIFTY MEMBS'!Y146</f>
        <v>22876.835972757854</v>
      </c>
      <c r="Y157" s="4">
        <f>$Y$4*'NIFTY MEMBS'!Z146</f>
        <v>20410.213125131886</v>
      </c>
      <c r="Z157" s="4">
        <f>$Z$4*'NIFTY MEMBS'!AA146</f>
        <v>26301.463082681188</v>
      </c>
      <c r="AA157" s="4">
        <f>$AA$4*'NIFTY MEMBS'!AB146</f>
        <v>22925.617096471371</v>
      </c>
      <c r="AB157" s="4">
        <f>$AB$4*'NIFTY MEMBS'!AC146</f>
        <v>16663.33666333666</v>
      </c>
      <c r="AC157" s="4">
        <f>$AC$4*'NIFTY MEMBS'!AD146</f>
        <v>18617.912371134022</v>
      </c>
      <c r="AD157" s="4">
        <f>$AD$4*'NIFTY MEMBS'!AE146</f>
        <v>17843.176509843175</v>
      </c>
      <c r="AE157" s="4">
        <f>$AE$4*'NIFTY MEMBS'!AF146</f>
        <v>18405.020279044227</v>
      </c>
      <c r="AF157" s="4">
        <f>$AF$4*'NIFTY MEMBS'!AG146</f>
        <v>20964.571626928166</v>
      </c>
      <c r="AG157" s="4">
        <f>$AG$4*'NIFTY MEMBS'!AH146</f>
        <v>19663.561076604554</v>
      </c>
      <c r="AH157" s="4">
        <f>$AH$4*'NIFTY MEMBS'!AI146</f>
        <v>20574.025926130813</v>
      </c>
      <c r="AI157" s="4">
        <f>$AI$4*'NIFTY MEMBS'!AJ146</f>
        <v>23600.99458826971</v>
      </c>
      <c r="AJ157" s="4">
        <f>$AJ$4*'NIFTY MEMBS'!AK146</f>
        <v>21041.221875513223</v>
      </c>
      <c r="AK157" s="4">
        <f>$AK$4*'NIFTY MEMBS'!AL146</f>
        <v>22591.568904448948</v>
      </c>
      <c r="AL157" s="4">
        <f>$AL$4*'NIFTY MEMBS'!AM146</f>
        <v>22438.744805846109</v>
      </c>
      <c r="AM157" s="4">
        <f>$AM$4*'NIFTY MEMBS'!AN146</f>
        <v>14271.262936736441</v>
      </c>
      <c r="AN157" s="4">
        <f>$AN$4*'NIFTY MEMBS'!AO146</f>
        <v>26265.352756355322</v>
      </c>
      <c r="AO157" s="4">
        <f>$AO$4*'NIFTY MEMBS'!AP146</f>
        <v>24544.718081659103</v>
      </c>
      <c r="AP157" s="4">
        <f>$AP$4*'NIFTY MEMBS'!AQ146</f>
        <v>23232.987604351121</v>
      </c>
      <c r="AQ157" s="4">
        <f>$AQ$4*'NIFTY MEMBS'!AR146</f>
        <v>17175.220823429292</v>
      </c>
      <c r="AR157" s="4">
        <f>$AR$4*'NIFTY MEMBS'!AS146</f>
        <v>20396.311555817148</v>
      </c>
      <c r="AS157" s="4">
        <f>$AS$4*'NIFTY MEMBS'!AT146</f>
        <v>20218.056488435679</v>
      </c>
      <c r="AT157" s="4">
        <f>$AT$4*'NIFTY MEMBS'!AU146</f>
        <v>21681.256745413113</v>
      </c>
      <c r="AU157" s="4">
        <f>$AU$4*'NIFTY MEMBS'!AV146</f>
        <v>23320.656307725741</v>
      </c>
      <c r="AV157" s="4">
        <f>$AV$4*'NIFTY MEMBS'!AW146</f>
        <v>18876.552227903579</v>
      </c>
      <c r="AW157" s="4">
        <f>$AW$4*'NIFTY MEMBS'!AX146</f>
        <v>20320.001911885956</v>
      </c>
      <c r="AX157" s="4">
        <f>$AX$4*'NIFTY MEMBS'!AY146</f>
        <v>16544.254177841965</v>
      </c>
      <c r="AY157" s="4">
        <f t="shared" si="12"/>
        <v>1018794.2907348534</v>
      </c>
      <c r="AZ157" s="4">
        <f t="shared" si="13"/>
        <v>103.95860109539321</v>
      </c>
    </row>
    <row r="158" spans="1:52" ht="14.25" customHeight="1" x14ac:dyDescent="0.3">
      <c r="A158" s="2">
        <v>45869</v>
      </c>
      <c r="B158" s="4">
        <f>$B$4*'NIFTY MEMBS'!C147</f>
        <v>22766.837256908904</v>
      </c>
      <c r="C158" s="4">
        <f>$C$4*'NIFTY MEMBS'!D147</f>
        <v>22641.297763019142</v>
      </c>
      <c r="D158" s="4">
        <f>$D$4*'NIFTY MEMBS'!E147</f>
        <v>23993.231810490692</v>
      </c>
      <c r="E158" s="4">
        <f>$E$4*'NIFTY MEMBS'!F147</f>
        <v>14768.811778866613</v>
      </c>
      <c r="F158" s="4">
        <f>$F$4*'NIFTY MEMBS'!G147</f>
        <v>23081.057920772797</v>
      </c>
      <c r="G158" s="4">
        <f>$G$4*'NIFTY MEMBS'!H147</f>
        <v>20084.467977811393</v>
      </c>
      <c r="H158" s="4">
        <f>$H$4*'NIFTY MEMBS'!I147</f>
        <v>16031.872509960158</v>
      </c>
      <c r="I158" s="4">
        <f>$I$4*'NIFTY MEMBS'!J147</f>
        <v>21714.827096162957</v>
      </c>
      <c r="J158" s="4">
        <f>$J$4*'NIFTY MEMBS'!K147</f>
        <v>25412.022551295548</v>
      </c>
      <c r="K158" s="4">
        <f>$K$4*'NIFTY MEMBS'!L147</f>
        <v>17996.155694377703</v>
      </c>
      <c r="L158" s="4">
        <f>$L$4*'NIFTY MEMBS'!M147</f>
        <v>19830.947511929106</v>
      </c>
      <c r="M158" s="4">
        <f>$M$4*'NIFTY MEMBS'!N147</f>
        <v>22497.613375801862</v>
      </c>
      <c r="N158" s="4">
        <f>$N$4*'NIFTY MEMBS'!O147</f>
        <v>20785.853341985723</v>
      </c>
      <c r="O158" s="4">
        <f>$O$4*'NIFTY MEMBS'!P147</f>
        <v>22127.040930440613</v>
      </c>
      <c r="P158" s="4">
        <f>$P$4*'NIFTY MEMBS'!Q147</f>
        <v>15355.004053453282</v>
      </c>
      <c r="Q158" s="4">
        <f>$Q$4*'NIFTY MEMBS'!R147</f>
        <v>18060.79525913384</v>
      </c>
      <c r="R158" s="4">
        <f>$R$4*'NIFTY MEMBS'!S147</f>
        <v>21401.240499694242</v>
      </c>
      <c r="S158" s="4">
        <f>$S$4*'NIFTY MEMBS'!T147</f>
        <v>19936.555327486476</v>
      </c>
      <c r="T158" s="4">
        <f>$T$4*'NIFTY MEMBS'!U147</f>
        <v>24714.539456990609</v>
      </c>
      <c r="U158" s="4">
        <f>$U$4*'NIFTY MEMBS'!V147</f>
        <v>20574.396484164914</v>
      </c>
      <c r="V158" s="4">
        <f>$V$4*'NIFTY MEMBS'!W147</f>
        <v>20035.965832459166</v>
      </c>
      <c r="W158" s="4">
        <f>$W$4*'NIFTY MEMBS'!X147</f>
        <v>22264.014466546116</v>
      </c>
      <c r="X158" s="4">
        <f>$X$4*'NIFTY MEMBS'!Y147</f>
        <v>22533.847542463274</v>
      </c>
      <c r="Y158" s="4">
        <f>$Y$4*'NIFTY MEMBS'!Z147</f>
        <v>20341.844270943238</v>
      </c>
      <c r="Z158" s="4">
        <f>$Z$4*'NIFTY MEMBS'!AA147</f>
        <v>26070.091867982312</v>
      </c>
      <c r="AA158" s="4">
        <f>$AA$4*'NIFTY MEMBS'!AB147</f>
        <v>23155.337125186368</v>
      </c>
      <c r="AB158" s="4">
        <f>$AB$4*'NIFTY MEMBS'!AC147</f>
        <v>16536.796536796537</v>
      </c>
      <c r="AC158" s="4">
        <f>$AC$4*'NIFTY MEMBS'!AD147</f>
        <v>18750</v>
      </c>
      <c r="AD158" s="4">
        <f>$AD$4*'NIFTY MEMBS'!AE147</f>
        <v>17776.443109776443</v>
      </c>
      <c r="AE158" s="4">
        <f>$AE$4*'NIFTY MEMBS'!AF147</f>
        <v>18323.789692868297</v>
      </c>
      <c r="AF158" s="4">
        <f>$AF$4*'NIFTY MEMBS'!AG147</f>
        <v>20793.612913023666</v>
      </c>
      <c r="AG158" s="4">
        <f>$AG$4*'NIFTY MEMBS'!AH147</f>
        <v>19479.813664596277</v>
      </c>
      <c r="AH158" s="4">
        <f>$AH$4*'NIFTY MEMBS'!AI147</f>
        <v>20723.386992679465</v>
      </c>
      <c r="AI158" s="4">
        <f>$AI$4*'NIFTY MEMBS'!AJ147</f>
        <v>23100.775193798447</v>
      </c>
      <c r="AJ158" s="4">
        <f>$AJ$4*'NIFTY MEMBS'!AK147</f>
        <v>21629.167350960754</v>
      </c>
      <c r="AK158" s="4">
        <f>$AK$4*'NIFTY MEMBS'!AL147</f>
        <v>22491.656941629302</v>
      </c>
      <c r="AL158" s="4">
        <f>$AL$4*'NIFTY MEMBS'!AM147</f>
        <v>22387.570875892983</v>
      </c>
      <c r="AM158" s="4">
        <f>$AM$4*'NIFTY MEMBS'!AN147</f>
        <v>14199.107250231677</v>
      </c>
      <c r="AN158" s="4">
        <f>$AN$4*'NIFTY MEMBS'!AO147</f>
        <v>26288.203370465577</v>
      </c>
      <c r="AO158" s="4">
        <f>$AO$4*'NIFTY MEMBS'!AP147</f>
        <v>24481.529488010365</v>
      </c>
      <c r="AP158" s="4">
        <f>$AP$4*'NIFTY MEMBS'!AQ147</f>
        <v>23039.042077746853</v>
      </c>
      <c r="AQ158" s="4">
        <f>$AQ$4*'NIFTY MEMBS'!AR147</f>
        <v>17181.089884672947</v>
      </c>
      <c r="AR158" s="4">
        <f>$AR$4*'NIFTY MEMBS'!AS147</f>
        <v>20333.529527172846</v>
      </c>
      <c r="AS158" s="4">
        <f>$AS$4*'NIFTY MEMBS'!AT147</f>
        <v>20348.320476549088</v>
      </c>
      <c r="AT158" s="4">
        <f>$AT$4*'NIFTY MEMBS'!AU147</f>
        <v>21614.445034519384</v>
      </c>
      <c r="AU158" s="4">
        <f>$AU$4*'NIFTY MEMBS'!AV147</f>
        <v>23322.829512115615</v>
      </c>
      <c r="AV158" s="4">
        <f>$AV$4*'NIFTY MEMBS'!AW147</f>
        <v>18558.071585098613</v>
      </c>
      <c r="AW158" s="4">
        <f>$AW$4*'NIFTY MEMBS'!AX147</f>
        <v>20364.931231852017</v>
      </c>
      <c r="AX158" s="4">
        <f>$AX$4*'NIFTY MEMBS'!AY147</f>
        <v>16482.360222818239</v>
      </c>
      <c r="AY158" s="4">
        <f t="shared" si="12"/>
        <v>1016382.1426396022</v>
      </c>
      <c r="AZ158" s="4">
        <f t="shared" si="13"/>
        <v>103.71246353465328</v>
      </c>
    </row>
    <row r="159" spans="1:52" ht="14.25" customHeight="1" x14ac:dyDescent="0.3">
      <c r="A159" s="2">
        <v>45870</v>
      </c>
      <c r="B159" s="4">
        <f>$B$4*'NIFTY MEMBS'!C148</f>
        <v>22824.155578300921</v>
      </c>
      <c r="C159" s="4">
        <f>$C$4*'NIFTY MEMBS'!D148</f>
        <v>22573.9864031053</v>
      </c>
      <c r="D159" s="4">
        <f>$D$4*'NIFTY MEMBS'!E148</f>
        <v>23618.47465062355</v>
      </c>
      <c r="E159" s="4">
        <f>$E$4*'NIFTY MEMBS'!F148</f>
        <v>14604.432880642926</v>
      </c>
      <c r="F159" s="4">
        <f>$F$4*'NIFTY MEMBS'!G148</f>
        <v>22928.368324699099</v>
      </c>
      <c r="G159" s="4">
        <f>$G$4*'NIFTY MEMBS'!H148</f>
        <v>20020.171457387794</v>
      </c>
      <c r="H159" s="4">
        <f>$H$4*'NIFTY MEMBS'!I148</f>
        <v>15613.280212483398</v>
      </c>
      <c r="I159" s="4">
        <f>$I$4*'NIFTY MEMBS'!J148</f>
        <v>21994.746134964043</v>
      </c>
      <c r="J159" s="4">
        <f>$J$4*'NIFTY MEMBS'!K148</f>
        <v>25250.529897769382</v>
      </c>
      <c r="K159" s="4">
        <f>$K$4*'NIFTY MEMBS'!L148</f>
        <v>18192.739504608799</v>
      </c>
      <c r="L159" s="4">
        <f>$L$4*'NIFTY MEMBS'!M148</f>
        <v>19562.644853442398</v>
      </c>
      <c r="M159" s="4">
        <f>$M$4*'NIFTY MEMBS'!N148</f>
        <v>21951.589447106166</v>
      </c>
      <c r="N159" s="4">
        <f>$N$4*'NIFTY MEMBS'!O148</f>
        <v>20501.622323166775</v>
      </c>
      <c r="O159" s="4">
        <f>$O$4*'NIFTY MEMBS'!P148</f>
        <v>22281.368821292774</v>
      </c>
      <c r="P159" s="4">
        <f>$P$4*'NIFTY MEMBS'!Q148</f>
        <v>15189.727764847406</v>
      </c>
      <c r="Q159" s="4">
        <f>$Q$4*'NIFTY MEMBS'!R148</f>
        <v>17245.958887801262</v>
      </c>
      <c r="R159" s="4">
        <f>$R$4*'NIFTY MEMBS'!S148</f>
        <v>21163.623656853324</v>
      </c>
      <c r="S159" s="4">
        <f>$S$4*'NIFTY MEMBS'!T148</f>
        <v>19824.594140697893</v>
      </c>
      <c r="T159" s="4">
        <f>$T$4*'NIFTY MEMBS'!U148</f>
        <v>24312.357269728494</v>
      </c>
      <c r="U159" s="4">
        <f>$U$4*'NIFTY MEMBS'!V148</f>
        <v>20382.009004717489</v>
      </c>
      <c r="V159" s="4">
        <f>$V$4*'NIFTY MEMBS'!W148</f>
        <v>19835.156601228831</v>
      </c>
      <c r="W159" s="4">
        <f>$W$4*'NIFTY MEMBS'!X148</f>
        <v>22043.399638336348</v>
      </c>
      <c r="X159" s="4">
        <f>$X$4*'NIFTY MEMBS'!Y148</f>
        <v>22107.163370804952</v>
      </c>
      <c r="Y159" s="4">
        <f>$Y$4*'NIFTY MEMBS'!Z148</f>
        <v>19986.495041147922</v>
      </c>
      <c r="Z159" s="4">
        <f>$Z$4*'NIFTY MEMBS'!AA148</f>
        <v>25668.594760122494</v>
      </c>
      <c r="AA159" s="4">
        <f>$AA$4*'NIFTY MEMBS'!AB148</f>
        <v>22702.52360704622</v>
      </c>
      <c r="AB159" s="4">
        <f>$AB$4*'NIFTY MEMBS'!AC148</f>
        <v>16167.166167166166</v>
      </c>
      <c r="AC159" s="4">
        <f>$AC$4*'NIFTY MEMBS'!AD148</f>
        <v>18766.108247422682</v>
      </c>
      <c r="AD159" s="4">
        <f>$AD$4*'NIFTY MEMBS'!AE148</f>
        <v>17319.986653319986</v>
      </c>
      <c r="AE159" s="4">
        <f>$AE$4*'NIFTY MEMBS'!AF148</f>
        <v>18407.308464570309</v>
      </c>
      <c r="AF159" s="4">
        <f>$AF$4*'NIFTY MEMBS'!AG148</f>
        <v>21096.478857961076</v>
      </c>
      <c r="AG159" s="4">
        <f>$AG$4*'NIFTY MEMBS'!AH148</f>
        <v>19280.538302277433</v>
      </c>
      <c r="AH159" s="4">
        <f>$AH$4*'NIFTY MEMBS'!AI148</f>
        <v>20988.917777654849</v>
      </c>
      <c r="AI159" s="4">
        <f>$AI$4*'NIFTY MEMBS'!AJ148</f>
        <v>22379.698698259468</v>
      </c>
      <c r="AJ159" s="4">
        <f>$AJ$4*'NIFTY MEMBS'!AK148</f>
        <v>21645.590408934146</v>
      </c>
      <c r="AK159" s="4">
        <f>$AK$4*'NIFTY MEMBS'!AL148</f>
        <v>22293.470917019837</v>
      </c>
      <c r="AL159" s="4">
        <f>$AL$4*'NIFTY MEMBS'!AM148</f>
        <v>22631.158782469854</v>
      </c>
      <c r="AM159" s="4">
        <f>$AM$4*'NIFTY MEMBS'!AN148</f>
        <v>14657.508082144297</v>
      </c>
      <c r="AN159" s="4">
        <f>$AN$4*'NIFTY MEMBS'!AO148</f>
        <v>25652.670665524132</v>
      </c>
      <c r="AO159" s="4">
        <f>$AO$4*'NIFTY MEMBS'!AP148</f>
        <v>24034.34867141931</v>
      </c>
      <c r="AP159" s="4">
        <f>$AP$4*'NIFTY MEMBS'!AQ148</f>
        <v>22681.507715658994</v>
      </c>
      <c r="AQ159" s="4">
        <f>$AQ$4*'NIFTY MEMBS'!AR148</f>
        <v>16888.810634738973</v>
      </c>
      <c r="AR159" s="4">
        <f>$AR$4*'NIFTY MEMBS'!AS148</f>
        <v>19656.006801386437</v>
      </c>
      <c r="AS159" s="4">
        <f>$AS$4*'NIFTY MEMBS'!AT148</f>
        <v>19950.743929494616</v>
      </c>
      <c r="AT159" s="4">
        <f>$AT$4*'NIFTY MEMBS'!AU148</f>
        <v>21043.975810734413</v>
      </c>
      <c r="AU159" s="4">
        <f>$AU$4*'NIFTY MEMBS'!AV148</f>
        <v>23261.979789199177</v>
      </c>
      <c r="AV159" s="4">
        <f>$AV$4*'NIFTY MEMBS'!AW148</f>
        <v>17831.99415631848</v>
      </c>
      <c r="AW159" s="4">
        <f>$AW$4*'NIFTY MEMBS'!AX148</f>
        <v>20608.218719753368</v>
      </c>
      <c r="AX159" s="4">
        <f>$AX$4*'NIFTY MEMBS'!AY148</f>
        <v>16168.764184031363</v>
      </c>
      <c r="AY159" s="4">
        <f t="shared" si="12"/>
        <v>1005792.6666703854</v>
      </c>
      <c r="AZ159" s="4">
        <f t="shared" si="13"/>
        <v>102.63190476228424</v>
      </c>
    </row>
    <row r="160" spans="1:52" ht="14.25" customHeight="1" x14ac:dyDescent="0.3">
      <c r="A160" s="2">
        <v>45873</v>
      </c>
      <c r="B160" s="4">
        <f>$B$4*'NIFTY MEMBS'!C149</f>
        <v>23115.660184237462</v>
      </c>
      <c r="C160" s="4">
        <f>$C$4*'NIFTY MEMBS'!D149</f>
        <v>22347.371491395366</v>
      </c>
      <c r="D160" s="4">
        <f>$D$4*'NIFTY MEMBS'!E149</f>
        <v>23996.99191577364</v>
      </c>
      <c r="E160" s="4">
        <f>$E$4*'NIFTY MEMBS'!F149</f>
        <v>14951.671144937933</v>
      </c>
      <c r="F160" s="4">
        <f>$F$4*'NIFTY MEMBS'!G149</f>
        <v>22797.491528064504</v>
      </c>
      <c r="G160" s="4">
        <f>$G$4*'NIFTY MEMBS'!H149</f>
        <v>20063.035804336861</v>
      </c>
      <c r="H160" s="4">
        <f>$H$4*'NIFTY MEMBS'!I149</f>
        <v>15729.083665338645</v>
      </c>
      <c r="I160" s="4">
        <f>$I$4*'NIFTY MEMBS'!J149</f>
        <v>21908.617199948323</v>
      </c>
      <c r="J160" s="4">
        <f>$J$4*'NIFTY MEMBS'!K149</f>
        <v>25530.258244055771</v>
      </c>
      <c r="K160" s="4">
        <f>$K$4*'NIFTY MEMBS'!L149</f>
        <v>18210.213621073784</v>
      </c>
      <c r="L160" s="4">
        <f>$L$4*'NIFTY MEMBS'!M149</f>
        <v>19801.49965916837</v>
      </c>
      <c r="M160" s="4">
        <f>$M$4*'NIFTY MEMBS'!N149</f>
        <v>22064.006138308221</v>
      </c>
      <c r="N160" s="4">
        <f>$N$4*'NIFTY MEMBS'!O149</f>
        <v>20767.034393251135</v>
      </c>
      <c r="O160" s="4">
        <f>$O$4*'NIFTY MEMBS'!P149</f>
        <v>22332.811451576825</v>
      </c>
      <c r="P160" s="4">
        <f>$P$4*'NIFTY MEMBS'!Q149</f>
        <v>15422.997463322787</v>
      </c>
      <c r="Q160" s="4">
        <f>$Q$4*'NIFTY MEMBS'!R149</f>
        <v>17371.888145189023</v>
      </c>
      <c r="R160" s="4">
        <f>$R$4*'NIFTY MEMBS'!S149</f>
        <v>21415.217961037826</v>
      </c>
      <c r="S160" s="4">
        <f>$S$4*'NIFTY MEMBS'!T149</f>
        <v>19940.28736704609</v>
      </c>
      <c r="T160" s="4">
        <f>$T$4*'NIFTY MEMBS'!U149</f>
        <v>24531.8447094646</v>
      </c>
      <c r="U160" s="4">
        <f>$U$4*'NIFTY MEMBS'!V149</f>
        <v>20629.715567712097</v>
      </c>
      <c r="V160" s="4">
        <f>$V$4*'NIFTY MEMBS'!W149</f>
        <v>19901.0939607373</v>
      </c>
      <c r="W160" s="4">
        <f>$W$4*'NIFTY MEMBS'!X149</f>
        <v>22079.566003616637</v>
      </c>
      <c r="X160" s="4">
        <f>$X$4*'NIFTY MEMBS'!Y149</f>
        <v>22793.140231394107</v>
      </c>
      <c r="Y160" s="4">
        <f>$Y$4*'NIFTY MEMBS'!Z149</f>
        <v>19821.059295209961</v>
      </c>
      <c r="Z160" s="4">
        <f>$Z$4*'NIFTY MEMBS'!AA149</f>
        <v>26509.016672337533</v>
      </c>
      <c r="AA160" s="4">
        <f>$AA$4*'NIFTY MEMBS'!AB149</f>
        <v>23323.209453862721</v>
      </c>
      <c r="AB160" s="4">
        <f>$AB$4*'NIFTY MEMBS'!AC149</f>
        <v>16386.946386946387</v>
      </c>
      <c r="AC160" s="4">
        <f>$AC$4*'NIFTY MEMBS'!AD149</f>
        <v>18553.4793814433</v>
      </c>
      <c r="AD160" s="4">
        <f>$AD$4*'NIFTY MEMBS'!AE149</f>
        <v>17446.780113446781</v>
      </c>
      <c r="AE160" s="4">
        <f>$AE$4*'NIFTY MEMBS'!AF149</f>
        <v>18734.518994800099</v>
      </c>
      <c r="AF160" s="4">
        <f>$AF$4*'NIFTY MEMBS'!AG149</f>
        <v>21259.627275291259</v>
      </c>
      <c r="AG160" s="4">
        <f>$AG$4*'NIFTY MEMBS'!AH149</f>
        <v>19394.409937888198</v>
      </c>
      <c r="AH160" s="4">
        <f>$AH$4*'NIFTY MEMBS'!AI149</f>
        <v>20997.21561468533</v>
      </c>
      <c r="AI160" s="4">
        <f>$AI$4*'NIFTY MEMBS'!AJ149</f>
        <v>23337.721222758519</v>
      </c>
      <c r="AJ160" s="4">
        <f>$AJ$4*'NIFTY MEMBS'!AK149</f>
        <v>21934.636229265892</v>
      </c>
      <c r="AK160" s="4">
        <f>$AK$4*'NIFTY MEMBS'!AL149</f>
        <v>22830.70245480417</v>
      </c>
      <c r="AL160" s="4">
        <f>$AL$4*'NIFTY MEMBS'!AM149</f>
        <v>23011.892821321104</v>
      </c>
      <c r="AM160" s="4">
        <f>$AM$4*'NIFTY MEMBS'!AN149</f>
        <v>14852.752880921895</v>
      </c>
      <c r="AN160" s="4">
        <f>$AN$4*'NIFTY MEMBS'!AO149</f>
        <v>26156.812339331616</v>
      </c>
      <c r="AO160" s="4">
        <f>$AO$4*'NIFTY MEMBS'!AP149</f>
        <v>23972.780298120539</v>
      </c>
      <c r="AP160" s="4">
        <f>$AP$4*'NIFTY MEMBS'!AQ149</f>
        <v>23195.884981870309</v>
      </c>
      <c r="AQ160" s="4">
        <f>$AQ$4*'NIFTY MEMBS'!AR149</f>
        <v>17313.730668779528</v>
      </c>
      <c r="AR160" s="4">
        <f>$AR$4*'NIFTY MEMBS'!AS149</f>
        <v>19816.885749787456</v>
      </c>
      <c r="AS160" s="4">
        <f>$AS$4*'NIFTY MEMBS'!AT149</f>
        <v>19832.692190266836</v>
      </c>
      <c r="AT160" s="4">
        <f>$AT$4*'NIFTY MEMBS'!AU149</f>
        <v>21410.58366025388</v>
      </c>
      <c r="AU160" s="4">
        <f>$AU$4*'NIFTY MEMBS'!AV149</f>
        <v>23309.790285776377</v>
      </c>
      <c r="AV160" s="4">
        <f>$AV$4*'NIFTY MEMBS'!AW149</f>
        <v>17896.274653031411</v>
      </c>
      <c r="AW160" s="4">
        <f>$AW$4*'NIFTY MEMBS'!AX149</f>
        <v>21680.30876958189</v>
      </c>
      <c r="AX160" s="4">
        <f>$AX$4*'NIFTY MEMBS'!AY149</f>
        <v>16588.611512275635</v>
      </c>
      <c r="AY160" s="4">
        <f t="shared" si="12"/>
        <v>1017269.8216950459</v>
      </c>
      <c r="AZ160" s="4">
        <f t="shared" si="13"/>
        <v>103.80304303010672</v>
      </c>
    </row>
    <row r="161" spans="1:52" ht="14.25" customHeight="1" x14ac:dyDescent="0.3">
      <c r="A161" s="2">
        <v>45874</v>
      </c>
      <c r="B161" s="4">
        <f>$B$4*'NIFTY MEMBS'!C150</f>
        <v>22791.402251791198</v>
      </c>
      <c r="C161" s="4">
        <f>$C$4*'NIFTY MEMBS'!D150</f>
        <v>22185.824227602145</v>
      </c>
      <c r="D161" s="4">
        <f>$D$4*'NIFTY MEMBS'!E150</f>
        <v>24212.571285329323</v>
      </c>
      <c r="E161" s="4">
        <f>$E$4*'NIFTY MEMBS'!F150</f>
        <v>14900.606694306314</v>
      </c>
      <c r="F161" s="4">
        <f>$F$4*'NIFTY MEMBS'!G150</f>
        <v>22504.576792739455</v>
      </c>
      <c r="G161" s="4">
        <f>$G$4*'NIFTY MEMBS'!H150</f>
        <v>20186.585980837113</v>
      </c>
      <c r="H161" s="4">
        <f>$H$4*'NIFTY MEMBS'!I150</f>
        <v>15514.475431606905</v>
      </c>
      <c r="I161" s="4">
        <f>$I$4*'NIFTY MEMBS'!J150</f>
        <v>21831.101158434176</v>
      </c>
      <c r="J161" s="4">
        <f>$J$4*'NIFTY MEMBS'!K150</f>
        <v>25720.588871425891</v>
      </c>
      <c r="K161" s="4">
        <f>$K$4*'NIFTY MEMBS'!L150</f>
        <v>18092.263334935127</v>
      </c>
      <c r="L161" s="4">
        <f>$L$4*'NIFTY MEMBS'!M150</f>
        <v>19918.745739604634</v>
      </c>
      <c r="M161" s="4">
        <f>$M$4*'NIFTY MEMBS'!N150</f>
        <v>22370.92154920907</v>
      </c>
      <c r="N161" s="4">
        <f>$N$4*'NIFTY MEMBS'!O150</f>
        <v>20844.905905256324</v>
      </c>
      <c r="O161" s="4">
        <f>$O$4*'NIFTY MEMBS'!P150</f>
        <v>22399.910534556024</v>
      </c>
      <c r="P161" s="4">
        <f>$P$4*'NIFTY MEMBS'!Q150</f>
        <v>15509.819817463846</v>
      </c>
      <c r="Q161" s="4">
        <f>$Q$4*'NIFTY MEMBS'!R150</f>
        <v>17271.356385089552</v>
      </c>
      <c r="R161" s="4">
        <f>$R$4*'NIFTY MEMBS'!S150</f>
        <v>21486.852450423692</v>
      </c>
      <c r="S161" s="4">
        <f>$S$4*'NIFTY MEMBS'!T150</f>
        <v>19981.339802201903</v>
      </c>
      <c r="T161" s="4">
        <f>$T$4*'NIFTY MEMBS'!U150</f>
        <v>24605.430093884799</v>
      </c>
      <c r="U161" s="4">
        <f>$U$4*'NIFTY MEMBS'!V150</f>
        <v>21010.187931219938</v>
      </c>
      <c r="V161" s="4">
        <f>$V$4*'NIFTY MEMBS'!W150</f>
        <v>19997.002847295073</v>
      </c>
      <c r="W161" s="4">
        <f>$W$4*'NIFTY MEMBS'!X150</f>
        <v>21855.334538878844</v>
      </c>
      <c r="X161" s="4">
        <f>$X$4*'NIFTY MEMBS'!Y150</f>
        <v>22287.68359727578</v>
      </c>
      <c r="Y161" s="4">
        <f>$Y$4*'NIFTY MEMBS'!Z150</f>
        <v>19791.517197721038</v>
      </c>
      <c r="Z161" s="4">
        <f>$Z$4*'NIFTY MEMBS'!AA150</f>
        <v>26311.670636270843</v>
      </c>
      <c r="AA161" s="4">
        <f>$AA$4*'NIFTY MEMBS'!AB150</f>
        <v>23267.988293113922</v>
      </c>
      <c r="AB161" s="4">
        <f>$AB$4*'NIFTY MEMBS'!AC150</f>
        <v>16377.622377622376</v>
      </c>
      <c r="AC161" s="4">
        <f>$AC$4*'NIFTY MEMBS'!AD150</f>
        <v>18427.835051546394</v>
      </c>
      <c r="AD161" s="4">
        <f>$AD$4*'NIFTY MEMBS'!AE150</f>
        <v>17473.473473473474</v>
      </c>
      <c r="AE161" s="4">
        <f>$AE$4*'NIFTY MEMBS'!AF150</f>
        <v>18832.910972421643</v>
      </c>
      <c r="AF161" s="4">
        <f>$AF$4*'NIFTY MEMBS'!AG150</f>
        <v>21146.8118803289</v>
      </c>
      <c r="AG161" s="4">
        <f>$AG$4*'NIFTY MEMBS'!AH150</f>
        <v>19642.857142857145</v>
      </c>
      <c r="AH161" s="4">
        <f>$AH$4*'NIFTY MEMBS'!AI150</f>
        <v>20904.095443565493</v>
      </c>
      <c r="AI161" s="4">
        <f>$AI$4*'NIFTY MEMBS'!AJ150</f>
        <v>23346.497001608892</v>
      </c>
      <c r="AJ161" s="4">
        <f>$AJ$4*'NIFTY MEMBS'!AK150</f>
        <v>21865.659385777635</v>
      </c>
      <c r="AK161" s="4">
        <f>$AK$4*'NIFTY MEMBS'!AL150</f>
        <v>22907.68380320619</v>
      </c>
      <c r="AL161" s="4">
        <f>$AL$4*'NIFTY MEMBS'!AM150</f>
        <v>23257.527685096102</v>
      </c>
      <c r="AM161" s="4">
        <f>$AM$4*'NIFTY MEMBS'!AN150</f>
        <v>15046.582862317047</v>
      </c>
      <c r="AN161" s="4">
        <f>$AN$4*'NIFTY MEMBS'!AO150</f>
        <v>26520.994001713792</v>
      </c>
      <c r="AO161" s="4">
        <f>$AO$4*'NIFTY MEMBS'!AP150</f>
        <v>23930.654569021382</v>
      </c>
      <c r="AP161" s="4">
        <f>$AP$4*'NIFTY MEMBS'!AQ150</f>
        <v>23175.647187789862</v>
      </c>
      <c r="AQ161" s="4">
        <f>$AQ$4*'NIFTY MEMBS'!AR150</f>
        <v>17435.807142647536</v>
      </c>
      <c r="AR161" s="4">
        <f>$AR$4*'NIFTY MEMBS'!AS150</f>
        <v>19616.76803348375</v>
      </c>
      <c r="AS161" s="4">
        <f>$AS$4*'NIFTY MEMBS'!AT150</f>
        <v>19740.421865353172</v>
      </c>
      <c r="AT161" s="4">
        <f>$AT$4*'NIFTY MEMBS'!AU150</f>
        <v>21588.748222637176</v>
      </c>
      <c r="AU161" s="4">
        <f>$AU$4*'NIFTY MEMBS'!AV150</f>
        <v>23135.933934586548</v>
      </c>
      <c r="AV161" s="4">
        <f>$AV$4*'NIFTY MEMBS'!AW150</f>
        <v>17747.260774287803</v>
      </c>
      <c r="AW161" s="4">
        <f>$AW$4*'NIFTY MEMBS'!AX150</f>
        <v>21732.407661882968</v>
      </c>
      <c r="AX161" s="4">
        <f>$AX$4*'NIFTY MEMBS'!AY150</f>
        <v>16900.144419228389</v>
      </c>
      <c r="AY161" s="4">
        <f t="shared" si="12"/>
        <v>1017605.008240927</v>
      </c>
      <c r="AZ161" s="4">
        <f t="shared" si="13"/>
        <v>103.8372457388701</v>
      </c>
    </row>
    <row r="162" spans="1:52" ht="14.25" customHeight="1" x14ac:dyDescent="0.3">
      <c r="A162" s="2">
        <v>45875</v>
      </c>
      <c r="B162" s="4">
        <f>$B$4*'NIFTY MEMBS'!C151</f>
        <v>22809.416581371544</v>
      </c>
      <c r="C162" s="4">
        <f>$C$4*'NIFTY MEMBS'!D151</f>
        <v>22272.207139491577</v>
      </c>
      <c r="D162" s="4">
        <f>$D$4*'NIFTY MEMBS'!E151</f>
        <v>24186.250548348686</v>
      </c>
      <c r="E162" s="4">
        <f>$E$4*'NIFTY MEMBS'!F151</f>
        <v>14746.927014310206</v>
      </c>
      <c r="F162" s="4">
        <f>$F$4*'NIFTY MEMBS'!G151</f>
        <v>22492.112335917107</v>
      </c>
      <c r="G162" s="4">
        <f>$G$4*'NIFTY MEMBS'!H151</f>
        <v>20301.311144730204</v>
      </c>
      <c r="H162" s="4">
        <f>$H$4*'NIFTY MEMBS'!I151</f>
        <v>15263.745019920318</v>
      </c>
      <c r="I162" s="4">
        <f>$I$4*'NIFTY MEMBS'!J151</f>
        <v>21838.852762585593</v>
      </c>
      <c r="J162" s="4">
        <f>$J$4*'NIFTY MEMBS'!K151</f>
        <v>25280.809770305539</v>
      </c>
      <c r="K162" s="4">
        <f>$K$4*'NIFTY MEMBS'!L151</f>
        <v>17998.339958935827</v>
      </c>
      <c r="L162" s="4">
        <f>$L$4*'NIFTY MEMBS'!M151</f>
        <v>19786.775732788003</v>
      </c>
      <c r="M162" s="4">
        <f>$M$4*'NIFTY MEMBS'!N151</f>
        <v>22347.72445419912</v>
      </c>
      <c r="N162" s="4">
        <f>$N$4*'NIFTY MEMBS'!O151</f>
        <v>20944.192083062946</v>
      </c>
      <c r="O162" s="4">
        <f>$O$4*'NIFTY MEMBS'!P151</f>
        <v>22393.200626258105</v>
      </c>
      <c r="P162" s="4">
        <f>$P$4*'NIFTY MEMBS'!Q151</f>
        <v>15305.839587855331</v>
      </c>
      <c r="Q162" s="4">
        <f>$Q$4*'NIFTY MEMBS'!R151</f>
        <v>16880.869864282122</v>
      </c>
      <c r="R162" s="4">
        <f>$R$4*'NIFTY MEMBS'!S151</f>
        <v>21361.055298331441</v>
      </c>
      <c r="S162" s="4">
        <f>$S$4*'NIFTY MEMBS'!T151</f>
        <v>19985.071841761524</v>
      </c>
      <c r="T162" s="4">
        <f>$T$4*'NIFTY MEMBS'!U151</f>
        <v>24410.048211113928</v>
      </c>
      <c r="U162" s="4">
        <f>$U$4*'NIFTY MEMBS'!V151</f>
        <v>21007.114648800653</v>
      </c>
      <c r="V162" s="4">
        <f>$V$4*'NIFTY MEMBS'!W151</f>
        <v>19907.088266147162</v>
      </c>
      <c r="W162" s="4">
        <f>$W$4*'NIFTY MEMBS'!X151</f>
        <v>21616.636528028936</v>
      </c>
      <c r="X162" s="4">
        <f>$X$4*'NIFTY MEMBS'!Y151</f>
        <v>22435.381964388278</v>
      </c>
      <c r="Y162" s="4">
        <f>$Y$4*'NIFTY MEMBS'!Z151</f>
        <v>19731.588942814942</v>
      </c>
      <c r="Z162" s="4">
        <f>$Z$4*'NIFTY MEMBS'!AA151</f>
        <v>26519.224225927188</v>
      </c>
      <c r="AA162" s="4">
        <f>$AA$4*'NIFTY MEMBS'!AB151</f>
        <v>23250.317521674304</v>
      </c>
      <c r="AB162" s="4">
        <f>$AB$4*'NIFTY MEMBS'!AC151</f>
        <v>15981.351981351982</v>
      </c>
      <c r="AC162" s="4">
        <f>$AC$4*'NIFTY MEMBS'!AD151</f>
        <v>18350.515463917527</v>
      </c>
      <c r="AD162" s="4">
        <f>$AD$4*'NIFTY MEMBS'!AE151</f>
        <v>17426.760093426761</v>
      </c>
      <c r="AE162" s="4">
        <f>$AE$4*'NIFTY MEMBS'!AF151</f>
        <v>18713.925325065356</v>
      </c>
      <c r="AF162" s="4">
        <f>$AF$4*'NIFTY MEMBS'!AG151</f>
        <v>21618.900917709845</v>
      </c>
      <c r="AG162" s="4">
        <f>$AG$4*'NIFTY MEMBS'!AH151</f>
        <v>19505.693581780539</v>
      </c>
      <c r="AH162" s="4">
        <f>$AH$4*'NIFTY MEMBS'!AI151</f>
        <v>20590.621600191778</v>
      </c>
      <c r="AI162" s="4">
        <f>$AI$4*'NIFTY MEMBS'!AJ151</f>
        <v>23206.084540002925</v>
      </c>
      <c r="AJ162" s="4">
        <f>$AJ$4*'NIFTY MEMBS'!AK151</f>
        <v>21451.798324848092</v>
      </c>
      <c r="AK162" s="4">
        <f>$AK$4*'NIFTY MEMBS'!AL151</f>
        <v>22650.533341522838</v>
      </c>
      <c r="AL162" s="4">
        <f>$AL$4*'NIFTY MEMBS'!AM151</f>
        <v>23204.306797944853</v>
      </c>
      <c r="AM162" s="4">
        <f>$AM$4*'NIFTY MEMBS'!AN151</f>
        <v>15156.938618147864</v>
      </c>
      <c r="AN162" s="4">
        <f>$AN$4*'NIFTY MEMBS'!AO151</f>
        <v>26482.433590402739</v>
      </c>
      <c r="AO162" s="4">
        <f>$AO$4*'NIFTY MEMBS'!AP151</f>
        <v>24385.936487362276</v>
      </c>
      <c r="AP162" s="4">
        <f>$AP$4*'NIFTY MEMBS'!AQ151</f>
        <v>23099.755459988191</v>
      </c>
      <c r="AQ162" s="4">
        <f>$AQ$4*'NIFTY MEMBS'!AR151</f>
        <v>17125.920708982598</v>
      </c>
      <c r="AR162" s="4">
        <f>$AR$4*'NIFTY MEMBS'!AS151</f>
        <v>19445.425413642013</v>
      </c>
      <c r="AS162" s="4">
        <f>$AS$4*'NIFTY MEMBS'!AT151</f>
        <v>19511.102969611853</v>
      </c>
      <c r="AT162" s="4">
        <f>$AT$4*'NIFTY MEMBS'!AU151</f>
        <v>21605.879430558645</v>
      </c>
      <c r="AU162" s="4">
        <f>$AU$4*'NIFTY MEMBS'!AV151</f>
        <v>22879.495816581548</v>
      </c>
      <c r="AV162" s="4">
        <f>$AV$4*'NIFTY MEMBS'!AW151</f>
        <v>17482.834185536889</v>
      </c>
      <c r="AW162" s="4">
        <f>$AW$4*'NIFTY MEMBS'!AX151</f>
        <v>21388.746161291474</v>
      </c>
      <c r="AX162" s="4">
        <f>$AX$4*'NIFTY MEMBS'!AY151</f>
        <v>16574.169589436766</v>
      </c>
      <c r="AY162" s="4">
        <f t="shared" si="12"/>
        <v>1012911.2324726557</v>
      </c>
      <c r="AZ162" s="4">
        <f t="shared" si="13"/>
        <v>103.358289027822</v>
      </c>
    </row>
    <row r="163" spans="1:52" ht="14.25" customHeight="1" x14ac:dyDescent="0.3">
      <c r="A163" s="2">
        <v>45876</v>
      </c>
      <c r="B163" s="4">
        <f>$B$4*'NIFTY MEMBS'!C152</f>
        <v>22753.735926305017</v>
      </c>
      <c r="C163" s="4">
        <f>$C$4*'NIFTY MEMBS'!D152</f>
        <v>22385.514595346544</v>
      </c>
      <c r="D163" s="4">
        <f>$D$4*'NIFTY MEMBS'!E152</f>
        <v>24097.261389985586</v>
      </c>
      <c r="E163" s="4">
        <f>$E$4*'NIFTY MEMBS'!F152</f>
        <v>14818.417245194471</v>
      </c>
      <c r="F163" s="4">
        <f>$F$4*'NIFTY MEMBS'!G152</f>
        <v>22440.696451524946</v>
      </c>
      <c r="G163" s="4">
        <f>$G$4*'NIFTY MEMBS'!H152</f>
        <v>20301.311144730204</v>
      </c>
      <c r="H163" s="4">
        <f>$H$4*'NIFTY MEMBS'!I152</f>
        <v>15265.869853917662</v>
      </c>
      <c r="I163" s="4">
        <f>$I$4*'NIFTY MEMBS'!J152</f>
        <v>21682.959390207143</v>
      </c>
      <c r="J163" s="4">
        <f>$J$4*'NIFTY MEMBS'!K152</f>
        <v>25351.462806223237</v>
      </c>
      <c r="K163" s="4">
        <f>$K$4*'NIFTY MEMBS'!L152</f>
        <v>18068.23642479577</v>
      </c>
      <c r="L163" s="4">
        <f>$L$4*'NIFTY MEMBS'!M152</f>
        <v>19858.759372869801</v>
      </c>
      <c r="M163" s="4">
        <f>$M$4*'NIFTY MEMBS'!N152</f>
        <v>22540.438781974073</v>
      </c>
      <c r="N163" s="4">
        <f>$N$4*'NIFTY MEMBS'!O152</f>
        <v>20837.767683322516</v>
      </c>
      <c r="O163" s="4">
        <f>$O$4*'NIFTY MEMBS'!P152</f>
        <v>22278.013867143811</v>
      </c>
      <c r="P163" s="4">
        <f>$P$4*'NIFTY MEMBS'!Q152</f>
        <v>15434.504040377624</v>
      </c>
      <c r="Q163" s="4">
        <f>$Q$4*'NIFTY MEMBS'!R152</f>
        <v>16914.73319399984</v>
      </c>
      <c r="R163" s="4">
        <f>$R$4*'NIFTY MEMBS'!S152</f>
        <v>21443.172883724994</v>
      </c>
      <c r="S163" s="4">
        <f>$S$4*'NIFTY MEMBS'!T152</f>
        <v>20082.104870311628</v>
      </c>
      <c r="T163" s="4">
        <f>$T$4*'NIFTY MEMBS'!U152</f>
        <v>24283.176858665312</v>
      </c>
      <c r="U163" s="4">
        <f>$U$4*'NIFTY MEMBS'!V152</f>
        <v>20994.821519123499</v>
      </c>
      <c r="V163" s="4">
        <f>$V$4*'NIFTY MEMBS'!W152</f>
        <v>19766.222089015435</v>
      </c>
      <c r="W163" s="4">
        <f>$W$4*'NIFTY MEMBS'!X152</f>
        <v>21826.401446654614</v>
      </c>
      <c r="X163" s="4">
        <f>$X$4*'NIFTY MEMBS'!Y152</f>
        <v>22079.264790350371</v>
      </c>
      <c r="Y163" s="4">
        <f>$Y$4*'NIFTY MEMBS'!Z152</f>
        <v>19745.09390166702</v>
      </c>
      <c r="Z163" s="4">
        <f>$Z$4*'NIFTY MEMBS'!AA152</f>
        <v>26386.526029261659</v>
      </c>
      <c r="AA163" s="4">
        <f>$AA$4*'NIFTY MEMBS'!AB152</f>
        <v>23519.796786128441</v>
      </c>
      <c r="AB163" s="4">
        <f>$AB$4*'NIFTY MEMBS'!AC152</f>
        <v>16138.528138528138</v>
      </c>
      <c r="AC163" s="4">
        <f>$AC$4*'NIFTY MEMBS'!AD152</f>
        <v>18398.84020618557</v>
      </c>
      <c r="AD163" s="4">
        <f>$AD$4*'NIFTY MEMBS'!AE152</f>
        <v>17257.257257257257</v>
      </c>
      <c r="AE163" s="4">
        <f>$AE$4*'NIFTY MEMBS'!AF152</f>
        <v>18829.478694132522</v>
      </c>
      <c r="AF163" s="4">
        <f>$AF$4*'NIFTY MEMBS'!AG152</f>
        <v>21751.675959473236</v>
      </c>
      <c r="AG163" s="4">
        <f>$AG$4*'NIFTY MEMBS'!AH152</f>
        <v>19645.44513457557</v>
      </c>
      <c r="AH163" s="4">
        <f>$AH$4*'NIFTY MEMBS'!AI152</f>
        <v>20602.607364791358</v>
      </c>
      <c r="AI163" s="4">
        <f>$AI$4*'NIFTY MEMBS'!AJ152</f>
        <v>23353.810150650868</v>
      </c>
      <c r="AJ163" s="4">
        <f>$AJ$4*'NIFTY MEMBS'!AK152</f>
        <v>21382.821481359832</v>
      </c>
      <c r="AK163" s="4">
        <f>$AK$4*'NIFTY MEMBS'!AL152</f>
        <v>22469.545277726589</v>
      </c>
      <c r="AL163" s="4">
        <f>$AL$4*'NIFTY MEMBS'!AM152</f>
        <v>23259.574642294228</v>
      </c>
      <c r="AM163" s="4">
        <f>$AM$4*'NIFTY MEMBS'!AN152</f>
        <v>15006.96797560855</v>
      </c>
      <c r="AN163" s="4">
        <f>$AN$4*'NIFTY MEMBS'!AO152</f>
        <v>26579.548700371317</v>
      </c>
      <c r="AO163" s="4">
        <f>$AO$4*'NIFTY MEMBS'!AP152</f>
        <v>24488.010369410236</v>
      </c>
      <c r="AP163" s="4">
        <f>$AP$4*'NIFTY MEMBS'!AQ152</f>
        <v>23165.528290749637</v>
      </c>
      <c r="AQ163" s="4">
        <f>$AQ$4*'NIFTY MEMBS'!AR152</f>
        <v>17395.897526190685</v>
      </c>
      <c r="AR163" s="4">
        <f>$AR$4*'NIFTY MEMBS'!AS152</f>
        <v>19501.667647635866</v>
      </c>
      <c r="AS163" s="4">
        <f>$AS$4*'NIFTY MEMBS'!AT152</f>
        <v>19458.183224440781</v>
      </c>
      <c r="AT163" s="4">
        <f>$AT$4*'NIFTY MEMBS'!AU152</f>
        <v>21494.526579069086</v>
      </c>
      <c r="AU163" s="4">
        <f>$AU$4*'NIFTY MEMBS'!AV152</f>
        <v>22879.495816581548</v>
      </c>
      <c r="AV163" s="4">
        <f>$AV$4*'NIFTY MEMBS'!AW152</f>
        <v>17542.731921110299</v>
      </c>
      <c r="AW163" s="4">
        <f>$AW$4*'NIFTY MEMBS'!AX152</f>
        <v>22276.81718785474</v>
      </c>
      <c r="AX163" s="4">
        <f>$AX$4*'NIFTY MEMBS'!AY152</f>
        <v>16656.694862801734</v>
      </c>
      <c r="AY163" s="4">
        <f t="shared" si="12"/>
        <v>1014691.9177516211</v>
      </c>
      <c r="AZ163" s="4">
        <f t="shared" si="13"/>
        <v>103.53999160730827</v>
      </c>
    </row>
    <row r="164" spans="1:52" ht="14.25" customHeight="1" x14ac:dyDescent="0.3">
      <c r="A164" s="2">
        <v>45877</v>
      </c>
      <c r="B164" s="4">
        <f>$B$4*'NIFTY MEMBS'!C153</f>
        <v>22400</v>
      </c>
      <c r="C164" s="4">
        <f>$C$4*'NIFTY MEMBS'!D153</f>
        <v>22144.315555655277</v>
      </c>
      <c r="D164" s="4">
        <f>$D$4*'NIFTY MEMBS'!E153</f>
        <v>23295.105596290028</v>
      </c>
      <c r="E164" s="4">
        <f>$E$4*'NIFTY MEMBS'!F153</f>
        <v>14766.866466461599</v>
      </c>
      <c r="F164" s="4">
        <f>$F$4*'NIFTY MEMBS'!G153</f>
        <v>22372.141939002064</v>
      </c>
      <c r="G164" s="4">
        <f>$G$4*'NIFTY MEMBS'!H153</f>
        <v>20279.878971255672</v>
      </c>
      <c r="H164" s="4">
        <f>$H$4*'NIFTY MEMBS'!I153</f>
        <v>15119.256308100928</v>
      </c>
      <c r="I164" s="4">
        <f>$I$4*'NIFTY MEMBS'!J153</f>
        <v>21520.175703027435</v>
      </c>
      <c r="J164" s="4">
        <f>$J$4*'NIFTY MEMBS'!K153</f>
        <v>25295.228757227516</v>
      </c>
      <c r="K164" s="4">
        <f>$K$4*'NIFTY MEMBS'!L153</f>
        <v>18107.553186841989</v>
      </c>
      <c r="L164" s="4">
        <f>$L$4*'NIFTY MEMBS'!M153</f>
        <v>19673.346966598499</v>
      </c>
      <c r="M164" s="4">
        <f>$M$4*'NIFTY MEMBS'!N153</f>
        <v>22465.494321172704</v>
      </c>
      <c r="N164" s="4">
        <f>$N$4*'NIFTY MEMBS'!O153</f>
        <v>20403.634003893574</v>
      </c>
      <c r="O164" s="4">
        <f>$O$4*'NIFTY MEMBS'!P153</f>
        <v>21837.396555580406</v>
      </c>
      <c r="P164" s="4">
        <f>$P$4*'NIFTY MEMBS'!Q153</f>
        <v>15436.596145296688</v>
      </c>
      <c r="Q164" s="4">
        <f>$Q$4*'NIFTY MEMBS'!R153</f>
        <v>16793.036852826794</v>
      </c>
      <c r="R164" s="4">
        <f>$R$4*'NIFTY MEMBS'!S153</f>
        <v>21240.499694243033</v>
      </c>
      <c r="S164" s="4">
        <f>$S$4*'NIFTY MEMBS'!T153</f>
        <v>19744.355290166077</v>
      </c>
      <c r="T164" s="4">
        <f>$T$4*'NIFTY MEMBS'!U153</f>
        <v>24349.149961938594</v>
      </c>
      <c r="U164" s="4">
        <f>$U$4*'NIFTY MEMBS'!V153</f>
        <v>21268.343654440127</v>
      </c>
      <c r="V164" s="4">
        <f>$V$4*'NIFTY MEMBS'!W153</f>
        <v>20065.937359508469</v>
      </c>
      <c r="W164" s="4">
        <f>$W$4*'NIFTY MEMBS'!X153</f>
        <v>21764.918625678118</v>
      </c>
      <c r="X164" s="4">
        <f>$X$4*'NIFTY MEMBS'!Y153</f>
        <v>21744.481824895378</v>
      </c>
      <c r="Y164" s="4">
        <f>$Y$4*'NIFTY MEMBS'!Z153</f>
        <v>19703.734965182528</v>
      </c>
      <c r="Z164" s="4">
        <f>$Z$4*'NIFTY MEMBS'!AA153</f>
        <v>26172.167403878877</v>
      </c>
      <c r="AA164" s="4">
        <f>$AA$4*'NIFTY MEMBS'!AB153</f>
        <v>23175.216743055938</v>
      </c>
      <c r="AB164" s="4">
        <f>$AB$4*'NIFTY MEMBS'!AC153</f>
        <v>15920.745920745921</v>
      </c>
      <c r="AC164" s="4">
        <f>$AC$4*'NIFTY MEMBS'!AD153</f>
        <v>18353.737113402065</v>
      </c>
      <c r="AD164" s="4">
        <f>$AD$4*'NIFTY MEMBS'!AE153</f>
        <v>16915.582248915583</v>
      </c>
      <c r="AE164" s="4">
        <f>$AE$4*'NIFTY MEMBS'!AF153</f>
        <v>18818.037766502108</v>
      </c>
      <c r="AF164" s="4">
        <f>$AF$4*'NIFTY MEMBS'!AG153</f>
        <v>21483.522443755013</v>
      </c>
      <c r="AG164" s="4">
        <f>$AG$4*'NIFTY MEMBS'!AH153</f>
        <v>19653.209109730848</v>
      </c>
      <c r="AH164" s="4">
        <f>$AH$4*'NIFTY MEMBS'!AI153</f>
        <v>20219.062897604694</v>
      </c>
      <c r="AI164" s="4">
        <f>$AI$4*'NIFTY MEMBS'!AJ153</f>
        <v>23102.237823606843</v>
      </c>
      <c r="AJ164" s="4">
        <f>$AJ$4*'NIFTY MEMBS'!AK153</f>
        <v>21097.060272622763</v>
      </c>
      <c r="AK164" s="4">
        <f>$AK$4*'NIFTY MEMBS'!AL153</f>
        <v>22042.872059455804</v>
      </c>
      <c r="AL164" s="4">
        <f>$AL$4*'NIFTY MEMBS'!AM153</f>
        <v>23183.837225963602</v>
      </c>
      <c r="AM164" s="4">
        <f>$AM$4*'NIFTY MEMBS'!AN153</f>
        <v>15045.1680449346</v>
      </c>
      <c r="AN164" s="4">
        <f>$AN$4*'NIFTY MEMBS'!AO153</f>
        <v>26186.803770351322</v>
      </c>
      <c r="AO164" s="4">
        <f>$AO$4*'NIFTY MEMBS'!AP153</f>
        <v>24677.576150356443</v>
      </c>
      <c r="AP164" s="4">
        <f>$AP$4*'NIFTY MEMBS'!AQ153</f>
        <v>22691.626612699212</v>
      </c>
      <c r="AQ164" s="4">
        <f>$AQ$4*'NIFTY MEMBS'!AR153</f>
        <v>17377.116530210995</v>
      </c>
      <c r="AR164" s="4">
        <f>$AR$4*'NIFTY MEMBS'!AS153</f>
        <v>19433.653783271206</v>
      </c>
      <c r="AS164" s="4">
        <f>$AS$4*'NIFTY MEMBS'!AT153</f>
        <v>19226.150495613765</v>
      </c>
      <c r="AT164" s="4">
        <f>$AT$4*'NIFTY MEMBS'!AU153</f>
        <v>20888.081818649029</v>
      </c>
      <c r="AU164" s="4">
        <f>$AU$4*'NIFTY MEMBS'!AV153</f>
        <v>22840.378137563839</v>
      </c>
      <c r="AV164" s="4">
        <f>$AV$4*'NIFTY MEMBS'!AW153</f>
        <v>17697.589481373267</v>
      </c>
      <c r="AW164" s="4">
        <f>$AW$4*'NIFTY MEMBS'!AX153</f>
        <v>21985.73255105333</v>
      </c>
      <c r="AX164" s="4">
        <f>$AX$4*'NIFTY MEMBS'!AY153</f>
        <v>16142.97503610481</v>
      </c>
      <c r="AY164" s="4">
        <f t="shared" si="12"/>
        <v>1006121.5901467056</v>
      </c>
      <c r="AZ164" s="4">
        <f t="shared" si="13"/>
        <v>102.66546838231689</v>
      </c>
    </row>
    <row r="165" spans="1:52" ht="14.25" customHeight="1" x14ac:dyDescent="0.3">
      <c r="A165" s="2">
        <v>45880</v>
      </c>
      <c r="B165" s="4">
        <f>$B$4*'NIFTY MEMBS'!C154</f>
        <v>22701.330603889459</v>
      </c>
      <c r="C165" s="4">
        <f>$C$4*'NIFTY MEMBS'!D154</f>
        <v>22387.758307343669</v>
      </c>
      <c r="D165" s="4">
        <f>$D$4*'NIFTY MEMBS'!E154</f>
        <v>23280.065175158237</v>
      </c>
      <c r="E165" s="4">
        <f>$E$4*'NIFTY MEMBS'!F154</f>
        <v>14788.264902916753</v>
      </c>
      <c r="F165" s="4">
        <f>$F$4*'NIFTY MEMBS'!G154</f>
        <v>22383.048338721612</v>
      </c>
      <c r="G165" s="4">
        <f>$G$4*'NIFTY MEMBS'!H154</f>
        <v>20762.733232476046</v>
      </c>
      <c r="H165" s="4">
        <f>$H$4*'NIFTY MEMBS'!I154</f>
        <v>15173.439575033201</v>
      </c>
      <c r="I165" s="4">
        <f>$I$4*'NIFTY MEMBS'!J154</f>
        <v>21690.710994358556</v>
      </c>
      <c r="J165" s="4">
        <f>$J$4*'NIFTY MEMBS'!K154</f>
        <v>25313.973440226087</v>
      </c>
      <c r="K165" s="4">
        <f>$K$4*'NIFTY MEMBS'!L154</f>
        <v>18210.213621073784</v>
      </c>
      <c r="L165" s="4">
        <f>$L$4*'NIFTY MEMBS'!M154</f>
        <v>20004.907975460123</v>
      </c>
      <c r="M165" s="4">
        <f>$M$4*'NIFTY MEMBS'!N154</f>
        <v>22477.985064639601</v>
      </c>
      <c r="N165" s="4">
        <f>$N$4*'NIFTY MEMBS'!O154</f>
        <v>20676.184295911742</v>
      </c>
      <c r="O165" s="4">
        <f>$O$4*'NIFTY MEMBS'!P154</f>
        <v>22096.846343099976</v>
      </c>
      <c r="P165" s="4">
        <f>$P$4*'NIFTY MEMBS'!Q154</f>
        <v>15565.26059781898</v>
      </c>
      <c r="Q165" s="4">
        <f>$Q$4*'NIFTY MEMBS'!R154</f>
        <v>17020.556099367706</v>
      </c>
      <c r="R165" s="4">
        <f>$R$4*'NIFTY MEMBS'!S154</f>
        <v>21673.800995894118</v>
      </c>
      <c r="S165" s="4">
        <f>$S$4*'NIFTY MEMBS'!T154</f>
        <v>20027.990296697146</v>
      </c>
      <c r="T165" s="4">
        <f>$T$4*'NIFTY MEMBS'!U154</f>
        <v>24394.823648820093</v>
      </c>
      <c r="U165" s="4">
        <f>$U$4*'NIFTY MEMBS'!V154</f>
        <v>21315.672203697162</v>
      </c>
      <c r="V165" s="4">
        <f>$V$4*'NIFTY MEMBS'!W154</f>
        <v>20149.857635246513</v>
      </c>
      <c r="W165" s="4">
        <f>$W$4*'NIFTY MEMBS'!X154</f>
        <v>22379.746835443038</v>
      </c>
      <c r="X165" s="4">
        <f>$X$4*'NIFTY MEMBS'!Y154</f>
        <v>21980.799212275375</v>
      </c>
      <c r="Y165" s="4">
        <f>$Y$4*'NIFTY MEMBS'!Z154</f>
        <v>19733.277062671448</v>
      </c>
      <c r="Z165" s="4">
        <f>$Z$4*'NIFTY MEMBS'!AA154</f>
        <v>26124.532153793811</v>
      </c>
      <c r="AA165" s="4">
        <f>$AA$4*'NIFTY MEMBS'!AB154</f>
        <v>23252.52636810426</v>
      </c>
      <c r="AB165" s="4">
        <f>$AB$4*'NIFTY MEMBS'!AC154</f>
        <v>16091.908091908092</v>
      </c>
      <c r="AC165" s="4">
        <f>$AC$4*'NIFTY MEMBS'!AD154</f>
        <v>18353.737113402065</v>
      </c>
      <c r="AD165" s="4">
        <f>$AD$4*'NIFTY MEMBS'!AE154</f>
        <v>17450.784117450785</v>
      </c>
      <c r="AE165" s="4">
        <f>$AE$4*'NIFTY MEMBS'!AF154</f>
        <v>18934.735228332313</v>
      </c>
      <c r="AF165" s="4">
        <f>$AF$4*'NIFTY MEMBS'!AG154</f>
        <v>21600.676892369771</v>
      </c>
      <c r="AG165" s="4">
        <f>$AG$4*'NIFTY MEMBS'!AH154</f>
        <v>19798.136645962735</v>
      </c>
      <c r="AH165" s="4">
        <f>$AH$4*'NIFTY MEMBS'!AI154</f>
        <v>20375.799819291551</v>
      </c>
      <c r="AI165" s="4">
        <f>$AI$4*'NIFTY MEMBS'!AJ154</f>
        <v>23185.607722685389</v>
      </c>
      <c r="AJ165" s="4">
        <f>$AJ$4*'NIFTY MEMBS'!AK154</f>
        <v>21530.629003120383</v>
      </c>
      <c r="AK165" s="4">
        <f>$AK$4*'NIFTY MEMBS'!AL154</f>
        <v>22594.025755993694</v>
      </c>
      <c r="AL165" s="4">
        <f>$AL$4*'NIFTY MEMBS'!AM154</f>
        <v>23218.635498331729</v>
      </c>
      <c r="AM165" s="4">
        <f>$AM$4*'NIFTY MEMBS'!AN154</f>
        <v>15403.116842693529</v>
      </c>
      <c r="AN165" s="4">
        <f>$AN$4*'NIFTY MEMBS'!AO154</f>
        <v>26435.304198800339</v>
      </c>
      <c r="AO165" s="4">
        <f>$AO$4*'NIFTY MEMBS'!AP154</f>
        <v>24781.27025275437</v>
      </c>
      <c r="AP165" s="4">
        <f>$AP$4*'NIFTY MEMBS'!AQ154</f>
        <v>22694.999578379287</v>
      </c>
      <c r="AQ165" s="4">
        <f>$AQ$4*'NIFTY MEMBS'!AR154</f>
        <v>17385.333215952109</v>
      </c>
      <c r="AR165" s="4">
        <f>$AR$4*'NIFTY MEMBS'!AS154</f>
        <v>19682.165979988229</v>
      </c>
      <c r="AS165" s="4">
        <f>$AS$4*'NIFTY MEMBS'!AT154</f>
        <v>19699.714369067729</v>
      </c>
      <c r="AT165" s="4">
        <f>$AT$4*'NIFTY MEMBS'!AU154</f>
        <v>21160.468024600414</v>
      </c>
      <c r="AU165" s="4">
        <f>$AU$4*'NIFTY MEMBS'!AV154</f>
        <v>23016.407693143537</v>
      </c>
      <c r="AV165" s="4">
        <f>$AV$4*'NIFTY MEMBS'!AW154</f>
        <v>17815.92403214025</v>
      </c>
      <c r="AW165" s="4">
        <f>$AW$4*'NIFTY MEMBS'!AX154</f>
        <v>21806.01527118907</v>
      </c>
      <c r="AX165" s="4">
        <f>$AX$4*'NIFTY MEMBS'!AY154</f>
        <v>16159.480090777803</v>
      </c>
      <c r="AY165" s="4">
        <f t="shared" si="12"/>
        <v>1014741.1804184738</v>
      </c>
      <c r="AZ165" s="4">
        <f t="shared" si="13"/>
        <v>103.54501841004836</v>
      </c>
    </row>
    <row r="166" spans="1:52" ht="14.25" customHeight="1" x14ac:dyDescent="0.3">
      <c r="A166" s="2">
        <v>45881</v>
      </c>
      <c r="B166" s="4">
        <f>$B$4*'NIFTY MEMBS'!C155</f>
        <v>22606.345957011261</v>
      </c>
      <c r="C166" s="4">
        <f>$C$4*'NIFTY MEMBS'!D155</f>
        <v>22099.441315712716</v>
      </c>
      <c r="D166" s="4">
        <f>$D$4*'NIFTY MEMBS'!E155</f>
        <v>23191.076016795134</v>
      </c>
      <c r="E166" s="4">
        <f>$E$4*'NIFTY MEMBS'!F155</f>
        <v>14762.003185449064</v>
      </c>
      <c r="F166" s="4">
        <f>$F$4*'NIFTY MEMBS'!G155</f>
        <v>22155.572001713863</v>
      </c>
      <c r="G166" s="4">
        <f>$G$4*'NIFTY MEMBS'!H155</f>
        <v>20690.87241553202</v>
      </c>
      <c r="H166" s="4">
        <f>$H$4*'NIFTY MEMBS'!I155</f>
        <v>15129.880478087647</v>
      </c>
      <c r="I166" s="4">
        <f>$I$4*'NIFTY MEMBS'!J155</f>
        <v>21392.704879204171</v>
      </c>
      <c r="J166" s="4">
        <f>$J$4*'NIFTY MEMBS'!K155</f>
        <v>24598.791688895937</v>
      </c>
      <c r="K166" s="4">
        <f>$K$4*'NIFTY MEMBS'!L155</f>
        <v>18188.370975492551</v>
      </c>
      <c r="L166" s="4">
        <f>$L$4*'NIFTY MEMBS'!M155</f>
        <v>20101.431492842534</v>
      </c>
      <c r="M166" s="4">
        <f>$M$4*'NIFTY MEMBS'!N155</f>
        <v>22911.592302133242</v>
      </c>
      <c r="N166" s="4">
        <f>$N$4*'NIFTY MEMBS'!O155</f>
        <v>21002.595717066837</v>
      </c>
      <c r="O166" s="4">
        <f>$O$4*'NIFTY MEMBS'!P155</f>
        <v>21907.850592708564</v>
      </c>
      <c r="P166" s="4">
        <f>$P$4*'NIFTY MEMBS'!Q155</f>
        <v>15681.372420826903</v>
      </c>
      <c r="Q166" s="4">
        <f>$Q$4*'NIFTY MEMBS'!R155</f>
        <v>17166.591708775362</v>
      </c>
      <c r="R166" s="4">
        <f>$R$4*'NIFTY MEMBS'!S155</f>
        <v>21750.677033283828</v>
      </c>
      <c r="S166" s="4">
        <f>$S$4*'NIFTY MEMBS'!T155</f>
        <v>19966.411643963427</v>
      </c>
      <c r="T166" s="4">
        <f>$T$4*'NIFTY MEMBS'!U155</f>
        <v>24207.054047196139</v>
      </c>
      <c r="U166" s="4">
        <f>$U$4*'NIFTY MEMBS'!V155</f>
        <v>21431.842279146244</v>
      </c>
      <c r="V166" s="4">
        <f>$V$4*'NIFTY MEMBS'!W155</f>
        <v>20386.632698936013</v>
      </c>
      <c r="W166" s="4">
        <f>$W$4*'NIFTY MEMBS'!X155</f>
        <v>22126.582278481012</v>
      </c>
      <c r="X166" s="4">
        <f>$X$4*'NIFTY MEMBS'!Y155</f>
        <v>21834.741938130792</v>
      </c>
      <c r="Y166" s="4">
        <f>$Y$4*'NIFTY MEMBS'!Z155</f>
        <v>19879.299430259551</v>
      </c>
      <c r="Z166" s="4">
        <f>$Z$4*'NIFTY MEMBS'!AA155</f>
        <v>25882.95338550528</v>
      </c>
      <c r="AA166" s="4">
        <f>$AA$4*'NIFTY MEMBS'!AB155</f>
        <v>23153.12827875642</v>
      </c>
      <c r="AB166" s="4">
        <f>$AB$4*'NIFTY MEMBS'!AC155</f>
        <v>16098.568098568097</v>
      </c>
      <c r="AC166" s="4">
        <f>$AC$4*'NIFTY MEMBS'!AD155</f>
        <v>18340.850515463917</v>
      </c>
      <c r="AD166" s="4">
        <f>$AD$4*'NIFTY MEMBS'!AE155</f>
        <v>17460.126793460127</v>
      </c>
      <c r="AE166" s="4">
        <f>$AE$4*'NIFTY MEMBS'!AF155</f>
        <v>18755.112664534841</v>
      </c>
      <c r="AF166" s="4">
        <f>$AF$4*'NIFTY MEMBS'!AG155</f>
        <v>21506.95333347797</v>
      </c>
      <c r="AG166" s="4">
        <f>$AG$4*'NIFTY MEMBS'!AH155</f>
        <v>19945.652173913044</v>
      </c>
      <c r="AH166" s="4">
        <f>$AH$4*'NIFTY MEMBS'!AI155</f>
        <v>20119.488853238923</v>
      </c>
      <c r="AI166" s="4">
        <f>$AI$4*'NIFTY MEMBS'!AJ155</f>
        <v>23425.479011262247</v>
      </c>
      <c r="AJ166" s="4">
        <f>$AJ$4*'NIFTY MEMBS'!AK155</f>
        <v>21481.359829200199</v>
      </c>
      <c r="AK166" s="4">
        <f>$AK$4*'NIFTY MEMBS'!AL155</f>
        <v>22442.519910734394</v>
      </c>
      <c r="AL166" s="4">
        <f>$AL$4*'NIFTY MEMBS'!AM155</f>
        <v>23163.367653982354</v>
      </c>
      <c r="AM166" s="4">
        <f>$AM$4*'NIFTY MEMBS'!AN155</f>
        <v>15182.405331031898</v>
      </c>
      <c r="AN166" s="4">
        <f>$AN$4*'NIFTY MEMBS'!AO155</f>
        <v>26249.642959154524</v>
      </c>
      <c r="AO166" s="4">
        <f>$AO$4*'NIFTY MEMBS'!AP155</f>
        <v>24828.25664290343</v>
      </c>
      <c r="AP166" s="4">
        <f>$AP$4*'NIFTY MEMBS'!AQ155</f>
        <v>22499.367568934984</v>
      </c>
      <c r="AQ166" s="4">
        <f>$AQ$4*'NIFTY MEMBS'!AR155</f>
        <v>17716.348270094197</v>
      </c>
      <c r="AR166" s="4">
        <f>$AR$4*'NIFTY MEMBS'!AS155</f>
        <v>19901.903080243279</v>
      </c>
      <c r="AS166" s="4">
        <f>$AS$4*'NIFTY MEMBS'!AT155</f>
        <v>19638.653124639568</v>
      </c>
      <c r="AT166" s="4">
        <f>$AT$4*'NIFTY MEMBS'!AU155</f>
        <v>20965.172254295649</v>
      </c>
      <c r="AU166" s="4">
        <f>$AU$4*'NIFTY MEMBS'!AV155</f>
        <v>22749.103553189176</v>
      </c>
      <c r="AV166" s="4">
        <f>$AV$4*'NIFTY MEMBS'!AW155</f>
        <v>17827.611395178963</v>
      </c>
      <c r="AW166" s="4">
        <f>$AW$4*'NIFTY MEMBS'!AX155</f>
        <v>22202.731607059635</v>
      </c>
      <c r="AX166" s="4">
        <f>$AX$4*'NIFTY MEMBS'!AY155</f>
        <v>16155.353827109553</v>
      </c>
      <c r="AY166" s="4">
        <f t="shared" si="12"/>
        <v>1012861.8446135777</v>
      </c>
      <c r="AZ166" s="4">
        <f t="shared" si="13"/>
        <v>103.35324945036508</v>
      </c>
    </row>
    <row r="167" spans="1:52" ht="14.25" customHeight="1" x14ac:dyDescent="0.3">
      <c r="A167" s="2">
        <v>45882</v>
      </c>
      <c r="B167" s="4">
        <f>$B$4*'NIFTY MEMBS'!C156</f>
        <v>22642.374616171954</v>
      </c>
      <c r="C167" s="4">
        <f>$C$4*'NIFTY MEMBS'!D156</f>
        <v>22216.114339563374</v>
      </c>
      <c r="D167" s="4">
        <f>$D$4*'NIFTY MEMBS'!E156</f>
        <v>23405.40201792317</v>
      </c>
      <c r="E167" s="4">
        <f>$E$4*'NIFTY MEMBS'!F156</f>
        <v>14765.893810259091</v>
      </c>
      <c r="F167" s="4">
        <f>$F$4*'NIFTY MEMBS'!G156</f>
        <v>22136.875316480346</v>
      </c>
      <c r="G167" s="4">
        <f>$G$4*'NIFTY MEMBS'!H156</f>
        <v>20722.390317700454</v>
      </c>
      <c r="H167" s="4">
        <f>$H$4*'NIFTY MEMBS'!I156</f>
        <v>15156.440903054447</v>
      </c>
      <c r="I167" s="4">
        <f>$I$4*'NIFTY MEMBS'!J156</f>
        <v>21490.030575771932</v>
      </c>
      <c r="J167" s="4">
        <f>$J$4*'NIFTY MEMBS'!K156</f>
        <v>24800.657505803643</v>
      </c>
      <c r="K167" s="4">
        <f>$K$4*'NIFTY MEMBS'!L156</f>
        <v>18090.079070377004</v>
      </c>
      <c r="L167" s="4">
        <f>$L$4*'NIFTY MEMBS'!M156</f>
        <v>20142.876618950238</v>
      </c>
      <c r="M167" s="4">
        <f>$M$4*'NIFTY MEMBS'!N156</f>
        <v>22900.885950590189</v>
      </c>
      <c r="N167" s="4">
        <f>$N$4*'NIFTY MEMBS'!O156</f>
        <v>21299.156391953275</v>
      </c>
      <c r="O167" s="4">
        <f>$O$4*'NIFTY MEMBS'!P156</f>
        <v>22228.807872959067</v>
      </c>
      <c r="P167" s="4">
        <f>$P$4*'NIFTY MEMBS'!Q156</f>
        <v>15702.293470017519</v>
      </c>
      <c r="Q167" s="4">
        <f>$Q$4*'NIFTY MEMBS'!R156</f>
        <v>17352.840022222808</v>
      </c>
      <c r="R167" s="4">
        <f>$R$4*'NIFTY MEMBS'!S156</f>
        <v>21666.812265222328</v>
      </c>
      <c r="S167" s="4">
        <f>$S$4*'NIFTY MEMBS'!T156</f>
        <v>19891.770852771042</v>
      </c>
      <c r="T167" s="4">
        <f>$T$4*'NIFTY MEMBS'!U156</f>
        <v>24288.251712763256</v>
      </c>
      <c r="U167" s="4">
        <f>$U$4*'NIFTY MEMBS'!V156</f>
        <v>21308.910982374728</v>
      </c>
      <c r="V167" s="4">
        <f>$V$4*'NIFTY MEMBS'!W156</f>
        <v>20377.64124082122</v>
      </c>
      <c r="W167" s="4">
        <f>$W$4*'NIFTY MEMBS'!X156</f>
        <v>22593.12839059675</v>
      </c>
      <c r="X167" s="4">
        <f>$X$4*'NIFTY MEMBS'!Y156</f>
        <v>21655.862804627879</v>
      </c>
      <c r="Y167" s="4">
        <f>$Y$4*'NIFTY MEMBS'!Z156</f>
        <v>20145.178307659844</v>
      </c>
      <c r="Z167" s="4">
        <f>$Z$4*'NIFTY MEMBS'!AA156</f>
        <v>26461.381422252471</v>
      </c>
      <c r="AA167" s="4">
        <f>$AA$4*'NIFTY MEMBS'!AB156</f>
        <v>23274.614832403779</v>
      </c>
      <c r="AB167" s="4">
        <f>$AB$4*'NIFTY MEMBS'!AC156</f>
        <v>16093.906093906093</v>
      </c>
      <c r="AC167" s="4">
        <f>$AC$4*'NIFTY MEMBS'!AD156</f>
        <v>18569.587628865982</v>
      </c>
      <c r="AD167" s="4">
        <f>$AD$4*'NIFTY MEMBS'!AE156</f>
        <v>17717.717717717718</v>
      </c>
      <c r="AE167" s="4">
        <f>$AE$4*'NIFTY MEMBS'!AF156</f>
        <v>18874.098311891128</v>
      </c>
      <c r="AF167" s="4">
        <f>$AF$4*'NIFTY MEMBS'!AG156</f>
        <v>21697.003883453017</v>
      </c>
      <c r="AG167" s="4">
        <f>$AG$4*'NIFTY MEMBS'!AH156</f>
        <v>19984.472049689444</v>
      </c>
      <c r="AH167" s="4">
        <f>$AH$4*'NIFTY MEMBS'!AI156</f>
        <v>20226.438752742903</v>
      </c>
      <c r="AI167" s="4">
        <f>$AI$4*'NIFTY MEMBS'!AJ156</f>
        <v>23428.40427087904</v>
      </c>
      <c r="AJ167" s="4">
        <f>$AJ$4*'NIFTY MEMBS'!AK156</f>
        <v>21717.851864017084</v>
      </c>
      <c r="AK167" s="4">
        <f>$AK$4*'NIFTY MEMBS'!AL156</f>
        <v>22487.562189054726</v>
      </c>
      <c r="AL167" s="4">
        <f>$AL$4*'NIFTY MEMBS'!AM156</f>
        <v>23394.673817370476</v>
      </c>
      <c r="AM167" s="4">
        <f>$AM$4*'NIFTY MEMBS'!AN156</f>
        <v>15275.783278273357</v>
      </c>
      <c r="AN167" s="4">
        <f>$AN$4*'NIFTY MEMBS'!AO156</f>
        <v>26282.490716938013</v>
      </c>
      <c r="AO167" s="4">
        <f>$AO$4*'NIFTY MEMBS'!AP156</f>
        <v>25165.262475696691</v>
      </c>
      <c r="AP167" s="4">
        <f>$AP$4*'NIFTY MEMBS'!AQ156</f>
        <v>23627.624588919804</v>
      </c>
      <c r="AQ167" s="4">
        <f>$AQ$4*'NIFTY MEMBS'!AR156</f>
        <v>17681.133902632275</v>
      </c>
      <c r="AR167" s="4">
        <f>$AR$4*'NIFTY MEMBS'!AS156</f>
        <v>20417.238898698582</v>
      </c>
      <c r="AS167" s="4">
        <f>$AS$4*'NIFTY MEMBS'!AT156</f>
        <v>21190.965649657715</v>
      </c>
      <c r="AT167" s="4">
        <f>$AT$4*'NIFTY MEMBS'!AU156</f>
        <v>21217.001010741264</v>
      </c>
      <c r="AU167" s="4">
        <f>$AU$4*'NIFTY MEMBS'!AV156</f>
        <v>22951.211561447351</v>
      </c>
      <c r="AV167" s="4">
        <f>$AV$4*'NIFTY MEMBS'!AW156</f>
        <v>18311.176040905772</v>
      </c>
      <c r="AW167" s="4">
        <f>$AW$4*'NIFTY MEMBS'!AX156</f>
        <v>22793.026395975477</v>
      </c>
      <c r="AX167" s="4">
        <f>$AX$4*'NIFTY MEMBS'!AY156</f>
        <v>15957.293171033631</v>
      </c>
      <c r="AY167" s="4">
        <f t="shared" si="12"/>
        <v>1021778.5958817994</v>
      </c>
      <c r="AZ167" s="4">
        <f t="shared" si="13"/>
        <v>104.26312202875503</v>
      </c>
    </row>
    <row r="168" spans="1:52" ht="14.25" customHeight="1" x14ac:dyDescent="0.3">
      <c r="A168" s="2">
        <v>45883</v>
      </c>
      <c r="B168" s="4">
        <f>$B$4*'NIFTY MEMBS'!C157</f>
        <v>22498.259979529168</v>
      </c>
      <c r="C168" s="4">
        <f>$C$4*'NIFTY MEMBS'!D157</f>
        <v>22337.274787408289</v>
      </c>
      <c r="D168" s="4">
        <f>$D$4*'NIFTY MEMBS'!E157</f>
        <v>23485.617597292723</v>
      </c>
      <c r="E168" s="4">
        <f>$E$4*'NIFTY MEMBS'!F157</f>
        <v>14698.294204184855</v>
      </c>
      <c r="F168" s="4">
        <f>$F$4*'NIFTY MEMBS'!G157</f>
        <v>22238.149028161879</v>
      </c>
      <c r="G168" s="4">
        <f>$G$4*'NIFTY MEMBS'!H157</f>
        <v>20840.897629853753</v>
      </c>
      <c r="H168" s="4">
        <f>$H$4*'NIFTY MEMBS'!I157</f>
        <v>15380.610889774236</v>
      </c>
      <c r="I168" s="4">
        <f>$I$4*'NIFTY MEMBS'!J157</f>
        <v>21365.14361999914</v>
      </c>
      <c r="J168" s="4">
        <f>$J$4*'NIFTY MEMBS'!K157</f>
        <v>24842.472567877383</v>
      </c>
      <c r="K168" s="4">
        <f>$K$4*'NIFTY MEMBS'!L157</f>
        <v>17974.31304879647</v>
      </c>
      <c r="L168" s="4">
        <f>$L$4*'NIFTY MEMBS'!M157</f>
        <v>20051.806407634627</v>
      </c>
      <c r="M168" s="4">
        <f>$M$4*'NIFTY MEMBS'!N157</f>
        <v>23082.893926822089</v>
      </c>
      <c r="N168" s="4">
        <f>$N$4*'NIFTY MEMBS'!O157</f>
        <v>21190.136275146007</v>
      </c>
      <c r="O168" s="4">
        <f>$O$4*'NIFTY MEMBS'!P157</f>
        <v>22122.567658242002</v>
      </c>
      <c r="P168" s="4">
        <f>$P$4*'NIFTY MEMBS'!Q157</f>
        <v>15584.089542090534</v>
      </c>
      <c r="Q168" s="4">
        <f>$Q$4*'NIFTY MEMBS'!R157</f>
        <v>17369.771687081669</v>
      </c>
      <c r="R168" s="4">
        <f>$R$4*'NIFTY MEMBS'!S157</f>
        <v>21520.0489211147</v>
      </c>
      <c r="S168" s="4">
        <f>$S$4*'NIFTY MEMBS'!T157</f>
        <v>19932.823287926854</v>
      </c>
      <c r="T168" s="4">
        <f>$T$4*'NIFTY MEMBS'!U157</f>
        <v>24424.004059883275</v>
      </c>
      <c r="U168" s="4">
        <f>$U$4*'NIFTY MEMBS'!V157</f>
        <v>21447.823347726542</v>
      </c>
      <c r="V168" s="4">
        <f>$V$4*'NIFTY MEMBS'!W157</f>
        <v>20341.675408362058</v>
      </c>
      <c r="W168" s="4">
        <f>$W$4*'NIFTY MEMBS'!X157</f>
        <v>23030.741410488245</v>
      </c>
      <c r="X168" s="4">
        <f>$X$4*'NIFTY MEMBS'!Y157</f>
        <v>21339.131861819969</v>
      </c>
      <c r="Y168" s="4">
        <f>$Y$4*'NIFTY MEMBS'!Z157</f>
        <v>19999.155940071745</v>
      </c>
      <c r="Z168" s="4">
        <f>$Z$4*'NIFTY MEMBS'!AA157</f>
        <v>26192.582511058186</v>
      </c>
      <c r="AA168" s="4">
        <f>$AA$4*'NIFTY MEMBS'!AB157</f>
        <v>23093.489425147716</v>
      </c>
      <c r="AB168" s="4">
        <f>$AB$4*'NIFTY MEMBS'!AC157</f>
        <v>16437.562437562436</v>
      </c>
      <c r="AC168" s="4">
        <f>$AC$4*'NIFTY MEMBS'!AD157</f>
        <v>18601.804123711339</v>
      </c>
      <c r="AD168" s="4">
        <f>$AD$4*'NIFTY MEMBS'!AE157</f>
        <v>17740.407073740407</v>
      </c>
      <c r="AE168" s="4">
        <f>$AE$4*'NIFTY MEMBS'!AF157</f>
        <v>18794.011818478244</v>
      </c>
      <c r="AF168" s="4">
        <f>$AF$4*'NIFTY MEMBS'!AG157</f>
        <v>21944.329941639724</v>
      </c>
      <c r="AG168" s="4">
        <f>$AG$4*'NIFTY MEMBS'!AH157</f>
        <v>19899.068322981366</v>
      </c>
      <c r="AH168" s="4">
        <f>$AH$4*'NIFTY MEMBS'!AI157</f>
        <v>20088.141468901555</v>
      </c>
      <c r="AI168" s="4">
        <f>$AI$4*'NIFTY MEMBS'!AJ157</f>
        <v>22714.640924382038</v>
      </c>
      <c r="AJ168" s="4">
        <f>$AJ$4*'NIFTY MEMBS'!AK157</f>
        <v>21507.636721957631</v>
      </c>
      <c r="AK168" s="4">
        <f>$AK$4*'NIFTY MEMBS'!AL157</f>
        <v>22643.162786888603</v>
      </c>
      <c r="AL168" s="4">
        <f>$AL$4*'NIFTY MEMBS'!AM157</f>
        <v>23597.322579984851</v>
      </c>
      <c r="AM168" s="4">
        <f>$AM$4*'NIFTY MEMBS'!AN157</f>
        <v>15196.553504856362</v>
      </c>
      <c r="AN168" s="4">
        <f>$AN$4*'NIFTY MEMBS'!AO157</f>
        <v>26286.775207083687</v>
      </c>
      <c r="AO168" s="4">
        <f>$AO$4*'NIFTY MEMBS'!AP157</f>
        <v>25558.976020738817</v>
      </c>
      <c r="AP168" s="4">
        <f>$AP$4*'NIFTY MEMBS'!AQ157</f>
        <v>23450.543890715908</v>
      </c>
      <c r="AQ168" s="4">
        <f>$AQ$4*'NIFTY MEMBS'!AR157</f>
        <v>17451.066701881035</v>
      </c>
      <c r="AR168" s="4">
        <f>$AR$4*'NIFTY MEMBS'!AS157</f>
        <v>20456.477666601269</v>
      </c>
      <c r="AS168" s="4">
        <f>$AS$4*'NIFTY MEMBS'!AT157</f>
        <v>21226.245479771766</v>
      </c>
      <c r="AT168" s="4">
        <f>$AT$4*'NIFTY MEMBS'!AU157</f>
        <v>21121.066246381029</v>
      </c>
      <c r="AU168" s="4">
        <f>$AU$4*'NIFTY MEMBS'!AV157</f>
        <v>22844.724546343587</v>
      </c>
      <c r="AV168" s="4">
        <f>$AV$4*'NIFTY MEMBS'!AW157</f>
        <v>18413.440467494522</v>
      </c>
      <c r="AW168" s="4">
        <f>$AW$4*'NIFTY MEMBS'!AX157</f>
        <v>22503.375673641069</v>
      </c>
      <c r="AX168" s="4">
        <f>$AX$4*'NIFTY MEMBS'!AY157</f>
        <v>15880.957293171035</v>
      </c>
      <c r="AY168" s="4">
        <f t="shared" si="12"/>
        <v>1020742.0659224023</v>
      </c>
      <c r="AZ168" s="4">
        <f t="shared" si="13"/>
        <v>104.15735366555126</v>
      </c>
    </row>
    <row r="169" spans="1:52" ht="14.25" customHeight="1" x14ac:dyDescent="0.3">
      <c r="A169" s="2">
        <v>45887</v>
      </c>
      <c r="B169" s="4">
        <f>$B$4*'NIFTY MEMBS'!C158</f>
        <v>22627.635619242577</v>
      </c>
      <c r="C169" s="4">
        <f>$C$4*'NIFTY MEMBS'!D158</f>
        <v>22477.506787228791</v>
      </c>
      <c r="D169" s="4">
        <f>$D$4*'NIFTY MEMBS'!E158</f>
        <v>23717.490756407846</v>
      </c>
      <c r="E169" s="4">
        <f>$E$4*'NIFTY MEMBS'!F158</f>
        <v>14644.311784945714</v>
      </c>
      <c r="F169" s="4">
        <f>$F$4*'NIFTY MEMBS'!G158</f>
        <v>22351.887196665753</v>
      </c>
      <c r="G169" s="4">
        <f>$G$4*'NIFTY MEMBS'!H158</f>
        <v>20868.633383761975</v>
      </c>
      <c r="H169" s="4">
        <f>$H$4*'NIFTY MEMBS'!I158</f>
        <v>15254.18326693227</v>
      </c>
      <c r="I169" s="4">
        <f>$I$4*'NIFTY MEMBS'!J158</f>
        <v>22118.771801386676</v>
      </c>
      <c r="J169" s="4">
        <f>$J$4*'NIFTY MEMBS'!K158</f>
        <v>26104.133923550533</v>
      </c>
      <c r="K169" s="4">
        <f>$K$4*'NIFTY MEMBS'!L158</f>
        <v>17749.333799309774</v>
      </c>
      <c r="L169" s="4">
        <f>$L$4*'NIFTY MEMBS'!M158</f>
        <v>19823.312883435581</v>
      </c>
      <c r="M169" s="4">
        <f>$M$4*'NIFTY MEMBS'!N158</f>
        <v>25102.825584611404</v>
      </c>
      <c r="N169" s="4">
        <f>$N$4*'NIFTY MEMBS'!O158</f>
        <v>21953.926022063595</v>
      </c>
      <c r="O169" s="4">
        <f>$O$4*'NIFTY MEMBS'!P158</f>
        <v>22382.017445761572</v>
      </c>
      <c r="P169" s="4">
        <f>$P$4*'NIFTY MEMBS'!Q158</f>
        <v>15533.879024033055</v>
      </c>
      <c r="Q169" s="4">
        <f>$Q$4*'NIFTY MEMBS'!R158</f>
        <v>17277.705759411623</v>
      </c>
      <c r="R169" s="4">
        <f>$R$4*'NIFTY MEMBS'!S158</f>
        <v>22302.786756355377</v>
      </c>
      <c r="S169" s="4">
        <f>$S$4*'NIFTY MEMBS'!T158</f>
        <v>20201.530136219444</v>
      </c>
      <c r="T169" s="4">
        <f>$T$4*'NIFTY MEMBS'!U158</f>
        <v>25291.804110631816</v>
      </c>
      <c r="U169" s="4">
        <f>$U$4*'NIFTY MEMBS'!V158</f>
        <v>21849.808688169403</v>
      </c>
      <c r="V169" s="4">
        <f>$V$4*'NIFTY MEMBS'!W158</f>
        <v>20143.863329836655</v>
      </c>
      <c r="W169" s="4">
        <f>$W$4*'NIFTY MEMBS'!X158</f>
        <v>22777.576853526221</v>
      </c>
      <c r="X169" s="4">
        <f>$X$4*'NIFTY MEMBS'!Y158</f>
        <v>21780.585870189545</v>
      </c>
      <c r="Y169" s="4">
        <f>$Y$4*'NIFTY MEMBS'!Z158</f>
        <v>20102.131251318846</v>
      </c>
      <c r="Z169" s="4">
        <f>$Z$4*'NIFTY MEMBS'!AA158</f>
        <v>26029.261653623686</v>
      </c>
      <c r="AA169" s="4">
        <f>$AA$4*'NIFTY MEMBS'!AB158</f>
        <v>23851.123750621238</v>
      </c>
      <c r="AB169" s="4">
        <f>$AB$4*'NIFTY MEMBS'!AC158</f>
        <v>16331.002331002332</v>
      </c>
      <c r="AC169" s="4">
        <f>$AC$4*'NIFTY MEMBS'!AD158</f>
        <v>18708.118556701033</v>
      </c>
      <c r="AD169" s="4">
        <f>$AD$4*'NIFTY MEMBS'!AE158</f>
        <v>18044.711378044711</v>
      </c>
      <c r="AE169" s="4">
        <f>$AE$4*'NIFTY MEMBS'!AF158</f>
        <v>19652.081390759162</v>
      </c>
      <c r="AF169" s="4">
        <f>$AF$4*'NIFTY MEMBS'!AG158</f>
        <v>22453.734840431302</v>
      </c>
      <c r="AG169" s="4">
        <f>$AG$4*'NIFTY MEMBS'!AH158</f>
        <v>20072.463768115944</v>
      </c>
      <c r="AH169" s="4">
        <f>$AH$4*'NIFTY MEMBS'!AI158</f>
        <v>21096.789659051097</v>
      </c>
      <c r="AI169" s="4">
        <f>$AI$4*'NIFTY MEMBS'!AJ158</f>
        <v>23103.70045341524</v>
      </c>
      <c r="AJ169" s="4">
        <f>$AJ$4*'NIFTY MEMBS'!AK158</f>
        <v>21635.736574150113</v>
      </c>
      <c r="AK169" s="4">
        <f>$AK$4*'NIFTY MEMBS'!AL158</f>
        <v>23306.51270396986</v>
      </c>
      <c r="AL169" s="4">
        <f>$AL$4*'NIFTY MEMBS'!AM158</f>
        <v>24203.221910629847</v>
      </c>
      <c r="AM169" s="4">
        <f>$AM$4*'NIFTY MEMBS'!AN158</f>
        <v>15616.75426744293</v>
      </c>
      <c r="AN169" s="4">
        <f>$AN$4*'NIFTY MEMBS'!AO158</f>
        <v>26606.683804627246</v>
      </c>
      <c r="AO169" s="4">
        <f>$AO$4*'NIFTY MEMBS'!AP158</f>
        <v>25631.885936487357</v>
      </c>
      <c r="AP169" s="4">
        <f>$AP$4*'NIFTY MEMBS'!AQ158</f>
        <v>24088.034404249935</v>
      </c>
      <c r="AQ169" s="4">
        <f>$AQ$4*'NIFTY MEMBS'!AR158</f>
        <v>17269.125803327759</v>
      </c>
      <c r="AR169" s="4">
        <f>$AR$4*'NIFTY MEMBS'!AS158</f>
        <v>20472.173173762345</v>
      </c>
      <c r="AS169" s="4">
        <f>$AS$4*'NIFTY MEMBS'!AT158</f>
        <v>21228.959312857463</v>
      </c>
      <c r="AT169" s="4">
        <f>$AT$4*'NIFTY MEMBS'!AU158</f>
        <v>21475.682250355469</v>
      </c>
      <c r="AU169" s="4">
        <f>$AU$4*'NIFTY MEMBS'!AV158</f>
        <v>23281.538628708029</v>
      </c>
      <c r="AV169" s="4">
        <f>$AV$4*'NIFTY MEMBS'!AW158</f>
        <v>18447.041636230828</v>
      </c>
      <c r="AW169" s="4">
        <f>$AW$4*'NIFTY MEMBS'!AX158</f>
        <v>23822.099011793944</v>
      </c>
      <c r="AX169" s="4">
        <f>$AX$4*'NIFTY MEMBS'!AY158</f>
        <v>16270.889209820509</v>
      </c>
      <c r="AY169" s="4">
        <f t="shared" si="12"/>
        <v>1037136.9684451757</v>
      </c>
      <c r="AZ169" s="4">
        <f t="shared" si="13"/>
        <v>105.83030290256895</v>
      </c>
    </row>
    <row r="170" spans="1:52" ht="14.25" customHeight="1" x14ac:dyDescent="0.3">
      <c r="A170" s="2">
        <v>45888</v>
      </c>
      <c r="B170" s="4">
        <f>$B$4*'NIFTY MEMBS'!C159</f>
        <v>23256.49948822927</v>
      </c>
      <c r="C170" s="4">
        <f>$C$4*'NIFTY MEMBS'!D159</f>
        <v>22337.274787408289</v>
      </c>
      <c r="D170" s="4">
        <f>$D$4*'NIFTY MEMBS'!E159</f>
        <v>23935.576862818827</v>
      </c>
      <c r="E170" s="4">
        <f>$E$4*'NIFTY MEMBS'!F159</f>
        <v>14668.628190008389</v>
      </c>
      <c r="F170" s="4">
        <f>$F$4*'NIFTY MEMBS'!G159</f>
        <v>22378.374167413232</v>
      </c>
      <c r="G170" s="4">
        <f>$G$4*'NIFTY MEMBS'!H159</f>
        <v>20937.972768532523</v>
      </c>
      <c r="H170" s="4">
        <f>$H$4*'NIFTY MEMBS'!I159</f>
        <v>15298.804780876493</v>
      </c>
      <c r="I170" s="4">
        <f>$I$4*'NIFTY MEMBS'!J159</f>
        <v>22434.864992894367</v>
      </c>
      <c r="J170" s="4">
        <f>$J$4*'NIFTY MEMBS'!K159</f>
        <v>26020.503799403054</v>
      </c>
      <c r="K170" s="4">
        <f>$K$4*'NIFTY MEMBS'!L159</f>
        <v>17871.652614564675</v>
      </c>
      <c r="L170" s="4">
        <f>$L$4*'NIFTY MEMBS'!M159</f>
        <v>19702.794819359235</v>
      </c>
      <c r="M170" s="4">
        <f>$M$4*'NIFTY MEMBS'!N159</f>
        <v>25427.584914750678</v>
      </c>
      <c r="N170" s="4">
        <f>$N$4*'NIFTY MEMBS'!O159</f>
        <v>21765.087605451004</v>
      </c>
      <c r="O170" s="4">
        <f>$O$4*'NIFTY MEMBS'!P159</f>
        <v>22700.738089912771</v>
      </c>
      <c r="P170" s="4">
        <f>$P$4*'NIFTY MEMBS'!Q159</f>
        <v>15440.780355134808</v>
      </c>
      <c r="Q170" s="4">
        <f>$Q$4*'NIFTY MEMBS'!R159</f>
        <v>17213.153787137224</v>
      </c>
      <c r="R170" s="4">
        <f>$R$4*'NIFTY MEMBS'!S159</f>
        <v>22474.010657814273</v>
      </c>
      <c r="S170" s="4">
        <f>$S$4*'NIFTY MEMBS'!T159</f>
        <v>20212.726254898305</v>
      </c>
      <c r="T170" s="4">
        <f>$T$4*'NIFTY MEMBS'!U159</f>
        <v>25021.568129916264</v>
      </c>
      <c r="U170" s="4">
        <f>$U$4*'NIFTY MEMBS'!V159</f>
        <v>21931.558000522458</v>
      </c>
      <c r="V170" s="4">
        <f>$V$4*'NIFTY MEMBS'!W159</f>
        <v>20083.920275738048</v>
      </c>
      <c r="W170" s="4">
        <f>$W$4*'NIFTY MEMBS'!X159</f>
        <v>23251.356238698012</v>
      </c>
      <c r="X170" s="4">
        <f>$X$4*'NIFTY MEMBS'!Y159</f>
        <v>22473.127102650364</v>
      </c>
      <c r="Y170" s="4">
        <f>$Y$4*'NIFTY MEMBS'!Z159</f>
        <v>20083.561932897235</v>
      </c>
      <c r="Z170" s="4">
        <f>$Z$4*'NIFTY MEMBS'!AA159</f>
        <v>25862.538278325967</v>
      </c>
      <c r="AA170" s="4">
        <f>$AA$4*'NIFTY MEMBS'!AB159</f>
        <v>23709.757579104313</v>
      </c>
      <c r="AB170" s="4">
        <f>$AB$4*'NIFTY MEMBS'!AC159</f>
        <v>16447.552447552447</v>
      </c>
      <c r="AC170" s="4">
        <f>$AC$4*'NIFTY MEMBS'!AD159</f>
        <v>18556.701030927838</v>
      </c>
      <c r="AD170" s="4">
        <f>$AD$4*'NIFTY MEMBS'!AE159</f>
        <v>18692.025358692026</v>
      </c>
      <c r="AE170" s="4">
        <f>$AE$4*'NIFTY MEMBS'!AF159</f>
        <v>20125.735794658231</v>
      </c>
      <c r="AF170" s="4">
        <f>$AF$4*'NIFTY MEMBS'!AG159</f>
        <v>22384.309981992927</v>
      </c>
      <c r="AG170" s="4">
        <f>$AG$4*'NIFTY MEMBS'!AH159</f>
        <v>19945.652173913044</v>
      </c>
      <c r="AH170" s="4">
        <f>$AH$4*'NIFTY MEMBS'!AI159</f>
        <v>21415.79539377847</v>
      </c>
      <c r="AI170" s="4">
        <f>$AI$4*'NIFTY MEMBS'!AJ159</f>
        <v>23289.454439081466</v>
      </c>
      <c r="AJ170" s="4">
        <f>$AJ$4*'NIFTY MEMBS'!AK159</f>
        <v>21763.83642634259</v>
      </c>
      <c r="AK170" s="4">
        <f>$AK$4*'NIFTY MEMBS'!AL159</f>
        <v>23162.377413344799</v>
      </c>
      <c r="AL170" s="4">
        <f>$AL$4*'NIFTY MEMBS'!AM159</f>
        <v>24311.710642130471</v>
      </c>
      <c r="AM170" s="4">
        <f>$AM$4*'NIFTY MEMBS'!AN159</f>
        <v>15551.672667850398</v>
      </c>
      <c r="AN170" s="4">
        <f>$AN$4*'NIFTY MEMBS'!AO159</f>
        <v>26479.577263638956</v>
      </c>
      <c r="AO170" s="4">
        <f>$AO$4*'NIFTY MEMBS'!AP159</f>
        <v>25720.998055735574</v>
      </c>
      <c r="AP170" s="4">
        <f>$AP$4*'NIFTY MEMBS'!AQ159</f>
        <v>23836.748461084408</v>
      </c>
      <c r="AQ170" s="4">
        <f>$AQ$4*'NIFTY MEMBS'!AR159</f>
        <v>17568.447926754117</v>
      </c>
      <c r="AR170" s="4">
        <f>$AR$4*'NIFTY MEMBS'!AS159</f>
        <v>20258.97586815774</v>
      </c>
      <c r="AS170" s="4">
        <f>$AS$4*'NIFTY MEMBS'!AT159</f>
        <v>21231.673145943158</v>
      </c>
      <c r="AT170" s="4">
        <f>$AT$4*'NIFTY MEMBS'!AU159</f>
        <v>21460.264163226148</v>
      </c>
      <c r="AU170" s="4">
        <f>$AU$4*'NIFTY MEMBS'!AV159</f>
        <v>23596.653265239594</v>
      </c>
      <c r="AV170" s="4">
        <f>$AV$4*'NIFTY MEMBS'!AW159</f>
        <v>18176.771365960558</v>
      </c>
      <c r="AW170" s="4">
        <f>$AW$4*'NIFTY MEMBS'!AX159</f>
        <v>24463.536750032858</v>
      </c>
      <c r="AX170" s="4">
        <f>$AX$4*'NIFTY MEMBS'!AY159</f>
        <v>16205.900557045597</v>
      </c>
      <c r="AY170" s="4">
        <f t="shared" si="12"/>
        <v>1041140.7870675435</v>
      </c>
      <c r="AZ170" s="4">
        <f t="shared" si="13"/>
        <v>106.23885582321873</v>
      </c>
    </row>
    <row r="171" spans="1:52" ht="14.25" customHeight="1" x14ac:dyDescent="0.3">
      <c r="A171" s="2">
        <v>45889</v>
      </c>
      <c r="B171" s="4">
        <f>$B$4*'NIFTY MEMBS'!C160</f>
        <v>23140.225179119752</v>
      </c>
      <c r="C171" s="4">
        <f>$C$4*'NIFTY MEMBS'!D160</f>
        <v>22304.740963449934</v>
      </c>
      <c r="D171" s="4">
        <f>$D$4*'NIFTY MEMBS'!E160</f>
        <v>24169.956758789245</v>
      </c>
      <c r="E171" s="4">
        <f>$E$4*'NIFTY MEMBS'!F160</f>
        <v>15069.362545441281</v>
      </c>
      <c r="F171" s="4">
        <f>$F$4*'NIFTY MEMBS'!G160</f>
        <v>22289.564912554044</v>
      </c>
      <c r="G171" s="4">
        <f>$G$4*'NIFTY MEMBS'!H160</f>
        <v>20901.412002017147</v>
      </c>
      <c r="H171" s="4">
        <f>$H$4*'NIFTY MEMBS'!I160</f>
        <v>15895.883134130147</v>
      </c>
      <c r="I171" s="4">
        <f>$I$4*'NIFTY MEMBS'!J160</f>
        <v>22994.703070496536</v>
      </c>
      <c r="J171" s="4">
        <f>$J$4*'NIFTY MEMBS'!K160</f>
        <v>25602.353178665664</v>
      </c>
      <c r="K171" s="4">
        <f>$K$4*'NIFTY MEMBS'!L160</f>
        <v>17738.412476519155</v>
      </c>
      <c r="L171" s="4">
        <f>$L$4*'NIFTY MEMBS'!M160</f>
        <v>19589.911383776416</v>
      </c>
      <c r="M171" s="4">
        <f>$M$4*'NIFTY MEMBS'!N160</f>
        <v>25375.837548959254</v>
      </c>
      <c r="N171" s="4">
        <f>$N$4*'NIFTY MEMBS'!O160</f>
        <v>22035.042180402335</v>
      </c>
      <c r="O171" s="4">
        <f>$O$4*'NIFTY MEMBS'!P160</f>
        <v>22562.066651755758</v>
      </c>
      <c r="P171" s="4">
        <f>$P$4*'NIFTY MEMBS'!Q160</f>
        <v>15648.944794581448</v>
      </c>
      <c r="Q171" s="4">
        <f>$Q$4*'NIFTY MEMBS'!R160</f>
        <v>17281.938675626337</v>
      </c>
      <c r="R171" s="4">
        <f>$R$4*'NIFTY MEMBS'!S160</f>
        <v>22493.2296671617</v>
      </c>
      <c r="S171" s="4">
        <f>$S$4*'NIFTY MEMBS'!T160</f>
        <v>20156.745661504014</v>
      </c>
      <c r="T171" s="4">
        <f>$T$4*'NIFTY MEMBS'!U160</f>
        <v>24847.754377061658</v>
      </c>
      <c r="U171" s="4">
        <f>$U$4*'NIFTY MEMBS'!V160</f>
        <v>22096.900594680148</v>
      </c>
      <c r="V171" s="4">
        <f>$V$4*'NIFTY MEMBS'!W160</f>
        <v>20500.524501723365</v>
      </c>
      <c r="W171" s="4">
        <f>$W$4*'NIFTY MEMBS'!X160</f>
        <v>23620.253164556965</v>
      </c>
      <c r="X171" s="4">
        <f>$X$4*'NIFTY MEMBS'!Y160</f>
        <v>22492.820218265359</v>
      </c>
      <c r="Y171" s="4">
        <f>$Y$4*'NIFTY MEMBS'!Z160</f>
        <v>20082.717872968984</v>
      </c>
      <c r="Z171" s="4">
        <f>$Z$4*'NIFTY MEMBS'!AA160</f>
        <v>25304.525348758085</v>
      </c>
      <c r="AA171" s="4">
        <f>$AA$4*'NIFTY MEMBS'!AB160</f>
        <v>23912.97145065989</v>
      </c>
      <c r="AB171" s="4">
        <f>$AB$4*'NIFTY MEMBS'!AC160</f>
        <v>16705.960705960704</v>
      </c>
      <c r="AC171" s="4">
        <f>$AC$4*'NIFTY MEMBS'!AD160</f>
        <v>18582.474226804123</v>
      </c>
      <c r="AD171" s="4">
        <f>$AD$4*'NIFTY MEMBS'!AE160</f>
        <v>18407.741074407742</v>
      </c>
      <c r="AE171" s="4">
        <f>$AE$4*'NIFTY MEMBS'!AF160</f>
        <v>20198.957731492868</v>
      </c>
      <c r="AF171" s="4">
        <f>$AF$4*'NIFTY MEMBS'!AG160</f>
        <v>22303.603584058314</v>
      </c>
      <c r="AG171" s="4">
        <f>$AG$4*'NIFTY MEMBS'!AH160</f>
        <v>19912.0082815735</v>
      </c>
      <c r="AH171" s="4">
        <f>$AH$4*'NIFTY MEMBS'!AI160</f>
        <v>21948.700927513786</v>
      </c>
      <c r="AI171" s="4">
        <f>$AI$4*'NIFTY MEMBS'!AJ160</f>
        <v>23682.901857539851</v>
      </c>
      <c r="AJ171" s="4">
        <f>$AJ$4*'NIFTY MEMBS'!AK160</f>
        <v>21576.613565445889</v>
      </c>
      <c r="AK171" s="4">
        <f>$AK$4*'NIFTY MEMBS'!AL160</f>
        <v>23462.113301803736</v>
      </c>
      <c r="AL171" s="4">
        <f>$AL$4*'NIFTY MEMBS'!AM160</f>
        <v>24307.616727734221</v>
      </c>
      <c r="AM171" s="4">
        <f>$AM$4*'NIFTY MEMBS'!AN160</f>
        <v>15429.998372960012</v>
      </c>
      <c r="AN171" s="4">
        <f>$AN$4*'NIFTY MEMBS'!AO160</f>
        <v>26542.416452442158</v>
      </c>
      <c r="AO171" s="4">
        <f>$AO$4*'NIFTY MEMBS'!AP160</f>
        <v>25811.730395333758</v>
      </c>
      <c r="AP171" s="4">
        <f>$AP$4*'NIFTY MEMBS'!AQ160</f>
        <v>23639.429968800065</v>
      </c>
      <c r="AQ171" s="4">
        <f>$AQ$4*'NIFTY MEMBS'!AR160</f>
        <v>17890.072482906358</v>
      </c>
      <c r="AR171" s="4">
        <f>$AR$4*'NIFTY MEMBS'!AS160</f>
        <v>20222.353018115231</v>
      </c>
      <c r="AS171" s="4">
        <f>$AS$4*'NIFTY MEMBS'!AT160</f>
        <v>21393.146214542074</v>
      </c>
      <c r="AT171" s="4">
        <f>$AT$4*'NIFTY MEMBS'!AU160</f>
        <v>21115.926884004588</v>
      </c>
      <c r="AU171" s="4">
        <f>$AU$4*'NIFTY MEMBS'!AV160</f>
        <v>24020.428121264806</v>
      </c>
      <c r="AV171" s="4">
        <f>$AV$4*'NIFTY MEMBS'!AW160</f>
        <v>18194.30241051863</v>
      </c>
      <c r="AW171" s="4">
        <f>$AW$4*'NIFTY MEMBS'!AX160</f>
        <v>24548.61567507498</v>
      </c>
      <c r="AX171" s="4">
        <f>$AX$4*'NIFTY MEMBS'!AY160</f>
        <v>16055.291933154531</v>
      </c>
      <c r="AY171" s="4">
        <f t="shared" si="12"/>
        <v>1044061.2022270767</v>
      </c>
      <c r="AZ171" s="4">
        <f t="shared" si="13"/>
        <v>106.53685737010987</v>
      </c>
    </row>
    <row r="172" spans="1:52" ht="14.25" customHeight="1" x14ac:dyDescent="0.3">
      <c r="A172" s="2">
        <v>45890</v>
      </c>
      <c r="B172" s="4">
        <f>$B$4*'NIFTY MEMBS'!C161</f>
        <v>23333.469805527122</v>
      </c>
      <c r="C172" s="4">
        <f>$C$4*'NIFTY MEMBS'!D161</f>
        <v>22338.396643406853</v>
      </c>
      <c r="D172" s="4">
        <f>$D$4*'NIFTY MEMBS'!E161</f>
        <v>24188.757285203985</v>
      </c>
      <c r="E172" s="4">
        <f>$E$4*'NIFTY MEMBS'!F161</f>
        <v>15088.815669491421</v>
      </c>
      <c r="F172" s="4">
        <f>$F$4*'NIFTY MEMBS'!G161</f>
        <v>22529.505706384138</v>
      </c>
      <c r="G172" s="4">
        <f>$G$4*'NIFTY MEMBS'!H161</f>
        <v>20819.465456379221</v>
      </c>
      <c r="H172" s="4">
        <f>$H$4*'NIFTY MEMBS'!I161</f>
        <v>15898.007968127491</v>
      </c>
      <c r="I172" s="4">
        <f>$I$4*'NIFTY MEMBS'!J161</f>
        <v>22806.941992162268</v>
      </c>
      <c r="J172" s="4">
        <f>$J$4*'NIFTY MEMBS'!K161</f>
        <v>25827.289374648539</v>
      </c>
      <c r="K172" s="4">
        <f>$K$4*'NIFTY MEMBS'!L161</f>
        <v>17716.569830937922</v>
      </c>
      <c r="L172" s="4">
        <f>$L$4*'NIFTY MEMBS'!M161</f>
        <v>19700.613496932514</v>
      </c>
      <c r="M172" s="4">
        <f>$M$4*'NIFTY MEMBS'!N161</f>
        <v>25481.116672465942</v>
      </c>
      <c r="N172" s="4">
        <f>$N$4*'NIFTY MEMBS'!O161</f>
        <v>21902.011680726799</v>
      </c>
      <c r="O172" s="4">
        <f>$O$4*'NIFTY MEMBS'!P161</f>
        <v>22565.421605904718</v>
      </c>
      <c r="P172" s="4">
        <f>$P$4*'NIFTY MEMBS'!Q161</f>
        <v>15622.793483093177</v>
      </c>
      <c r="Q172" s="4">
        <f>$Q$4*'NIFTY MEMBS'!R161</f>
        <v>1068.8113442154554</v>
      </c>
      <c r="R172" s="4">
        <f>$R$4*'NIFTY MEMBS'!S161</f>
        <v>22486.24093648991</v>
      </c>
      <c r="S172" s="4">
        <f>$S$4*'NIFTY MEMBS'!T161</f>
        <v>20132.487404366489</v>
      </c>
      <c r="T172" s="4">
        <f>$T$4*'NIFTY MEMBS'!U161</f>
        <v>25120.527784826183</v>
      </c>
      <c r="U172" s="4">
        <f>$U$4*'NIFTY MEMBS'!V161</f>
        <v>22227.822425741815</v>
      </c>
      <c r="V172" s="4">
        <f>$V$4*'NIFTY MEMBS'!W161</f>
        <v>20308.706728607824</v>
      </c>
      <c r="W172" s="4">
        <f>$W$4*'NIFTY MEMBS'!X161</f>
        <v>23276.672694394216</v>
      </c>
      <c r="X172" s="4">
        <f>$X$4*'NIFTY MEMBS'!Y161</f>
        <v>22348.404037088698</v>
      </c>
      <c r="Y172" s="4">
        <f>$Y$4*'NIFTY MEMBS'!Z161</f>
        <v>20113.104030386159</v>
      </c>
      <c r="Z172" s="4">
        <f>$Z$4*'NIFTY MEMBS'!AA161</f>
        <v>25464.443688329367</v>
      </c>
      <c r="AA172" s="4">
        <f>$AA$4*'NIFTY MEMBS'!AB161</f>
        <v>23674.41603622508</v>
      </c>
      <c r="AB172" s="4">
        <f>$AB$4*'NIFTY MEMBS'!AC161</f>
        <v>16644.022644022643</v>
      </c>
      <c r="AC172" s="4">
        <f>$AC$4*'NIFTY MEMBS'!AD161</f>
        <v>18298.969072164949</v>
      </c>
      <c r="AD172" s="4">
        <f>$AD$4*'NIFTY MEMBS'!AE161</f>
        <v>18295.628962295628</v>
      </c>
      <c r="AE172" s="4">
        <f>$AE$4*'NIFTY MEMBS'!AF161</f>
        <v>19871.747201263079</v>
      </c>
      <c r="AF172" s="4">
        <f>$AF$4*'NIFTY MEMBS'!AG161</f>
        <v>22273.230208491525</v>
      </c>
      <c r="AG172" s="4">
        <f>$AG$4*'NIFTY MEMBS'!AH161</f>
        <v>19572.981366459626</v>
      </c>
      <c r="AH172" s="4">
        <f>$AH$4*'NIFTY MEMBS'!AI161</f>
        <v>21747.708874997701</v>
      </c>
      <c r="AI172" s="4">
        <f>$AI$4*'NIFTY MEMBS'!AJ161</f>
        <v>23622.93403539564</v>
      </c>
      <c r="AJ172" s="4">
        <f>$AJ$4*'NIFTY MEMBS'!AK161</f>
        <v>21274.429298735427</v>
      </c>
      <c r="AK172" s="4">
        <f>$AK$4*'NIFTY MEMBS'!AL161</f>
        <v>23595.602235734903</v>
      </c>
      <c r="AL172" s="4">
        <f>$AL$4*'NIFTY MEMBS'!AM161</f>
        <v>24461.138517593594</v>
      </c>
      <c r="AM172" s="4">
        <f>$AM$4*'NIFTY MEMBS'!AN161</f>
        <v>15428.583555577565</v>
      </c>
      <c r="AN172" s="4">
        <f>$AN$4*'NIFTY MEMBS'!AO161</f>
        <v>26810.911168237642</v>
      </c>
      <c r="AO172" s="4">
        <f>$AO$4*'NIFTY MEMBS'!AP161</f>
        <v>25776.085547634477</v>
      </c>
      <c r="AP172" s="4">
        <f>$AP$4*'NIFTY MEMBS'!AQ161</f>
        <v>23856.986255164851</v>
      </c>
      <c r="AQ172" s="4">
        <f>$AQ$4*'NIFTY MEMBS'!AR161</f>
        <v>17857.205739941895</v>
      </c>
      <c r="AR172" s="4">
        <f>$AR$4*'NIFTY MEMBS'!AS161</f>
        <v>20833.169838467071</v>
      </c>
      <c r="AS172" s="4">
        <f>$AS$4*'NIFTY MEMBS'!AT161</f>
        <v>21511.197953769853</v>
      </c>
      <c r="AT172" s="4">
        <f>$AT$4*'NIFTY MEMBS'!AU161</f>
        <v>21235.845339454881</v>
      </c>
      <c r="AU172" s="4">
        <f>$AU$4*'NIFTY MEMBS'!AV161</f>
        <v>23646.636966206672</v>
      </c>
      <c r="AV172" s="4">
        <f>$AV$4*'NIFTY MEMBS'!AW161</f>
        <v>18650.109569028486</v>
      </c>
      <c r="AW172" s="4">
        <f>$AW$4*'NIFTY MEMBS'!AX161</f>
        <v>24362.684765853715</v>
      </c>
      <c r="AX172" s="4">
        <f>$AX$4*'NIFTY MEMBS'!AY161</f>
        <v>15833.50526098618</v>
      </c>
      <c r="AY172" s="4">
        <f t="shared" si="12"/>
        <v>1027502.1281595412</v>
      </c>
      <c r="AZ172" s="4">
        <f t="shared" si="13"/>
        <v>104.84715593464706</v>
      </c>
    </row>
    <row r="173" spans="1:52" ht="14.25" customHeight="1" x14ac:dyDescent="0.3">
      <c r="A173" s="2">
        <v>45891</v>
      </c>
      <c r="B173" s="4">
        <f>$B$4*'NIFTY MEMBS'!C162</f>
        <v>23077.993858751281</v>
      </c>
      <c r="C173" s="4">
        <f>$C$4*'NIFTY MEMBS'!D162</f>
        <v>22039.982947788823</v>
      </c>
      <c r="D173" s="4">
        <f>$D$4*'NIFTY MEMBS'!E162</f>
        <v>24231.371811744062</v>
      </c>
      <c r="E173" s="4">
        <f>$E$4*'NIFTY MEMBS'!F162</f>
        <v>14852.460212282216</v>
      </c>
      <c r="F173" s="4">
        <f>$F$4*'NIFTY MEMBS'!G162</f>
        <v>22379.932224516029</v>
      </c>
      <c r="G173" s="4">
        <f>$G$4*'NIFTY MEMBS'!H162</f>
        <v>20581.190115985879</v>
      </c>
      <c r="H173" s="4">
        <f>$H$4*'NIFTY MEMBS'!I162</f>
        <v>15803.452855245683</v>
      </c>
      <c r="I173" s="4">
        <f>$I$4*'NIFTY MEMBS'!J162</f>
        <v>22651.048619783818</v>
      </c>
      <c r="J173" s="4">
        <f>$J$4*'NIFTY MEMBS'!K162</f>
        <v>25795.567603420182</v>
      </c>
      <c r="K173" s="4">
        <f>$K$4*'NIFTY MEMBS'!L162</f>
        <v>17399.851470010046</v>
      </c>
      <c r="L173" s="4">
        <f>$L$4*'NIFTY MEMBS'!M162</f>
        <v>19608.997955010225</v>
      </c>
      <c r="M173" s="4">
        <f>$M$4*'NIFTY MEMBS'!N162</f>
        <v>25604.23971521105</v>
      </c>
      <c r="N173" s="4">
        <f>$N$4*'NIFTY MEMBS'!O162</f>
        <v>22083.062946138871</v>
      </c>
      <c r="O173" s="4">
        <f>$O$4*'NIFTY MEMBS'!P162</f>
        <v>22216.506374412878</v>
      </c>
      <c r="P173" s="4">
        <f>$P$4*'NIFTY MEMBS'!Q162</f>
        <v>15338.267214100786</v>
      </c>
      <c r="Q173" s="4">
        <f>$Q$4*'NIFTY MEMBS'!R162</f>
        <v>17374.00460329638</v>
      </c>
      <c r="R173" s="4">
        <f>$R$4*'NIFTY MEMBS'!S162</f>
        <v>21995.28260679654</v>
      </c>
      <c r="S173" s="4">
        <f>$S$4*'NIFTY MEMBS'!T162</f>
        <v>19983.205821981715</v>
      </c>
      <c r="T173" s="4">
        <f>$T$4*'NIFTY MEMBS'!U162</f>
        <v>24941.639177873636</v>
      </c>
      <c r="U173" s="4">
        <f>$U$4*'NIFTY MEMBS'!V162</f>
        <v>22256.711280483123</v>
      </c>
      <c r="V173" s="4">
        <f>$V$4*'NIFTY MEMBS'!W162</f>
        <v>20200.809231230331</v>
      </c>
      <c r="W173" s="4">
        <f>$W$4*'NIFTY MEMBS'!X162</f>
        <v>23081.374321880656</v>
      </c>
      <c r="X173" s="4">
        <f>$X$4*'NIFTY MEMBS'!Y162</f>
        <v>22010.338885697871</v>
      </c>
      <c r="Y173" s="4">
        <f>$Y$4*'NIFTY MEMBS'!Z162</f>
        <v>19944.292044735175</v>
      </c>
      <c r="Z173" s="4">
        <f>$Z$4*'NIFTY MEMBS'!AA162</f>
        <v>25508.676420551212</v>
      </c>
      <c r="AA173" s="4">
        <f>$AA$4*'NIFTY MEMBS'!AB162</f>
        <v>23294.494450273341</v>
      </c>
      <c r="AB173" s="4">
        <f>$AB$4*'NIFTY MEMBS'!AC162</f>
        <v>16559.440559440558</v>
      </c>
      <c r="AC173" s="4">
        <f>$AC$4*'NIFTY MEMBS'!AD162</f>
        <v>18257.087628865982</v>
      </c>
      <c r="AD173" s="4">
        <f>$AD$4*'NIFTY MEMBS'!AE162</f>
        <v>18159.492826159491</v>
      </c>
      <c r="AE173" s="4">
        <f>$AE$4*'NIFTY MEMBS'!AF162</f>
        <v>19860.306273632668</v>
      </c>
      <c r="AF173" s="4">
        <f>$AF$4*'NIFTY MEMBS'!AG162</f>
        <v>21734.319744863642</v>
      </c>
      <c r="AG173" s="4">
        <f>$AG$4*'NIFTY MEMBS'!AH162</f>
        <v>19381.469979296067</v>
      </c>
      <c r="AH173" s="4">
        <f>$AH$4*'NIFTY MEMBS'!AI162</f>
        <v>21443.454850546739</v>
      </c>
      <c r="AI173" s="4">
        <f>$AI$4*'NIFTY MEMBS'!AJ162</f>
        <v>23189.995612110575</v>
      </c>
      <c r="AJ173" s="4">
        <f>$AJ$4*'NIFTY MEMBS'!AK162</f>
        <v>21060.929545081297</v>
      </c>
      <c r="AK173" s="4">
        <f>$AK$4*'NIFTY MEMBS'!AL162</f>
        <v>23043.629588682103</v>
      </c>
      <c r="AL173" s="4">
        <f>$AL$4*'NIFTY MEMBS'!AM162</f>
        <v>24254.395840582973</v>
      </c>
      <c r="AM173" s="4">
        <f>$AM$4*'NIFTY MEMBS'!AN162</f>
        <v>15330.961156188765</v>
      </c>
      <c r="AN173" s="4">
        <f>$AN$4*'NIFTY MEMBS'!AO162</f>
        <v>26549.557269351611</v>
      </c>
      <c r="AO173" s="4">
        <f>$AO$4*'NIFTY MEMBS'!AP162</f>
        <v>25558.976020738817</v>
      </c>
      <c r="AP173" s="4">
        <f>$AP$4*'NIFTY MEMBS'!AQ162</f>
        <v>23752.424319082551</v>
      </c>
      <c r="AQ173" s="4">
        <f>$AQ$4*'NIFTY MEMBS'!AR162</f>
        <v>17665.874343398773</v>
      </c>
      <c r="AR173" s="4">
        <f>$AR$4*'NIFTY MEMBS'!AS162</f>
        <v>20833.169838467071</v>
      </c>
      <c r="AS173" s="4">
        <f>$AS$4*'NIFTY MEMBS'!AT162</f>
        <v>21500.342621427069</v>
      </c>
      <c r="AT173" s="4">
        <f>$AT$4*'NIFTY MEMBS'!AU162</f>
        <v>21100.508796875267</v>
      </c>
      <c r="AU173" s="4">
        <f>$AU$4*'NIFTY MEMBS'!AV162</f>
        <v>23559.708790611756</v>
      </c>
      <c r="AV173" s="4">
        <f>$AV$4*'NIFTY MEMBS'!AW162</f>
        <v>18664.71877282688</v>
      </c>
      <c r="AW173" s="4">
        <f>$AW$4*'NIFTY MEMBS'!AX162</f>
        <v>23888.537048765036</v>
      </c>
      <c r="AX173" s="4">
        <f>$AX$4*'NIFTY MEMBS'!AY162</f>
        <v>15681.86507117805</v>
      </c>
      <c r="AY173" s="4">
        <f t="shared" si="12"/>
        <v>1035285.9212673752</v>
      </c>
      <c r="AZ173" s="4">
        <f t="shared" si="13"/>
        <v>105.64142053748726</v>
      </c>
    </row>
    <row r="174" spans="1:52" ht="14.25" customHeight="1" x14ac:dyDescent="0.3">
      <c r="A174" s="2">
        <v>45894</v>
      </c>
      <c r="B174" s="4">
        <f>$B$4*'NIFTY MEMBS'!C163</f>
        <v>23133.674513817808</v>
      </c>
      <c r="C174" s="4">
        <f>$C$4*'NIFTY MEMBS'!D163</f>
        <v>22034.373667796001</v>
      </c>
      <c r="D174" s="4">
        <f>$D$4*'NIFTY MEMBS'!E163</f>
        <v>24198.784232625181</v>
      </c>
      <c r="E174" s="4">
        <f>$E$4*'NIFTY MEMBS'!F163</f>
        <v>15273.620347967757</v>
      </c>
      <c r="F174" s="4">
        <f>$F$4*'NIFTY MEMBS'!G163</f>
        <v>22330.074397226657</v>
      </c>
      <c r="G174" s="4">
        <f>$G$4*'NIFTY MEMBS'!H163</f>
        <v>20586.232980332828</v>
      </c>
      <c r="H174" s="4">
        <f>$H$4*'NIFTY MEMBS'!I163</f>
        <v>16277.290836653385</v>
      </c>
      <c r="I174" s="4">
        <f>$I$4*'NIFTY MEMBS'!J163</f>
        <v>22665.69053873649</v>
      </c>
      <c r="J174" s="4">
        <f>$J$4*'NIFTY MEMBS'!K163</f>
        <v>25977.246838637115</v>
      </c>
      <c r="K174" s="4">
        <f>$K$4*'NIFTY MEMBS'!L163</f>
        <v>17445.721025730636</v>
      </c>
      <c r="L174" s="4">
        <f>$L$4*'NIFTY MEMBS'!M163</f>
        <v>19648.807089297887</v>
      </c>
      <c r="M174" s="4">
        <f>$M$4*'NIFTY MEMBS'!N163</f>
        <v>25788.032083366794</v>
      </c>
      <c r="N174" s="4">
        <f>$N$4*'NIFTY MEMBS'!O163</f>
        <v>22056.456846203764</v>
      </c>
      <c r="O174" s="4">
        <f>$O$4*'NIFTY MEMBS'!P163</f>
        <v>22179.60187877432</v>
      </c>
      <c r="P174" s="4">
        <f>$P$4*'NIFTY MEMBS'!Q163</f>
        <v>15734.721096262978</v>
      </c>
      <c r="Q174" s="4">
        <f>$Q$4*'NIFTY MEMBS'!R163</f>
        <v>17531.680732294506</v>
      </c>
      <c r="R174" s="4">
        <f>$R$4*'NIFTY MEMBS'!S163</f>
        <v>22024.984712151654</v>
      </c>
      <c r="S174" s="4">
        <f>$S$4*'NIFTY MEMBS'!T163</f>
        <v>19966.411643963427</v>
      </c>
      <c r="T174" s="4">
        <f>$T$4*'NIFTY MEMBS'!U163</f>
        <v>24914.996193859424</v>
      </c>
      <c r="U174" s="4">
        <f>$U$4*'NIFTY MEMBS'!V163</f>
        <v>22443.566851575826</v>
      </c>
      <c r="V174" s="4">
        <f>$V$4*'NIFTY MEMBS'!W163</f>
        <v>20251.760827214148</v>
      </c>
      <c r="W174" s="4">
        <f>$W$4*'NIFTY MEMBS'!X163</f>
        <v>23092.224231464741</v>
      </c>
      <c r="X174" s="4">
        <f>$X$4*'NIFTY MEMBS'!Y163</f>
        <v>21997.21014195454</v>
      </c>
      <c r="Y174" s="4">
        <f>$Y$4*'NIFTY MEMBS'!Z163</f>
        <v>19983.962861363158</v>
      </c>
      <c r="Z174" s="4">
        <f>$Z$4*'NIFTY MEMBS'!AA163</f>
        <v>25318.135420210961</v>
      </c>
      <c r="AA174" s="4">
        <f>$AA$4*'NIFTY MEMBS'!AB163</f>
        <v>23365.177536031806</v>
      </c>
      <c r="AB174" s="4">
        <f>$AB$4*'NIFTY MEMBS'!AC163</f>
        <v>16905.760905760904</v>
      </c>
      <c r="AC174" s="4">
        <f>$AC$4*'NIFTY MEMBS'!AD163</f>
        <v>18308.634020618556</v>
      </c>
      <c r="AD174" s="4">
        <f>$AD$4*'NIFTY MEMBS'!AE163</f>
        <v>18332.999666332998</v>
      </c>
      <c r="AE174" s="4">
        <f>$AE$4*'NIFTY MEMBS'!AF163</f>
        <v>20022.767445984522</v>
      </c>
      <c r="AF174" s="4">
        <f>$AF$4*'NIFTY MEMBS'!AG163</f>
        <v>21633.653700128001</v>
      </c>
      <c r="AG174" s="4">
        <f>$AG$4*'NIFTY MEMBS'!AH163</f>
        <v>19668.737060041407</v>
      </c>
      <c r="AH174" s="4">
        <f>$AH$4*'NIFTY MEMBS'!AI163</f>
        <v>21260.902435876164</v>
      </c>
      <c r="AI174" s="4">
        <f>$AI$4*'NIFTY MEMBS'!AJ163</f>
        <v>23347.959631417285</v>
      </c>
      <c r="AJ174" s="4">
        <f>$AJ$4*'NIFTY MEMBS'!AK163</f>
        <v>21001.806536377077</v>
      </c>
      <c r="AK174" s="4">
        <f>$AK$4*'NIFTY MEMBS'!AL163</f>
        <v>23023.974776324139</v>
      </c>
      <c r="AL174" s="4">
        <f>$AL$4*'NIFTY MEMBS'!AM163</f>
        <v>24524.594190735468</v>
      </c>
      <c r="AM174" s="4">
        <f>$AM$4*'NIFTY MEMBS'!AN163</f>
        <v>15345.109330013229</v>
      </c>
      <c r="AN174" s="4">
        <f>$AN$4*'NIFTY MEMBS'!AO163</f>
        <v>26375.321336760921</v>
      </c>
      <c r="AO174" s="4">
        <f>$AO$4*'NIFTY MEMBS'!AP163</f>
        <v>25502.268308489951</v>
      </c>
      <c r="AP174" s="4">
        <f>$AP$4*'NIFTY MEMBS'!AQ163</f>
        <v>24145.374820811197</v>
      </c>
      <c r="AQ174" s="4">
        <f>$AQ$4*'NIFTY MEMBS'!AR163</f>
        <v>17925.286850368284</v>
      </c>
      <c r="AR174" s="4">
        <f>$AR$4*'NIFTY MEMBS'!AS163</f>
        <v>20943.038388594599</v>
      </c>
      <c r="AS174" s="4">
        <f>$AS$4*'NIFTY MEMBS'!AT163</f>
        <v>21306.303555799801</v>
      </c>
      <c r="AT174" s="4">
        <f>$AT$4*'NIFTY MEMBS'!AU163</f>
        <v>21271.820876089972</v>
      </c>
      <c r="AU174" s="4">
        <f>$AU$4*'NIFTY MEMBS'!AV163</f>
        <v>23505.378680864935</v>
      </c>
      <c r="AV174" s="4">
        <f>$AV$4*'NIFTY MEMBS'!AW163</f>
        <v>18756.75675675676</v>
      </c>
      <c r="AW174" s="4">
        <f>$AW$4*'NIFTY MEMBS'!AX163</f>
        <v>24203.520260016488</v>
      </c>
      <c r="AX174" s="4">
        <f>$AX$4*'NIFTY MEMBS'!AY163</f>
        <v>15903.651743346401</v>
      </c>
      <c r="AY174" s="4">
        <f t="shared" si="12"/>
        <v>1039436.0608030226</v>
      </c>
      <c r="AZ174" s="4">
        <f t="shared" si="13"/>
        <v>106.06490416357373</v>
      </c>
    </row>
    <row r="175" spans="1:52" ht="14.25" customHeight="1" x14ac:dyDescent="0.3">
      <c r="A175" s="2">
        <v>45895</v>
      </c>
      <c r="B175" s="4">
        <f>$B$4*'NIFTY MEMBS'!C164</f>
        <v>22680.040941658139</v>
      </c>
      <c r="C175" s="4">
        <f>$C$4*'NIFTY MEMBS'!D164</f>
        <v>21840.292580044428</v>
      </c>
      <c r="D175" s="4">
        <f>$D$4*'NIFTY MEMBS'!E164</f>
        <v>23872.908441436361</v>
      </c>
      <c r="E175" s="4">
        <f>$E$4*'NIFTY MEMBS'!F164</f>
        <v>15354.350812775838</v>
      </c>
      <c r="F175" s="4">
        <f>$F$4*'NIFTY MEMBS'!G164</f>
        <v>22071.436918163046</v>
      </c>
      <c r="G175" s="4">
        <f>$G$4*'NIFTY MEMBS'!H164</f>
        <v>20369.389813414018</v>
      </c>
      <c r="H175" s="4">
        <f>$H$4*'NIFTY MEMBS'!I164</f>
        <v>16250.730411686585</v>
      </c>
      <c r="I175" s="4">
        <f>$I$4*'NIFTY MEMBS'!J164</f>
        <v>23191.077042332374</v>
      </c>
      <c r="J175" s="4">
        <f>$J$4*'NIFTY MEMBS'!K164</f>
        <v>25269.274580767957</v>
      </c>
      <c r="K175" s="4">
        <f>$K$4*'NIFTY MEMBS'!L164</f>
        <v>17620.462190380498</v>
      </c>
      <c r="L175" s="4">
        <f>$L$4*'NIFTY MEMBS'!M164</f>
        <v>19311.792774369464</v>
      </c>
      <c r="M175" s="4">
        <f>$M$4*'NIFTY MEMBS'!N164</f>
        <v>26255.542767413437</v>
      </c>
      <c r="N175" s="4">
        <f>$N$4*'NIFTY MEMBS'!O164</f>
        <v>21614.536015574304</v>
      </c>
      <c r="O175" s="4">
        <f>$O$4*'NIFTY MEMBS'!P164</f>
        <v>21982.777902035337</v>
      </c>
      <c r="P175" s="4">
        <f>$P$4*'NIFTY MEMBS'!Q164</f>
        <v>15615.47111587646</v>
      </c>
      <c r="Q175" s="4">
        <f>$Q$4*'NIFTY MEMBS'!R164</f>
        <v>16934.839546019735</v>
      </c>
      <c r="R175" s="4">
        <f>$R$4*'NIFTY MEMBS'!S164</f>
        <v>22031.973442823448</v>
      </c>
      <c r="S175" s="4">
        <f>$S$4*'NIFTY MEMBS'!T164</f>
        <v>19595.073707781303</v>
      </c>
      <c r="T175" s="4">
        <f>$T$4*'NIFTY MEMBS'!U164</f>
        <v>24412.585638162902</v>
      </c>
      <c r="U175" s="4">
        <f>$U$4*'NIFTY MEMBS'!V164</f>
        <v>22090.754029841573</v>
      </c>
      <c r="V175" s="4">
        <f>$V$4*'NIFTY MEMBS'!W164</f>
        <v>19973.025625655628</v>
      </c>
      <c r="W175" s="4">
        <f>$W$4*'NIFTY MEMBS'!X164</f>
        <v>22994.575045207956</v>
      </c>
      <c r="X175" s="4">
        <f>$X$4*'NIFTY MEMBS'!Y164</f>
        <v>21586.936899975382</v>
      </c>
      <c r="Y175" s="4">
        <f>$Y$4*'NIFTY MEMBS'!Z164</f>
        <v>19767.039459801646</v>
      </c>
      <c r="Z175" s="4">
        <f>$Z$4*'NIFTY MEMBS'!AA164</f>
        <v>24896.223205171831</v>
      </c>
      <c r="AA175" s="4">
        <f>$AA$4*'NIFTY MEMBS'!AB164</f>
        <v>23128.830968026945</v>
      </c>
      <c r="AB175" s="4">
        <f>$AB$4*'NIFTY MEMBS'!AC164</f>
        <v>16785.214785214786</v>
      </c>
      <c r="AC175" s="4">
        <f>$AC$4*'NIFTY MEMBS'!AD164</f>
        <v>18034.793814432989</v>
      </c>
      <c r="AD175" s="4">
        <f>$AD$4*'NIFTY MEMBS'!AE164</f>
        <v>18195.528862195526</v>
      </c>
      <c r="AE175" s="4">
        <f>$AE$4*'NIFTY MEMBS'!AF164</f>
        <v>19887.764499945657</v>
      </c>
      <c r="AF175" s="4">
        <f>$AF$4*'NIFTY MEMBS'!AG164</f>
        <v>21533.855466122837</v>
      </c>
      <c r="AG175" s="4">
        <f>$AG$4*'NIFTY MEMBS'!AH164</f>
        <v>19277.950310559005</v>
      </c>
      <c r="AH175" s="4">
        <f>$AH$4*'NIFTY MEMBS'!AI164</f>
        <v>21430.54710405488</v>
      </c>
      <c r="AI175" s="4">
        <f>$AI$4*'NIFTY MEMBS'!AJ164</f>
        <v>22675.149919555359</v>
      </c>
      <c r="AJ175" s="4">
        <f>$AJ$4*'NIFTY MEMBS'!AK164</f>
        <v>20742.32222039744</v>
      </c>
      <c r="AK175" s="4">
        <f>$AK$4*'NIFTY MEMBS'!AL164</f>
        <v>22899.494298057038</v>
      </c>
      <c r="AL175" s="4">
        <f>$AL$4*'NIFTY MEMBS'!AM164</f>
        <v>25181.667451333589</v>
      </c>
      <c r="AM175" s="4">
        <f>$AM$4*'NIFTY MEMBS'!AN164</f>
        <v>14982.916080106961</v>
      </c>
      <c r="AN175" s="4">
        <f>$AN$4*'NIFTY MEMBS'!AO164</f>
        <v>25944.015995429872</v>
      </c>
      <c r="AO175" s="4">
        <f>$AO$4*'NIFTY MEMBS'!AP164</f>
        <v>25165.262475696691</v>
      </c>
      <c r="AP175" s="4">
        <f>$AP$4*'NIFTY MEMBS'!AQ164</f>
        <v>23803.018804283667</v>
      </c>
      <c r="AQ175" s="4">
        <f>$AQ$4*'NIFTY MEMBS'!AR164</f>
        <v>17633.00760043431</v>
      </c>
      <c r="AR175" s="4">
        <f>$AR$4*'NIFTY MEMBS'!AS164</f>
        <v>20663.135177555425</v>
      </c>
      <c r="AS175" s="4">
        <f>$AS$4*'NIFTY MEMBS'!AT164</f>
        <v>21150.258153372277</v>
      </c>
      <c r="AT175" s="4">
        <f>$AT$4*'NIFTY MEMBS'!AU164</f>
        <v>20375.858701797064</v>
      </c>
      <c r="AU175" s="4">
        <f>$AU$4*'NIFTY MEMBS'!AV164</f>
        <v>23468.4342062371</v>
      </c>
      <c r="AV175" s="4">
        <f>$AV$4*'NIFTY MEMBS'!AW164</f>
        <v>18454.346238130023</v>
      </c>
      <c r="AW175" s="4">
        <f>$AW$4*'NIFTY MEMBS'!AX164</f>
        <v>24249.405522960551</v>
      </c>
      <c r="AX175" s="4">
        <f>$AX$4*'NIFTY MEMBS'!AY164</f>
        <v>15605.529193315453</v>
      </c>
      <c r="AY175" s="4">
        <f t="shared" si="12"/>
        <v>1028851.4187575852</v>
      </c>
      <c r="AZ175" s="4">
        <f t="shared" si="13"/>
        <v>104.98483864873319</v>
      </c>
    </row>
    <row r="176" spans="1:52" ht="14.25" customHeight="1" x14ac:dyDescent="0.3">
      <c r="A176" s="2">
        <v>45897</v>
      </c>
      <c r="B176" s="4">
        <f>$B$4*'NIFTY MEMBS'!C165</f>
        <v>22696.417604913</v>
      </c>
      <c r="C176" s="4">
        <f>$C$4*'NIFTY MEMBS'!D165</f>
        <v>21490.27350849245</v>
      </c>
      <c r="D176" s="4">
        <f>$D$4*'NIFTY MEMBS'!E165</f>
        <v>23577.113492511122</v>
      </c>
      <c r="E176" s="4">
        <f>$E$4*'NIFTY MEMBS'!F165</f>
        <v>15045.53246847986</v>
      </c>
      <c r="F176" s="4">
        <f>$F$4*'NIFTY MEMBS'!G165</f>
        <v>21798.776925174305</v>
      </c>
      <c r="G176" s="4">
        <f>$G$4*'NIFTY MEMBS'!H165</f>
        <v>20220.625315179022</v>
      </c>
      <c r="H176" s="4">
        <f>$H$4*'NIFTY MEMBS'!I165</f>
        <v>15937.317397078352</v>
      </c>
      <c r="I176" s="4">
        <f>$I$4*'NIFTY MEMBS'!J165</f>
        <v>22862.064510572331</v>
      </c>
      <c r="J176" s="4">
        <f>$J$4*'NIFTY MEMBS'!K165</f>
        <v>25286.577365074329</v>
      </c>
      <c r="K176" s="4">
        <f>$K$4*'NIFTY MEMBS'!L165</f>
        <v>17513.433227032456</v>
      </c>
      <c r="L176" s="4">
        <f>$L$4*'NIFTY MEMBS'!M165</f>
        <v>19414.314928425356</v>
      </c>
      <c r="M176" s="4">
        <f>$M$4*'NIFTY MEMBS'!N165</f>
        <v>26323.349660519438</v>
      </c>
      <c r="N176" s="4">
        <f>$N$4*'NIFTY MEMBS'!O165</f>
        <v>21384.16612589228</v>
      </c>
      <c r="O176" s="4">
        <f>$O$4*'NIFTY MEMBS'!P165</f>
        <v>21747.931111608141</v>
      </c>
      <c r="P176" s="4">
        <f>$P$4*'NIFTY MEMBS'!Q165</f>
        <v>15165.668558278197</v>
      </c>
      <c r="Q176" s="4">
        <f>$Q$4*'NIFTY MEMBS'!R165</f>
        <v>16780.338104182651</v>
      </c>
      <c r="R176" s="4">
        <f>$R$4*'NIFTY MEMBS'!S165</f>
        <v>21876.474185376079</v>
      </c>
      <c r="S176" s="4">
        <f>$S$4*'NIFTY MEMBS'!T165</f>
        <v>19628.662063817879</v>
      </c>
      <c r="T176" s="4">
        <f>$T$4*'NIFTY MEMBS'!U165</f>
        <v>24328.850545546811</v>
      </c>
      <c r="U176" s="4">
        <f>$U$4*'NIFTY MEMBS'!V165</f>
        <v>22359.358913287339</v>
      </c>
      <c r="V176" s="4">
        <f>$V$4*'NIFTY MEMBS'!W165</f>
        <v>19829.162295818973</v>
      </c>
      <c r="W176" s="4">
        <f>$W$4*'NIFTY MEMBS'!X165</f>
        <v>22820.97649186257</v>
      </c>
      <c r="X176" s="4">
        <f>$X$4*'NIFTY MEMBS'!Y165</f>
        <v>21586.936899975382</v>
      </c>
      <c r="Y176" s="4">
        <f>$Y$4*'NIFTY MEMBS'!Z165</f>
        <v>19699.514665541254</v>
      </c>
      <c r="Z176" s="4">
        <f>$Z$4*'NIFTY MEMBS'!AA165</f>
        <v>24760.12249064308</v>
      </c>
      <c r="AA176" s="4">
        <f>$AA$4*'NIFTY MEMBS'!AB165</f>
        <v>22879.231321442374</v>
      </c>
      <c r="AB176" s="4">
        <f>$AB$4*'NIFTY MEMBS'!AC165</f>
        <v>16693.306693306695</v>
      </c>
      <c r="AC176" s="4">
        <f>$AC$4*'NIFTY MEMBS'!AD165</f>
        <v>17683.634020618556</v>
      </c>
      <c r="AD176" s="4">
        <f>$AD$4*'NIFTY MEMBS'!AE165</f>
        <v>18030.03003003003</v>
      </c>
      <c r="AE176" s="4">
        <f>$AE$4*'NIFTY MEMBS'!AF165</f>
        <v>19883.188128893493</v>
      </c>
      <c r="AF176" s="4">
        <f>$AF$4*'NIFTY MEMBS'!AG165</f>
        <v>21599.809081639294</v>
      </c>
      <c r="AG176" s="4">
        <f>$AG$4*'NIFTY MEMBS'!AH165</f>
        <v>19373.706004140789</v>
      </c>
      <c r="AH176" s="4">
        <f>$AH$4*'NIFTY MEMBS'!AI165</f>
        <v>21434.235031623983</v>
      </c>
      <c r="AI176" s="4">
        <f>$AI$4*'NIFTY MEMBS'!AJ165</f>
        <v>22470.38174637999</v>
      </c>
      <c r="AJ176" s="4">
        <f>$AJ$4*'NIFTY MEMBS'!AK165</f>
        <v>20371.161110198722</v>
      </c>
      <c r="AK176" s="4">
        <f>$AK$4*'NIFTY MEMBS'!AL165</f>
        <v>22802.039186782138</v>
      </c>
      <c r="AL176" s="4">
        <f>$AL$4*'NIFTY MEMBS'!AM165</f>
        <v>25107.976992201089</v>
      </c>
      <c r="AM176" s="4">
        <f>$AM$4*'NIFTY MEMBS'!AN165</f>
        <v>14814.552811595844</v>
      </c>
      <c r="AN176" s="4">
        <f>$AN$4*'NIFTY MEMBS'!AO165</f>
        <v>25946.872322193656</v>
      </c>
      <c r="AO176" s="4">
        <f>$AO$4*'NIFTY MEMBS'!AP165</f>
        <v>25124.756966947501</v>
      </c>
      <c r="AP176" s="4">
        <f>$AP$4*'NIFTY MEMBS'!AQ165</f>
        <v>23657.981280040472</v>
      </c>
      <c r="AQ176" s="4">
        <f>$AQ$4*'NIFTY MEMBS'!AR165</f>
        <v>17555.535992018074</v>
      </c>
      <c r="AR176" s="4">
        <f>$AR$4*'NIFTY MEMBS'!AS165</f>
        <v>20669.674972205874</v>
      </c>
      <c r="AS176" s="4">
        <f>$AS$4*'NIFTY MEMBS'!AT165</f>
        <v>20972.502086259185</v>
      </c>
      <c r="AT176" s="4">
        <f>$AT$4*'NIFTY MEMBS'!AU165</f>
        <v>19586.110016617269</v>
      </c>
      <c r="AU176" s="4">
        <f>$AU$4*'NIFTY MEMBS'!AV165</f>
        <v>23088.123438009348</v>
      </c>
      <c r="AV176" s="4">
        <f>$AV$4*'NIFTY MEMBS'!AW165</f>
        <v>18404.674945215487</v>
      </c>
      <c r="AW176" s="4">
        <f>$AW$4*'NIFTY MEMBS'!AX165</f>
        <v>24336.874305447676</v>
      </c>
      <c r="AX176" s="4">
        <f>$AX$4*'NIFTY MEMBS'!AY165</f>
        <v>15403.342273571283</v>
      </c>
      <c r="AY176" s="4">
        <f t="shared" si="12"/>
        <v>1022023.6596126612</v>
      </c>
      <c r="AZ176" s="4">
        <f t="shared" si="13"/>
        <v>104.28812853190421</v>
      </c>
    </row>
    <row r="177" spans="1:66" ht="14.25" customHeight="1" x14ac:dyDescent="0.3">
      <c r="A177" s="2">
        <v>45898</v>
      </c>
      <c r="B177" s="4">
        <f>$B$4*'NIFTY MEMBS'!C166</f>
        <v>22226.407369498465</v>
      </c>
      <c r="C177" s="4">
        <f>$C$4*'NIFTY MEMBS'!D166</f>
        <v>21351.163364670512</v>
      </c>
      <c r="D177" s="4">
        <f>$D$4*'NIFTY MEMBS'!E166</f>
        <v>23673.622861440119</v>
      </c>
      <c r="E177" s="4">
        <f>$E$4*'NIFTY MEMBS'!F166</f>
        <v>15001.762939367043</v>
      </c>
      <c r="F177" s="4">
        <f>$F$4*'NIFTY MEMBS'!G166</f>
        <v>21778.522182837998</v>
      </c>
      <c r="G177" s="4">
        <f>$G$4*'NIFTY MEMBS'!H166</f>
        <v>20234.49319213313</v>
      </c>
      <c r="H177" s="4">
        <f>$H$4*'NIFTY MEMBS'!I166</f>
        <v>15613.280212483398</v>
      </c>
      <c r="I177" s="4">
        <f>$I$4*'NIFTY MEMBS'!J166</f>
        <v>22908.57413548082</v>
      </c>
      <c r="J177" s="4">
        <f>$J$4*'NIFTY MEMBS'!K166</f>
        <v>25315.415338918287</v>
      </c>
      <c r="K177" s="4">
        <f>$K$4*'NIFTY MEMBS'!L166</f>
        <v>17900.048053820279</v>
      </c>
      <c r="L177" s="4">
        <f>$L$4*'NIFTY MEMBS'!M166</f>
        <v>19637.355146557598</v>
      </c>
      <c r="M177" s="4">
        <f>$M$4*'NIFTY MEMBS'!N166</f>
        <v>26392.940945549282</v>
      </c>
      <c r="N177" s="4">
        <f>$N$4*'NIFTY MEMBS'!O166</f>
        <v>20762.491888384164</v>
      </c>
      <c r="O177" s="4">
        <f>$O$4*'NIFTY MEMBS'!P166</f>
        <v>21922.388727354057</v>
      </c>
      <c r="P177" s="4">
        <f>$P$4*'NIFTY MEMBS'!Q166</f>
        <v>15217.971181254739</v>
      </c>
      <c r="Q177" s="4">
        <f>$Q$4*'NIFTY MEMBS'!R166</f>
        <v>16873.462260906374</v>
      </c>
      <c r="R177" s="4">
        <f>$R$4*'NIFTY MEMBS'!S166</f>
        <v>22084.388922861883</v>
      </c>
      <c r="S177" s="4">
        <f>$S$4*'NIFTY MEMBS'!T166</f>
        <v>19503.638738570629</v>
      </c>
      <c r="T177" s="4">
        <f>$T$4*'NIFTY MEMBS'!U166</f>
        <v>24276.83329104288</v>
      </c>
      <c r="U177" s="4">
        <f>$U$4*'NIFTY MEMBS'!V166</f>
        <v>22304.654486224015</v>
      </c>
      <c r="V177" s="4">
        <f>$V$4*'NIFTY MEMBS'!W166</f>
        <v>19634.347369998501</v>
      </c>
      <c r="W177" s="4">
        <f>$W$4*'NIFTY MEMBS'!X166</f>
        <v>22708.860759493673</v>
      </c>
      <c r="X177" s="4">
        <f>$X$4*'NIFTY MEMBS'!Y166</f>
        <v>21544.268482809548</v>
      </c>
      <c r="Y177" s="4">
        <f>$Y$4*'NIFTY MEMBS'!Z166</f>
        <v>19726.524583245413</v>
      </c>
      <c r="Z177" s="4">
        <f>$Z$4*'NIFTY MEMBS'!AA166</f>
        <v>25137.801973460362</v>
      </c>
      <c r="AA177" s="4">
        <f>$AA$4*'NIFTY MEMBS'!AB166</f>
        <v>22676.017449886793</v>
      </c>
      <c r="AB177" s="4">
        <f>$AB$4*'NIFTY MEMBS'!AC166</f>
        <v>16610.722610722609</v>
      </c>
      <c r="AC177" s="4">
        <f>$AC$4*'NIFTY MEMBS'!AD166</f>
        <v>17735.180412371137</v>
      </c>
      <c r="AD177" s="4">
        <f>$AD$4*'NIFTY MEMBS'!AE166</f>
        <v>17857.857857857856</v>
      </c>
      <c r="AE177" s="4">
        <f>$AE$4*'NIFTY MEMBS'!AF166</f>
        <v>19750.47336838071</v>
      </c>
      <c r="AF177" s="4">
        <f>$AF$4*'NIFTY MEMBS'!AG166</f>
        <v>21856.681057861279</v>
      </c>
      <c r="AG177" s="4">
        <f>$AG$4*'NIFTY MEMBS'!AH166</f>
        <v>19399.585921325051</v>
      </c>
      <c r="AH177" s="4">
        <f>$AH$4*'NIFTY MEMBS'!AI166</f>
        <v>21319.909276981805</v>
      </c>
      <c r="AI177" s="4">
        <f>$AI$4*'NIFTY MEMBS'!AJ166</f>
        <v>22594.705280093604</v>
      </c>
      <c r="AJ177" s="4">
        <f>$AJ$4*'NIFTY MEMBS'!AK166</f>
        <v>20476.268681228448</v>
      </c>
      <c r="AK177" s="4">
        <f>$AK$4*'NIFTY MEMBS'!AL166</f>
        <v>22730.79049198452</v>
      </c>
      <c r="AL177" s="4">
        <f>$AL$4*'NIFTY MEMBS'!AM166</f>
        <v>24985.15956031359</v>
      </c>
      <c r="AM177" s="4">
        <f>$AM$4*'NIFTY MEMBS'!AN166</f>
        <v>14991.404984401639</v>
      </c>
      <c r="AN177" s="4">
        <f>$AN$4*'NIFTY MEMBS'!AO166</f>
        <v>25785.489860039987</v>
      </c>
      <c r="AO177" s="4">
        <f>$AO$4*'NIFTY MEMBS'!AP166</f>
        <v>25017.822423849637</v>
      </c>
      <c r="AP177" s="4">
        <f>$AP$4*'NIFTY MEMBS'!AQ166</f>
        <v>23743.991904882369</v>
      </c>
      <c r="AQ177" s="4">
        <f>$AQ$4*'NIFTY MEMBS'!AR166</f>
        <v>17388.854652698301</v>
      </c>
      <c r="AR177" s="4">
        <f>$AR$4*'NIFTY MEMBS'!AS166</f>
        <v>20788.699234844029</v>
      </c>
      <c r="AS177" s="4">
        <f>$AS$4*'NIFTY MEMBS'!AT166</f>
        <v>20652.26978214705</v>
      </c>
      <c r="AT177" s="4">
        <f>$AT$4*'NIFTY MEMBS'!AU166</f>
        <v>19880.766792866561</v>
      </c>
      <c r="AU177" s="4">
        <f>$AU$4*'NIFTY MEMBS'!AV166</f>
        <v>23153.319569705534</v>
      </c>
      <c r="AV177" s="4">
        <f>$AV$4*'NIFTY MEMBS'!AW166</f>
        <v>18409.057706355004</v>
      </c>
      <c r="AW177" s="4">
        <f>$AW$4*'NIFTY MEMBS'!AX166</f>
        <v>24317.755445887651</v>
      </c>
      <c r="AX177" s="4">
        <f>$AX$4*'NIFTY MEMBS'!AY166</f>
        <v>15256.859913348464</v>
      </c>
      <c r="AY177" s="4">
        <f t="shared" si="12"/>
        <v>1021110.8626483966</v>
      </c>
      <c r="AZ177" s="4">
        <f t="shared" si="13"/>
        <v>104.19498598453028</v>
      </c>
    </row>
    <row r="178" spans="1:66" ht="14.25" customHeight="1" x14ac:dyDescent="0.3">
      <c r="A178" s="2">
        <v>45901</v>
      </c>
      <c r="B178" s="4">
        <f>$B$4*'NIFTY MEMBS'!C167</f>
        <v>22172.364380757423</v>
      </c>
      <c r="C178" s="4">
        <f>$C$4*'NIFTY MEMBS'!D167</f>
        <v>21328.726244699232</v>
      </c>
      <c r="D178" s="4">
        <f>$D$4*'NIFTY MEMBS'!E167</f>
        <v>23821.520335902736</v>
      </c>
      <c r="E178" s="4">
        <f>$E$4*'NIFTY MEMBS'!F167</f>
        <v>15137.448479616773</v>
      </c>
      <c r="F178" s="4">
        <f>$F$4*'NIFTY MEMBS'!G167</f>
        <v>21984.185720406651</v>
      </c>
      <c r="G178" s="4">
        <f>$G$4*'NIFTY MEMBS'!H167</f>
        <v>20324.004034291476</v>
      </c>
      <c r="H178" s="4">
        <f>$H$4*'NIFTY MEMBS'!I167</f>
        <v>15929.880478087649</v>
      </c>
      <c r="I178" s="4">
        <f>$I$4*'NIFTY MEMBS'!J167</f>
        <v>22819.861332414628</v>
      </c>
      <c r="J178" s="4">
        <f>$J$4*'NIFTY MEMBS'!K167</f>
        <v>25647.052038123802</v>
      </c>
      <c r="K178" s="4">
        <f>$K$4*'NIFTY MEMBS'!L167</f>
        <v>17729.675418286664</v>
      </c>
      <c r="L178" s="4">
        <f>$L$4*'NIFTY MEMBS'!M167</f>
        <v>19623.176550783912</v>
      </c>
      <c r="M178" s="4">
        <f>$M$4*'NIFTY MEMBS'!N167</f>
        <v>26564.24257023813</v>
      </c>
      <c r="N178" s="4">
        <f>$N$4*'NIFTY MEMBS'!O167</f>
        <v>21514.600908500972</v>
      </c>
      <c r="O178" s="4">
        <f>$O$4*'NIFTY MEMBS'!P167</f>
        <v>22015.209125475281</v>
      </c>
      <c r="P178" s="4">
        <f>$P$4*'NIFTY MEMBS'!Q167</f>
        <v>15360.234315750935</v>
      </c>
      <c r="Q178" s="4">
        <f>$Q$4*'NIFTY MEMBS'!R167</f>
        <v>16543.294796158625</v>
      </c>
      <c r="R178" s="4">
        <f>$R$4*'NIFTY MEMBS'!S167</f>
        <v>22409.364899100201</v>
      </c>
      <c r="S178" s="4">
        <f>$S$4*'NIFTY MEMBS'!T167</f>
        <v>19807.799962679605</v>
      </c>
      <c r="T178" s="4">
        <f>$T$4*'NIFTY MEMBS'!U167</f>
        <v>24657.44734838873</v>
      </c>
      <c r="U178" s="4">
        <f>$U$4*'NIFTY MEMBS'!V167</f>
        <v>22241.959524870537</v>
      </c>
      <c r="V178" s="4">
        <f>$V$4*'NIFTY MEMBS'!W167</f>
        <v>19823.167990409111</v>
      </c>
      <c r="W178" s="4">
        <f>$W$4*'NIFTY MEMBS'!X167</f>
        <v>23226.039783001812</v>
      </c>
      <c r="X178" s="4">
        <f>$X$4*'NIFTY MEMBS'!Y167</f>
        <v>21913.51440059079</v>
      </c>
      <c r="Y178" s="4">
        <f>$Y$4*'NIFTY MEMBS'!Z167</f>
        <v>20149.398607301118</v>
      </c>
      <c r="Z178" s="4">
        <f>$Z$4*'NIFTY MEMBS'!AA167</f>
        <v>25444.028581150054</v>
      </c>
      <c r="AA178" s="4">
        <f>$AA$4*'NIFTY MEMBS'!AB167</f>
        <v>22872.604782152521</v>
      </c>
      <c r="AB178" s="4">
        <f>$AB$4*'NIFTY MEMBS'!AC167</f>
        <v>16673.992673992674</v>
      </c>
      <c r="AC178" s="4">
        <f>$AC$4*'NIFTY MEMBS'!AD167</f>
        <v>18031.572164948455</v>
      </c>
      <c r="AD178" s="4">
        <f>$AD$4*'NIFTY MEMBS'!AE167</f>
        <v>18422.42242242242</v>
      </c>
      <c r="AE178" s="4">
        <f>$AE$4*'NIFTY MEMBS'!AF167</f>
        <v>20518.159612381372</v>
      </c>
      <c r="AF178" s="4">
        <f>$AF$4*'NIFTY MEMBS'!AG167</f>
        <v>22304.471394788794</v>
      </c>
      <c r="AG178" s="4">
        <f>$AG$4*'NIFTY MEMBS'!AH167</f>
        <v>19560.041407867495</v>
      </c>
      <c r="AH178" s="4">
        <f>$AH$4*'NIFTY MEMBS'!AI167</f>
        <v>21655.510685770136</v>
      </c>
      <c r="AI178" s="4">
        <f>$AI$4*'NIFTY MEMBS'!AJ167</f>
        <v>22841.889717712442</v>
      </c>
      <c r="AJ178" s="4">
        <f>$AJ$4*'NIFTY MEMBS'!AK167</f>
        <v>20630.645426178358</v>
      </c>
      <c r="AK178" s="4">
        <f>$AK$4*'NIFTY MEMBS'!AL167</f>
        <v>22962.553487705503</v>
      </c>
      <c r="AL178" s="4">
        <f>$AL$4*'NIFTY MEMBS'!AM167</f>
        <v>25709.782408449835</v>
      </c>
      <c r="AM178" s="4">
        <f>$AM$4*'NIFTY MEMBS'!AN167</f>
        <v>15421.509468665332</v>
      </c>
      <c r="AN178" s="4">
        <f>$AN$4*'NIFTY MEMBS'!AO167</f>
        <v>25846.900885461291</v>
      </c>
      <c r="AO178" s="4">
        <f>$AO$4*'NIFTY MEMBS'!AP167</f>
        <v>25333.765392093319</v>
      </c>
      <c r="AP178" s="4">
        <f>$AP$4*'NIFTY MEMBS'!AQ167</f>
        <v>24271.861033813981</v>
      </c>
      <c r="AQ178" s="4">
        <f>$AQ$4*'NIFTY MEMBS'!AR167</f>
        <v>17671.743404642428</v>
      </c>
      <c r="AR178" s="4">
        <f>$AR$4*'NIFTY MEMBS'!AS167</f>
        <v>20759.924138382055</v>
      </c>
      <c r="AS178" s="4">
        <f>$AS$4*'NIFTY MEMBS'!AT167</f>
        <v>20819.170516917355</v>
      </c>
      <c r="AT178" s="4">
        <f>$AT$4*'NIFTY MEMBS'!AU167</f>
        <v>20166.857965155123</v>
      </c>
      <c r="AU178" s="4">
        <f>$AU$4*'NIFTY MEMBS'!AV167</f>
        <v>23377.15962186244</v>
      </c>
      <c r="AV178" s="4">
        <f>$AV$4*'NIFTY MEMBS'!AW167</f>
        <v>18698.319941563186</v>
      </c>
      <c r="AW178" s="4">
        <f>$AW$4*'NIFTY MEMBS'!AX167</f>
        <v>25064.824883195717</v>
      </c>
      <c r="AX178" s="4">
        <f>$AX$4*'NIFTY MEMBS'!AY167</f>
        <v>15532.288013204046</v>
      </c>
      <c r="AY178" s="4">
        <f t="shared" si="12"/>
        <v>1033336.1692763133</v>
      </c>
      <c r="AZ178" s="4">
        <f t="shared" si="13"/>
        <v>105.44246625268502</v>
      </c>
    </row>
    <row r="179" spans="1:66" ht="14.25" customHeight="1" x14ac:dyDescent="0.3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spans="1:66" ht="14.25" customHeight="1" x14ac:dyDescent="0.3">
      <c r="A180" s="11"/>
      <c r="AZ180" t="s">
        <v>84</v>
      </c>
    </row>
    <row r="181" spans="1:66" ht="14.25" customHeight="1" x14ac:dyDescent="0.3">
      <c r="A181" s="11"/>
      <c r="AZ181" t="s">
        <v>84</v>
      </c>
    </row>
    <row r="182" spans="1:66" ht="14.25" customHeight="1" x14ac:dyDescent="0.3">
      <c r="A182" s="11"/>
    </row>
    <row r="183" spans="1:66" ht="14.25" customHeight="1" x14ac:dyDescent="0.3">
      <c r="A183" s="11"/>
    </row>
    <row r="184" spans="1:66" ht="14.25" customHeight="1" x14ac:dyDescent="0.3">
      <c r="A184" s="11"/>
    </row>
    <row r="185" spans="1:66" ht="14.25" customHeight="1" x14ac:dyDescent="0.3">
      <c r="A185" s="11"/>
    </row>
    <row r="186" spans="1:66" ht="14.25" customHeight="1" x14ac:dyDescent="0.3">
      <c r="A186" s="11"/>
    </row>
    <row r="187" spans="1:66" ht="14.25" customHeight="1" x14ac:dyDescent="0.3">
      <c r="A187" s="11"/>
    </row>
    <row r="188" spans="1:66" ht="14.25" customHeight="1" x14ac:dyDescent="0.3">
      <c r="A188" s="11"/>
    </row>
    <row r="189" spans="1:66" ht="14.25" customHeight="1" x14ac:dyDescent="0.3">
      <c r="A189" s="11"/>
    </row>
    <row r="190" spans="1:66" ht="14.25" customHeight="1" x14ac:dyDescent="0.3">
      <c r="A190" s="11"/>
    </row>
    <row r="191" spans="1:66" ht="14.25" customHeight="1" x14ac:dyDescent="0.3">
      <c r="A191" s="11"/>
    </row>
    <row r="192" spans="1:66" ht="14.25" customHeight="1" x14ac:dyDescent="0.3">
      <c r="A192" s="11"/>
    </row>
    <row r="193" spans="1:1" ht="14.25" customHeight="1" x14ac:dyDescent="0.3">
      <c r="A193" s="11"/>
    </row>
    <row r="194" spans="1:1" ht="14.25" customHeight="1" x14ac:dyDescent="0.3">
      <c r="A194" s="11"/>
    </row>
    <row r="195" spans="1:1" ht="14.25" customHeight="1" x14ac:dyDescent="0.3">
      <c r="A195" s="11"/>
    </row>
    <row r="196" spans="1:1" ht="14.25" customHeight="1" x14ac:dyDescent="0.3">
      <c r="A196" s="11"/>
    </row>
    <row r="197" spans="1:1" ht="14.25" customHeight="1" x14ac:dyDescent="0.3">
      <c r="A197" s="11"/>
    </row>
    <row r="198" spans="1:1" ht="14.25" customHeight="1" x14ac:dyDescent="0.3">
      <c r="A198" s="11"/>
    </row>
    <row r="199" spans="1:1" ht="14.25" customHeight="1" x14ac:dyDescent="0.3">
      <c r="A199" s="11"/>
    </row>
    <row r="200" spans="1:1" ht="14.25" customHeight="1" x14ac:dyDescent="0.3">
      <c r="A200" s="11"/>
    </row>
    <row r="201" spans="1:1" ht="14.25" customHeight="1" x14ac:dyDescent="0.3">
      <c r="A201" s="11"/>
    </row>
    <row r="202" spans="1:1" ht="14.25" customHeight="1" x14ac:dyDescent="0.3">
      <c r="A202" s="11"/>
    </row>
    <row r="203" spans="1:1" ht="14.25" customHeight="1" x14ac:dyDescent="0.3">
      <c r="A203" s="11"/>
    </row>
    <row r="204" spans="1:1" ht="14.25" customHeight="1" x14ac:dyDescent="0.3">
      <c r="A204" s="11"/>
    </row>
    <row r="205" spans="1:1" ht="14.25" customHeight="1" x14ac:dyDescent="0.3">
      <c r="A205" s="11"/>
    </row>
    <row r="206" spans="1:1" ht="14.25" customHeight="1" x14ac:dyDescent="0.3">
      <c r="A206" s="11"/>
    </row>
    <row r="207" spans="1:1" ht="14.25" customHeight="1" x14ac:dyDescent="0.3">
      <c r="A207" s="11"/>
    </row>
    <row r="208" spans="1:1" ht="14.25" customHeight="1" x14ac:dyDescent="0.3">
      <c r="A208" s="11"/>
    </row>
    <row r="209" spans="1:1" ht="14.25" customHeight="1" x14ac:dyDescent="0.3">
      <c r="A209" s="11"/>
    </row>
    <row r="210" spans="1:1" ht="14.25" customHeight="1" x14ac:dyDescent="0.3">
      <c r="A210" s="11"/>
    </row>
    <row r="211" spans="1:1" ht="14.25" customHeight="1" x14ac:dyDescent="0.3">
      <c r="A211" s="11"/>
    </row>
    <row r="212" spans="1:1" ht="14.25" customHeight="1" x14ac:dyDescent="0.3">
      <c r="A212" s="11"/>
    </row>
    <row r="213" spans="1:1" ht="14.25" customHeight="1" x14ac:dyDescent="0.3">
      <c r="A213" s="11"/>
    </row>
    <row r="214" spans="1:1" ht="14.25" customHeight="1" x14ac:dyDescent="0.3">
      <c r="A214" s="11"/>
    </row>
    <row r="215" spans="1:1" ht="14.25" customHeight="1" x14ac:dyDescent="0.3">
      <c r="A215" s="11"/>
    </row>
    <row r="216" spans="1:1" ht="14.25" customHeight="1" x14ac:dyDescent="0.3">
      <c r="A216" s="11"/>
    </row>
    <row r="217" spans="1:1" ht="14.25" customHeight="1" x14ac:dyDescent="0.3">
      <c r="A217" s="11"/>
    </row>
    <row r="218" spans="1:1" ht="14.25" customHeight="1" x14ac:dyDescent="0.3">
      <c r="A218" s="11"/>
    </row>
    <row r="219" spans="1:1" ht="14.25" customHeight="1" x14ac:dyDescent="0.3">
      <c r="A219" s="11"/>
    </row>
    <row r="220" spans="1:1" ht="14.25" customHeight="1" x14ac:dyDescent="0.3">
      <c r="A220" s="11"/>
    </row>
    <row r="221" spans="1:1" ht="14.25" customHeight="1" x14ac:dyDescent="0.3">
      <c r="A221" s="11"/>
    </row>
    <row r="222" spans="1:1" ht="14.25" customHeight="1" x14ac:dyDescent="0.3">
      <c r="A222" s="11"/>
    </row>
    <row r="223" spans="1:1" ht="14.25" customHeight="1" x14ac:dyDescent="0.3">
      <c r="A223" s="11"/>
    </row>
    <row r="224" spans="1:1" ht="14.25" customHeight="1" x14ac:dyDescent="0.3">
      <c r="A224" s="11"/>
    </row>
    <row r="225" spans="1:1" ht="14.25" customHeight="1" x14ac:dyDescent="0.3">
      <c r="A225" s="11"/>
    </row>
    <row r="226" spans="1:1" ht="14.25" customHeight="1" x14ac:dyDescent="0.3">
      <c r="A226" s="11"/>
    </row>
    <row r="227" spans="1:1" ht="14.25" customHeight="1" x14ac:dyDescent="0.3">
      <c r="A227" s="11"/>
    </row>
    <row r="228" spans="1:1" ht="14.25" customHeight="1" x14ac:dyDescent="0.3">
      <c r="A228" s="11"/>
    </row>
    <row r="229" spans="1:1" ht="14.25" customHeight="1" x14ac:dyDescent="0.3">
      <c r="A229" s="11"/>
    </row>
    <row r="230" spans="1:1" ht="14.25" customHeight="1" x14ac:dyDescent="0.3">
      <c r="A230" s="11"/>
    </row>
    <row r="231" spans="1:1" ht="14.25" customHeight="1" x14ac:dyDescent="0.3">
      <c r="A231" s="11"/>
    </row>
    <row r="232" spans="1:1" ht="14.25" customHeight="1" x14ac:dyDescent="0.3">
      <c r="A232" s="11"/>
    </row>
    <row r="233" spans="1:1" ht="14.25" customHeight="1" x14ac:dyDescent="0.3">
      <c r="A233" s="11"/>
    </row>
    <row r="234" spans="1:1" ht="14.25" customHeight="1" x14ac:dyDescent="0.3">
      <c r="A234" s="11"/>
    </row>
    <row r="235" spans="1:1" ht="14.25" customHeight="1" x14ac:dyDescent="0.3">
      <c r="A235" s="11"/>
    </row>
    <row r="236" spans="1:1" ht="14.25" customHeight="1" x14ac:dyDescent="0.3">
      <c r="A236" s="11"/>
    </row>
    <row r="237" spans="1:1" ht="14.25" customHeight="1" x14ac:dyDescent="0.3">
      <c r="A237" s="11"/>
    </row>
    <row r="238" spans="1:1" ht="14.25" customHeight="1" x14ac:dyDescent="0.3">
      <c r="A238" s="11"/>
    </row>
    <row r="239" spans="1:1" ht="14.25" customHeight="1" x14ac:dyDescent="0.3">
      <c r="A239" s="11"/>
    </row>
    <row r="240" spans="1:1" ht="14.25" customHeight="1" x14ac:dyDescent="0.3">
      <c r="A240" s="11"/>
    </row>
    <row r="241" spans="1:1" ht="14.25" customHeight="1" x14ac:dyDescent="0.3">
      <c r="A241" s="11"/>
    </row>
    <row r="242" spans="1:1" ht="14.25" customHeight="1" x14ac:dyDescent="0.3">
      <c r="A242" s="11"/>
    </row>
    <row r="243" spans="1:1" ht="14.25" customHeight="1" x14ac:dyDescent="0.3">
      <c r="A243" s="11"/>
    </row>
    <row r="244" spans="1:1" ht="14.25" customHeight="1" x14ac:dyDescent="0.3">
      <c r="A244" s="11"/>
    </row>
    <row r="245" spans="1:1" ht="14.25" customHeight="1" x14ac:dyDescent="0.3">
      <c r="A245" s="11"/>
    </row>
    <row r="246" spans="1:1" ht="14.25" customHeight="1" x14ac:dyDescent="0.3">
      <c r="A246" s="11"/>
    </row>
    <row r="247" spans="1:1" ht="14.25" customHeight="1" x14ac:dyDescent="0.3">
      <c r="A247" s="11"/>
    </row>
    <row r="248" spans="1:1" ht="14.25" customHeight="1" x14ac:dyDescent="0.3">
      <c r="A248" s="11"/>
    </row>
    <row r="249" spans="1:1" ht="14.25" customHeight="1" x14ac:dyDescent="0.3">
      <c r="A249" s="11"/>
    </row>
    <row r="250" spans="1:1" ht="14.25" customHeight="1" x14ac:dyDescent="0.3">
      <c r="A250" s="11"/>
    </row>
    <row r="251" spans="1:1" ht="14.25" customHeight="1" x14ac:dyDescent="0.3">
      <c r="A251" s="11"/>
    </row>
    <row r="252" spans="1:1" ht="14.25" customHeight="1" x14ac:dyDescent="0.3">
      <c r="A252" s="11"/>
    </row>
    <row r="253" spans="1:1" ht="14.25" customHeight="1" x14ac:dyDescent="0.3">
      <c r="A253" s="11"/>
    </row>
    <row r="254" spans="1:1" ht="14.25" customHeight="1" x14ac:dyDescent="0.3">
      <c r="A254" s="11"/>
    </row>
    <row r="255" spans="1:1" ht="14.25" customHeight="1" x14ac:dyDescent="0.3">
      <c r="A255" s="11"/>
    </row>
    <row r="256" spans="1:1" ht="14.25" customHeight="1" x14ac:dyDescent="0.3">
      <c r="A256" s="11"/>
    </row>
    <row r="257" spans="1:1" ht="14.25" customHeight="1" x14ac:dyDescent="0.3">
      <c r="A257" s="11"/>
    </row>
    <row r="258" spans="1:1" ht="14.25" customHeight="1" x14ac:dyDescent="0.3">
      <c r="A258" s="11"/>
    </row>
    <row r="259" spans="1:1" ht="14.25" customHeight="1" x14ac:dyDescent="0.3">
      <c r="A259" s="11"/>
    </row>
    <row r="260" spans="1:1" ht="14.25" customHeight="1" x14ac:dyDescent="0.3">
      <c r="A260" s="11"/>
    </row>
    <row r="261" spans="1:1" ht="14.25" customHeight="1" x14ac:dyDescent="0.3">
      <c r="A261" s="11"/>
    </row>
    <row r="262" spans="1:1" ht="14.25" customHeight="1" x14ac:dyDescent="0.3">
      <c r="A262" s="11"/>
    </row>
    <row r="263" spans="1:1" ht="14.25" customHeight="1" x14ac:dyDescent="0.3">
      <c r="A263" s="11"/>
    </row>
    <row r="264" spans="1:1" ht="14.25" customHeight="1" x14ac:dyDescent="0.3">
      <c r="A264" s="11"/>
    </row>
    <row r="265" spans="1:1" ht="14.25" customHeight="1" x14ac:dyDescent="0.3">
      <c r="A265" s="11"/>
    </row>
    <row r="266" spans="1:1" ht="14.25" customHeight="1" x14ac:dyDescent="0.3">
      <c r="A266" s="11"/>
    </row>
    <row r="267" spans="1:1" ht="14.25" customHeight="1" x14ac:dyDescent="0.3">
      <c r="A267" s="11"/>
    </row>
    <row r="268" spans="1:1" ht="14.25" customHeight="1" x14ac:dyDescent="0.3">
      <c r="A268" s="11"/>
    </row>
    <row r="269" spans="1:1" ht="14.25" customHeight="1" x14ac:dyDescent="0.3">
      <c r="A269" s="11"/>
    </row>
    <row r="270" spans="1:1" ht="14.25" customHeight="1" x14ac:dyDescent="0.3">
      <c r="A270" s="11"/>
    </row>
    <row r="271" spans="1:1" ht="14.25" customHeight="1" x14ac:dyDescent="0.3">
      <c r="A271" s="11"/>
    </row>
    <row r="272" spans="1:1" ht="14.25" customHeight="1" x14ac:dyDescent="0.3">
      <c r="A272" s="11"/>
    </row>
    <row r="273" spans="1:1" ht="14.25" customHeight="1" x14ac:dyDescent="0.3">
      <c r="A273" s="11"/>
    </row>
    <row r="274" spans="1:1" ht="14.25" customHeight="1" x14ac:dyDescent="0.3">
      <c r="A274" s="11"/>
    </row>
    <row r="275" spans="1:1" ht="14.25" customHeight="1" x14ac:dyDescent="0.3">
      <c r="A275" s="11"/>
    </row>
    <row r="276" spans="1:1" ht="14.25" customHeight="1" x14ac:dyDescent="0.3">
      <c r="A276" s="11"/>
    </row>
    <row r="277" spans="1:1" ht="14.25" customHeight="1" x14ac:dyDescent="0.3">
      <c r="A277" s="11"/>
    </row>
    <row r="278" spans="1:1" ht="14.25" customHeight="1" x14ac:dyDescent="0.3">
      <c r="A278" s="11"/>
    </row>
    <row r="279" spans="1:1" ht="14.25" customHeight="1" x14ac:dyDescent="0.3">
      <c r="A279" s="11"/>
    </row>
    <row r="280" spans="1:1" ht="14.25" customHeight="1" x14ac:dyDescent="0.3">
      <c r="A280" s="11"/>
    </row>
    <row r="281" spans="1:1" ht="14.25" customHeight="1" x14ac:dyDescent="0.3">
      <c r="A281" s="11"/>
    </row>
    <row r="282" spans="1:1" ht="14.25" customHeight="1" x14ac:dyDescent="0.3">
      <c r="A282" s="11"/>
    </row>
    <row r="283" spans="1:1" ht="14.25" customHeight="1" x14ac:dyDescent="0.3">
      <c r="A283" s="11"/>
    </row>
    <row r="284" spans="1:1" ht="14.25" customHeight="1" x14ac:dyDescent="0.3">
      <c r="A284" s="11"/>
    </row>
    <row r="285" spans="1:1" ht="14.25" customHeight="1" x14ac:dyDescent="0.3">
      <c r="A285" s="11"/>
    </row>
    <row r="286" spans="1:1" ht="14.25" customHeight="1" x14ac:dyDescent="0.3">
      <c r="A286" s="11"/>
    </row>
    <row r="287" spans="1:1" ht="14.25" customHeight="1" x14ac:dyDescent="0.3">
      <c r="A287" s="11"/>
    </row>
    <row r="288" spans="1:1" ht="14.25" customHeight="1" x14ac:dyDescent="0.3">
      <c r="A288" s="11"/>
    </row>
    <row r="289" spans="1:1" ht="14.25" customHeight="1" x14ac:dyDescent="0.3">
      <c r="A289" s="11"/>
    </row>
    <row r="290" spans="1:1" ht="14.25" customHeight="1" x14ac:dyDescent="0.3">
      <c r="A290" s="11"/>
    </row>
    <row r="291" spans="1:1" ht="14.25" customHeight="1" x14ac:dyDescent="0.3">
      <c r="A291" s="11"/>
    </row>
    <row r="292" spans="1:1" ht="14.25" customHeight="1" x14ac:dyDescent="0.3">
      <c r="A292" s="11"/>
    </row>
    <row r="293" spans="1:1" ht="14.25" customHeight="1" x14ac:dyDescent="0.3">
      <c r="A293" s="11"/>
    </row>
    <row r="294" spans="1:1" ht="14.25" customHeight="1" x14ac:dyDescent="0.3">
      <c r="A294" s="11"/>
    </row>
    <row r="295" spans="1:1" ht="14.25" customHeight="1" x14ac:dyDescent="0.3">
      <c r="A295" s="11"/>
    </row>
    <row r="296" spans="1:1" ht="14.25" customHeight="1" x14ac:dyDescent="0.3">
      <c r="A296" s="11"/>
    </row>
    <row r="297" spans="1:1" ht="14.25" customHeight="1" x14ac:dyDescent="0.3">
      <c r="A297" s="11"/>
    </row>
    <row r="298" spans="1:1" ht="14.25" customHeight="1" x14ac:dyDescent="0.3">
      <c r="A298" s="11"/>
    </row>
    <row r="299" spans="1:1" ht="14.25" customHeight="1" x14ac:dyDescent="0.3">
      <c r="A299" s="11"/>
    </row>
    <row r="300" spans="1:1" ht="14.25" customHeight="1" x14ac:dyDescent="0.3">
      <c r="A300" s="11"/>
    </row>
    <row r="301" spans="1:1" ht="14.25" customHeight="1" x14ac:dyDescent="0.3">
      <c r="A301" s="11"/>
    </row>
    <row r="302" spans="1:1" ht="14.25" customHeight="1" x14ac:dyDescent="0.3">
      <c r="A302" s="11"/>
    </row>
    <row r="303" spans="1:1" ht="14.25" customHeight="1" x14ac:dyDescent="0.3">
      <c r="A303" s="11"/>
    </row>
    <row r="304" spans="1:1" ht="14.25" customHeight="1" x14ac:dyDescent="0.3">
      <c r="A304" s="11"/>
    </row>
    <row r="305" spans="1:1" ht="14.25" customHeight="1" x14ac:dyDescent="0.3">
      <c r="A305" s="11"/>
    </row>
    <row r="306" spans="1:1" ht="14.25" customHeight="1" x14ac:dyDescent="0.3">
      <c r="A306" s="11"/>
    </row>
    <row r="307" spans="1:1" ht="14.25" customHeight="1" x14ac:dyDescent="0.3">
      <c r="A307" s="11"/>
    </row>
    <row r="308" spans="1:1" ht="14.25" customHeight="1" x14ac:dyDescent="0.3">
      <c r="A308" s="11"/>
    </row>
    <row r="309" spans="1:1" ht="14.25" customHeight="1" x14ac:dyDescent="0.3">
      <c r="A309" s="11"/>
    </row>
    <row r="310" spans="1:1" ht="14.25" customHeight="1" x14ac:dyDescent="0.3">
      <c r="A310" s="11"/>
    </row>
    <row r="311" spans="1:1" ht="14.25" customHeight="1" x14ac:dyDescent="0.3">
      <c r="A311" s="11"/>
    </row>
    <row r="312" spans="1:1" ht="14.25" customHeight="1" x14ac:dyDescent="0.3">
      <c r="A312" s="11"/>
    </row>
    <row r="313" spans="1:1" ht="14.25" customHeight="1" x14ac:dyDescent="0.3">
      <c r="A313" s="11"/>
    </row>
    <row r="314" spans="1:1" ht="14.25" customHeight="1" x14ac:dyDescent="0.3">
      <c r="A314" s="11"/>
    </row>
    <row r="315" spans="1:1" ht="14.25" customHeight="1" x14ac:dyDescent="0.3">
      <c r="A315" s="11"/>
    </row>
    <row r="316" spans="1:1" ht="14.25" customHeight="1" x14ac:dyDescent="0.3">
      <c r="A316" s="11"/>
    </row>
    <row r="317" spans="1:1" ht="14.25" customHeight="1" x14ac:dyDescent="0.3">
      <c r="A317" s="11"/>
    </row>
    <row r="318" spans="1:1" ht="14.25" customHeight="1" x14ac:dyDescent="0.3">
      <c r="A318" s="11"/>
    </row>
    <row r="319" spans="1:1" ht="14.25" customHeight="1" x14ac:dyDescent="0.3">
      <c r="A319" s="11"/>
    </row>
    <row r="320" spans="1:1" ht="14.25" customHeight="1" x14ac:dyDescent="0.3">
      <c r="A320" s="11"/>
    </row>
    <row r="321" spans="1:1" ht="14.25" customHeight="1" x14ac:dyDescent="0.3">
      <c r="A321" s="11"/>
    </row>
    <row r="322" spans="1:1" ht="14.25" customHeight="1" x14ac:dyDescent="0.3">
      <c r="A322" s="11"/>
    </row>
    <row r="323" spans="1:1" ht="14.25" customHeight="1" x14ac:dyDescent="0.3">
      <c r="A323" s="11"/>
    </row>
    <row r="324" spans="1:1" ht="14.25" customHeight="1" x14ac:dyDescent="0.3">
      <c r="A324" s="11"/>
    </row>
    <row r="325" spans="1:1" ht="14.25" customHeight="1" x14ac:dyDescent="0.3">
      <c r="A325" s="11"/>
    </row>
    <row r="326" spans="1:1" ht="14.25" customHeight="1" x14ac:dyDescent="0.3">
      <c r="A326" s="11"/>
    </row>
    <row r="327" spans="1:1" ht="14.25" customHeight="1" x14ac:dyDescent="0.3">
      <c r="A327" s="11"/>
    </row>
    <row r="328" spans="1:1" ht="14.25" customHeight="1" x14ac:dyDescent="0.3">
      <c r="A328" s="11"/>
    </row>
    <row r="329" spans="1:1" ht="14.25" customHeight="1" x14ac:dyDescent="0.3">
      <c r="A329" s="11"/>
    </row>
    <row r="330" spans="1:1" ht="14.25" customHeight="1" x14ac:dyDescent="0.3">
      <c r="A330" s="11"/>
    </row>
    <row r="331" spans="1:1" ht="14.25" customHeight="1" x14ac:dyDescent="0.3">
      <c r="A331" s="11"/>
    </row>
    <row r="332" spans="1:1" ht="14.25" customHeight="1" x14ac:dyDescent="0.3">
      <c r="A332" s="11"/>
    </row>
    <row r="333" spans="1:1" ht="14.25" customHeight="1" x14ac:dyDescent="0.3">
      <c r="A333" s="11"/>
    </row>
    <row r="334" spans="1:1" ht="14.25" customHeight="1" x14ac:dyDescent="0.3">
      <c r="A334" s="11"/>
    </row>
    <row r="335" spans="1:1" ht="14.25" customHeight="1" x14ac:dyDescent="0.3">
      <c r="A335" s="11"/>
    </row>
    <row r="336" spans="1:1" ht="14.25" customHeight="1" x14ac:dyDescent="0.3">
      <c r="A336" s="11"/>
    </row>
    <row r="337" spans="1:1" ht="14.25" customHeight="1" x14ac:dyDescent="0.3">
      <c r="A337" s="11"/>
    </row>
    <row r="338" spans="1:1" ht="14.25" customHeight="1" x14ac:dyDescent="0.3">
      <c r="A338" s="11"/>
    </row>
    <row r="339" spans="1:1" ht="14.25" customHeight="1" x14ac:dyDescent="0.3">
      <c r="A339" s="11"/>
    </row>
    <row r="340" spans="1:1" ht="14.25" customHeight="1" x14ac:dyDescent="0.3">
      <c r="A340" s="11"/>
    </row>
    <row r="341" spans="1:1" ht="14.25" customHeight="1" x14ac:dyDescent="0.3">
      <c r="A341" s="11"/>
    </row>
    <row r="342" spans="1:1" ht="14.25" customHeight="1" x14ac:dyDescent="0.3">
      <c r="A342" s="11"/>
    </row>
    <row r="343" spans="1:1" ht="14.25" customHeight="1" x14ac:dyDescent="0.3">
      <c r="A343" s="11"/>
    </row>
    <row r="344" spans="1:1" ht="14.25" customHeight="1" x14ac:dyDescent="0.3">
      <c r="A344" s="11"/>
    </row>
    <row r="345" spans="1:1" ht="14.25" customHeight="1" x14ac:dyDescent="0.3">
      <c r="A345" s="11"/>
    </row>
    <row r="346" spans="1:1" ht="14.25" customHeight="1" x14ac:dyDescent="0.3">
      <c r="A346" s="11"/>
    </row>
    <row r="347" spans="1:1" ht="14.25" customHeight="1" x14ac:dyDescent="0.3">
      <c r="A347" s="11"/>
    </row>
    <row r="348" spans="1:1" ht="14.25" customHeight="1" x14ac:dyDescent="0.3">
      <c r="A348" s="11"/>
    </row>
    <row r="349" spans="1:1" ht="14.25" customHeight="1" x14ac:dyDescent="0.3">
      <c r="A349" s="11"/>
    </row>
    <row r="350" spans="1:1" ht="14.25" customHeight="1" x14ac:dyDescent="0.3">
      <c r="A350" s="11"/>
    </row>
    <row r="351" spans="1:1" ht="14.25" customHeight="1" x14ac:dyDescent="0.3">
      <c r="A351" s="11"/>
    </row>
    <row r="352" spans="1:1" ht="14.25" customHeight="1" x14ac:dyDescent="0.3">
      <c r="A352" s="11"/>
    </row>
    <row r="353" spans="1:1" ht="14.25" customHeight="1" x14ac:dyDescent="0.3">
      <c r="A353" s="11"/>
    </row>
    <row r="354" spans="1:1" ht="14.25" customHeight="1" x14ac:dyDescent="0.3">
      <c r="A354" s="11"/>
    </row>
    <row r="355" spans="1:1" ht="14.25" customHeight="1" x14ac:dyDescent="0.3">
      <c r="A355" s="11"/>
    </row>
    <row r="356" spans="1:1" ht="14.25" customHeight="1" x14ac:dyDescent="0.3">
      <c r="A356" s="11"/>
    </row>
    <row r="357" spans="1:1" ht="14.25" customHeight="1" x14ac:dyDescent="0.3">
      <c r="A357" s="11"/>
    </row>
    <row r="358" spans="1:1" ht="14.25" customHeight="1" x14ac:dyDescent="0.3">
      <c r="A358" s="11"/>
    </row>
    <row r="359" spans="1:1" ht="14.25" customHeight="1" x14ac:dyDescent="0.3">
      <c r="A359" s="11"/>
    </row>
    <row r="360" spans="1:1" ht="14.25" customHeight="1" x14ac:dyDescent="0.3">
      <c r="A360" s="11"/>
    </row>
    <row r="361" spans="1:1" ht="14.25" customHeight="1" x14ac:dyDescent="0.3">
      <c r="A361" s="11"/>
    </row>
    <row r="362" spans="1:1" ht="14.25" customHeight="1" x14ac:dyDescent="0.3">
      <c r="A362" s="11"/>
    </row>
    <row r="363" spans="1:1" ht="14.25" customHeight="1" x14ac:dyDescent="0.3">
      <c r="A363" s="11"/>
    </row>
    <row r="364" spans="1:1" ht="14.25" customHeight="1" x14ac:dyDescent="0.3">
      <c r="A364" s="11"/>
    </row>
    <row r="365" spans="1:1" ht="14.25" customHeight="1" x14ac:dyDescent="0.3">
      <c r="A365" s="11"/>
    </row>
    <row r="366" spans="1:1" ht="14.25" customHeight="1" x14ac:dyDescent="0.3">
      <c r="A366" s="11"/>
    </row>
    <row r="367" spans="1:1" ht="14.25" customHeight="1" x14ac:dyDescent="0.3">
      <c r="A367" s="11"/>
    </row>
    <row r="368" spans="1:1" ht="14.25" customHeight="1" x14ac:dyDescent="0.3">
      <c r="A368" s="11"/>
    </row>
    <row r="369" spans="1:1" ht="14.25" customHeight="1" x14ac:dyDescent="0.3">
      <c r="A369" s="11"/>
    </row>
    <row r="370" spans="1:1" ht="14.25" customHeight="1" x14ac:dyDescent="0.3">
      <c r="A370" s="11"/>
    </row>
    <row r="371" spans="1:1" ht="14.25" customHeight="1" x14ac:dyDescent="0.3">
      <c r="A371" s="11"/>
    </row>
    <row r="372" spans="1:1" ht="14.25" customHeight="1" x14ac:dyDescent="0.3">
      <c r="A372" s="11"/>
    </row>
    <row r="373" spans="1:1" ht="14.25" customHeight="1" x14ac:dyDescent="0.3">
      <c r="A373" s="11"/>
    </row>
    <row r="374" spans="1:1" ht="14.25" customHeight="1" x14ac:dyDescent="0.3">
      <c r="A374" s="11"/>
    </row>
    <row r="375" spans="1:1" ht="14.25" customHeight="1" x14ac:dyDescent="0.3">
      <c r="A375" s="11"/>
    </row>
    <row r="376" spans="1:1" ht="14.25" customHeight="1" x14ac:dyDescent="0.3">
      <c r="A376" s="11"/>
    </row>
    <row r="377" spans="1:1" ht="14.25" customHeight="1" x14ac:dyDescent="0.3">
      <c r="A377" s="11"/>
    </row>
    <row r="378" spans="1:1" ht="14.25" customHeight="1" x14ac:dyDescent="0.3">
      <c r="A378" s="11"/>
    </row>
    <row r="379" spans="1:1" ht="14.25" customHeight="1" x14ac:dyDescent="0.3">
      <c r="A379" s="11"/>
    </row>
    <row r="380" spans="1:1" ht="14.25" customHeight="1" x14ac:dyDescent="0.3">
      <c r="A380" s="11"/>
    </row>
    <row r="381" spans="1:1" ht="14.25" customHeight="1" x14ac:dyDescent="0.3">
      <c r="A381" s="11"/>
    </row>
    <row r="382" spans="1:1" ht="14.25" customHeight="1" x14ac:dyDescent="0.3">
      <c r="A382" s="11"/>
    </row>
    <row r="383" spans="1:1" ht="14.25" customHeight="1" x14ac:dyDescent="0.3">
      <c r="A383" s="11"/>
    </row>
    <row r="384" spans="1:1" ht="14.25" customHeight="1" x14ac:dyDescent="0.3">
      <c r="A384" s="11"/>
    </row>
    <row r="385" spans="1:1" ht="14.25" customHeight="1" x14ac:dyDescent="0.3">
      <c r="A385" s="11"/>
    </row>
    <row r="386" spans="1:1" ht="14.25" customHeight="1" x14ac:dyDescent="0.3">
      <c r="A386" s="11"/>
    </row>
    <row r="387" spans="1:1" ht="14.25" customHeight="1" x14ac:dyDescent="0.3">
      <c r="A387" s="11"/>
    </row>
    <row r="388" spans="1:1" ht="14.25" customHeight="1" x14ac:dyDescent="0.3">
      <c r="A388" s="11"/>
    </row>
    <row r="389" spans="1:1" ht="14.25" customHeight="1" x14ac:dyDescent="0.3">
      <c r="A389" s="11"/>
    </row>
    <row r="390" spans="1:1" ht="14.25" customHeight="1" x14ac:dyDescent="0.3">
      <c r="A390" s="11"/>
    </row>
    <row r="391" spans="1:1" ht="14.25" customHeight="1" x14ac:dyDescent="0.3">
      <c r="A391" s="11"/>
    </row>
    <row r="392" spans="1:1" ht="14.25" customHeight="1" x14ac:dyDescent="0.3">
      <c r="A392" s="11"/>
    </row>
    <row r="393" spans="1:1" ht="14.25" customHeight="1" x14ac:dyDescent="0.3">
      <c r="A393" s="11"/>
    </row>
    <row r="394" spans="1:1" ht="14.25" customHeight="1" x14ac:dyDescent="0.3">
      <c r="A394" s="11"/>
    </row>
    <row r="395" spans="1:1" ht="14.25" customHeight="1" x14ac:dyDescent="0.3">
      <c r="A395" s="11"/>
    </row>
    <row r="396" spans="1:1" ht="14.25" customHeight="1" x14ac:dyDescent="0.3">
      <c r="A396" s="11"/>
    </row>
    <row r="397" spans="1:1" ht="14.25" customHeight="1" x14ac:dyDescent="0.3">
      <c r="A397" s="11"/>
    </row>
    <row r="398" spans="1:1" ht="14.25" customHeight="1" x14ac:dyDescent="0.3">
      <c r="A398" s="11"/>
    </row>
    <row r="399" spans="1:1" ht="14.25" customHeight="1" x14ac:dyDescent="0.3">
      <c r="A399" s="11"/>
    </row>
    <row r="400" spans="1:1" ht="14.25" customHeight="1" x14ac:dyDescent="0.3">
      <c r="A400" s="11"/>
    </row>
    <row r="401" spans="1:1" ht="14.25" customHeight="1" x14ac:dyDescent="0.3">
      <c r="A401" s="11"/>
    </row>
    <row r="402" spans="1:1" ht="14.25" customHeight="1" x14ac:dyDescent="0.3">
      <c r="A402" s="11"/>
    </row>
    <row r="403" spans="1:1" ht="14.25" customHeight="1" x14ac:dyDescent="0.3">
      <c r="A403" s="11"/>
    </row>
    <row r="404" spans="1:1" ht="14.25" customHeight="1" x14ac:dyDescent="0.3">
      <c r="A404" s="11"/>
    </row>
    <row r="405" spans="1:1" ht="14.25" customHeight="1" x14ac:dyDescent="0.3">
      <c r="A405" s="11"/>
    </row>
    <row r="406" spans="1:1" ht="14.25" customHeight="1" x14ac:dyDescent="0.3">
      <c r="A406" s="11"/>
    </row>
    <row r="407" spans="1:1" ht="14.25" customHeight="1" x14ac:dyDescent="0.3">
      <c r="A407" s="11"/>
    </row>
    <row r="408" spans="1:1" ht="14.25" customHeight="1" x14ac:dyDescent="0.3">
      <c r="A408" s="11"/>
    </row>
    <row r="409" spans="1:1" ht="14.25" customHeight="1" x14ac:dyDescent="0.3">
      <c r="A409" s="11"/>
    </row>
    <row r="410" spans="1:1" ht="14.25" customHeight="1" x14ac:dyDescent="0.3">
      <c r="A410" s="11"/>
    </row>
    <row r="411" spans="1:1" ht="14.25" customHeight="1" x14ac:dyDescent="0.3">
      <c r="A411" s="11"/>
    </row>
    <row r="412" spans="1:1" ht="14.25" customHeight="1" x14ac:dyDescent="0.3">
      <c r="A412" s="11"/>
    </row>
    <row r="413" spans="1:1" ht="14.25" customHeight="1" x14ac:dyDescent="0.3">
      <c r="A413" s="11"/>
    </row>
    <row r="414" spans="1:1" ht="14.25" customHeight="1" x14ac:dyDescent="0.3">
      <c r="A414" s="11"/>
    </row>
    <row r="415" spans="1:1" ht="14.25" customHeight="1" x14ac:dyDescent="0.3">
      <c r="A415" s="11"/>
    </row>
    <row r="416" spans="1:1" ht="14.25" customHeight="1" x14ac:dyDescent="0.3">
      <c r="A416" s="11"/>
    </row>
    <row r="417" spans="1:1" ht="14.25" customHeight="1" x14ac:dyDescent="0.3">
      <c r="A417" s="11"/>
    </row>
    <row r="418" spans="1:1" ht="14.25" customHeight="1" x14ac:dyDescent="0.3">
      <c r="A418" s="11"/>
    </row>
    <row r="419" spans="1:1" ht="14.25" customHeight="1" x14ac:dyDescent="0.3">
      <c r="A419" s="11"/>
    </row>
    <row r="420" spans="1:1" ht="14.25" customHeight="1" x14ac:dyDescent="0.3">
      <c r="A420" s="11"/>
    </row>
    <row r="421" spans="1:1" ht="14.25" customHeight="1" x14ac:dyDescent="0.3">
      <c r="A421" s="11"/>
    </row>
    <row r="422" spans="1:1" ht="14.25" customHeight="1" x14ac:dyDescent="0.3">
      <c r="A422" s="11"/>
    </row>
    <row r="423" spans="1:1" ht="14.25" customHeight="1" x14ac:dyDescent="0.3">
      <c r="A423" s="11"/>
    </row>
    <row r="424" spans="1:1" ht="14.25" customHeight="1" x14ac:dyDescent="0.3">
      <c r="A424" s="11"/>
    </row>
    <row r="425" spans="1:1" ht="14.25" customHeight="1" x14ac:dyDescent="0.3">
      <c r="A425" s="11"/>
    </row>
    <row r="426" spans="1:1" ht="14.25" customHeight="1" x14ac:dyDescent="0.3">
      <c r="A426" s="11"/>
    </row>
    <row r="427" spans="1:1" ht="14.25" customHeight="1" x14ac:dyDescent="0.3">
      <c r="A427" s="11"/>
    </row>
    <row r="428" spans="1:1" ht="14.25" customHeight="1" x14ac:dyDescent="0.3">
      <c r="A428" s="11"/>
    </row>
    <row r="429" spans="1:1" ht="14.25" customHeight="1" x14ac:dyDescent="0.3">
      <c r="A429" s="11"/>
    </row>
    <row r="430" spans="1:1" ht="14.25" customHeight="1" x14ac:dyDescent="0.3">
      <c r="A430" s="11"/>
    </row>
    <row r="431" spans="1:1" ht="14.25" customHeight="1" x14ac:dyDescent="0.3">
      <c r="A431" s="11"/>
    </row>
    <row r="432" spans="1:1" ht="14.25" customHeight="1" x14ac:dyDescent="0.3">
      <c r="A432" s="11"/>
    </row>
    <row r="433" spans="1:1" ht="14.25" customHeight="1" x14ac:dyDescent="0.3">
      <c r="A433" s="11"/>
    </row>
    <row r="434" spans="1:1" ht="14.25" customHeight="1" x14ac:dyDescent="0.3">
      <c r="A434" s="11"/>
    </row>
    <row r="435" spans="1:1" ht="14.25" customHeight="1" x14ac:dyDescent="0.3">
      <c r="A435" s="11"/>
    </row>
    <row r="436" spans="1:1" ht="14.25" customHeight="1" x14ac:dyDescent="0.3">
      <c r="A436" s="11"/>
    </row>
    <row r="437" spans="1:1" ht="14.25" customHeight="1" x14ac:dyDescent="0.3">
      <c r="A437" s="11"/>
    </row>
    <row r="438" spans="1:1" ht="14.25" customHeight="1" x14ac:dyDescent="0.3">
      <c r="A438" s="11"/>
    </row>
    <row r="439" spans="1:1" ht="14.25" customHeight="1" x14ac:dyDescent="0.3">
      <c r="A439" s="11"/>
    </row>
    <row r="440" spans="1:1" ht="14.25" customHeight="1" x14ac:dyDescent="0.3">
      <c r="A440" s="11"/>
    </row>
    <row r="441" spans="1:1" ht="14.25" customHeight="1" x14ac:dyDescent="0.3">
      <c r="A441" s="11"/>
    </row>
    <row r="442" spans="1:1" ht="14.25" customHeight="1" x14ac:dyDescent="0.3">
      <c r="A442" s="11"/>
    </row>
    <row r="443" spans="1:1" ht="14.25" customHeight="1" x14ac:dyDescent="0.3">
      <c r="A443" s="11"/>
    </row>
    <row r="444" spans="1:1" ht="14.25" customHeight="1" x14ac:dyDescent="0.3">
      <c r="A444" s="11"/>
    </row>
    <row r="445" spans="1:1" ht="14.25" customHeight="1" x14ac:dyDescent="0.3">
      <c r="A445" s="11"/>
    </row>
    <row r="446" spans="1:1" ht="14.25" customHeight="1" x14ac:dyDescent="0.3">
      <c r="A446" s="11"/>
    </row>
    <row r="447" spans="1:1" ht="14.25" customHeight="1" x14ac:dyDescent="0.3">
      <c r="A447" s="11"/>
    </row>
    <row r="448" spans="1:1" ht="14.25" customHeight="1" x14ac:dyDescent="0.3">
      <c r="A448" s="11"/>
    </row>
    <row r="449" spans="1:1" ht="14.25" customHeight="1" x14ac:dyDescent="0.3">
      <c r="A449" s="11"/>
    </row>
    <row r="450" spans="1:1" ht="14.25" customHeight="1" x14ac:dyDescent="0.3">
      <c r="A450" s="11"/>
    </row>
    <row r="451" spans="1:1" ht="14.25" customHeight="1" x14ac:dyDescent="0.3">
      <c r="A451" s="11"/>
    </row>
    <row r="452" spans="1:1" ht="14.25" customHeight="1" x14ac:dyDescent="0.3">
      <c r="A452" s="11"/>
    </row>
    <row r="453" spans="1:1" ht="14.25" customHeight="1" x14ac:dyDescent="0.3">
      <c r="A453" s="11"/>
    </row>
    <row r="454" spans="1:1" ht="14.25" customHeight="1" x14ac:dyDescent="0.3">
      <c r="A454" s="11"/>
    </row>
    <row r="455" spans="1:1" ht="14.25" customHeight="1" x14ac:dyDescent="0.3">
      <c r="A455" s="11"/>
    </row>
    <row r="456" spans="1:1" ht="14.25" customHeight="1" x14ac:dyDescent="0.3">
      <c r="A456" s="11"/>
    </row>
    <row r="457" spans="1:1" ht="14.25" customHeight="1" x14ac:dyDescent="0.3">
      <c r="A457" s="11"/>
    </row>
    <row r="458" spans="1:1" ht="14.25" customHeight="1" x14ac:dyDescent="0.3">
      <c r="A458" s="11"/>
    </row>
    <row r="459" spans="1:1" ht="14.25" customHeight="1" x14ac:dyDescent="0.3">
      <c r="A459" s="11"/>
    </row>
    <row r="460" spans="1:1" ht="14.25" customHeight="1" x14ac:dyDescent="0.3">
      <c r="A460" s="11"/>
    </row>
    <row r="461" spans="1:1" ht="14.25" customHeight="1" x14ac:dyDescent="0.3">
      <c r="A461" s="11"/>
    </row>
    <row r="462" spans="1:1" ht="14.25" customHeight="1" x14ac:dyDescent="0.3">
      <c r="A462" s="11"/>
    </row>
    <row r="463" spans="1:1" ht="14.25" customHeight="1" x14ac:dyDescent="0.3">
      <c r="A463" s="11"/>
    </row>
    <row r="464" spans="1:1" ht="14.25" customHeight="1" x14ac:dyDescent="0.3">
      <c r="A464" s="11"/>
    </row>
    <row r="465" spans="1:1" ht="14.25" customHeight="1" x14ac:dyDescent="0.3">
      <c r="A465" s="11"/>
    </row>
    <row r="466" spans="1:1" ht="14.25" customHeight="1" x14ac:dyDescent="0.3">
      <c r="A466" s="11"/>
    </row>
    <row r="467" spans="1:1" ht="14.25" customHeight="1" x14ac:dyDescent="0.3">
      <c r="A467" s="11"/>
    </row>
    <row r="468" spans="1:1" ht="14.25" customHeight="1" x14ac:dyDescent="0.3">
      <c r="A468" s="11"/>
    </row>
    <row r="469" spans="1:1" ht="14.25" customHeight="1" x14ac:dyDescent="0.3">
      <c r="A469" s="11"/>
    </row>
    <row r="470" spans="1:1" ht="14.25" customHeight="1" x14ac:dyDescent="0.3">
      <c r="A470" s="11"/>
    </row>
    <row r="471" spans="1:1" ht="14.25" customHeight="1" x14ac:dyDescent="0.3">
      <c r="A471" s="11"/>
    </row>
    <row r="472" spans="1:1" ht="14.25" customHeight="1" x14ac:dyDescent="0.3">
      <c r="A472" s="11"/>
    </row>
    <row r="473" spans="1:1" ht="14.25" customHeight="1" x14ac:dyDescent="0.3">
      <c r="A473" s="11"/>
    </row>
    <row r="474" spans="1:1" ht="14.25" customHeight="1" x14ac:dyDescent="0.3">
      <c r="A474" s="11"/>
    </row>
    <row r="475" spans="1:1" ht="14.25" customHeight="1" x14ac:dyDescent="0.3">
      <c r="A475" s="11"/>
    </row>
    <row r="476" spans="1:1" ht="14.25" customHeight="1" x14ac:dyDescent="0.3">
      <c r="A476" s="11"/>
    </row>
    <row r="477" spans="1:1" ht="14.25" customHeight="1" x14ac:dyDescent="0.3">
      <c r="A477" s="11"/>
    </row>
    <row r="478" spans="1:1" ht="14.25" customHeight="1" x14ac:dyDescent="0.3">
      <c r="A478" s="11"/>
    </row>
    <row r="479" spans="1:1" ht="14.25" customHeight="1" x14ac:dyDescent="0.3">
      <c r="A479" s="11"/>
    </row>
    <row r="480" spans="1:1" ht="14.25" customHeight="1" x14ac:dyDescent="0.3">
      <c r="A480" s="11"/>
    </row>
    <row r="481" spans="1:1" ht="14.25" customHeight="1" x14ac:dyDescent="0.3">
      <c r="A481" s="11"/>
    </row>
    <row r="482" spans="1:1" ht="14.25" customHeight="1" x14ac:dyDescent="0.3">
      <c r="A482" s="11"/>
    </row>
    <row r="483" spans="1:1" ht="14.25" customHeight="1" x14ac:dyDescent="0.3">
      <c r="A483" s="11"/>
    </row>
    <row r="484" spans="1:1" ht="14.25" customHeight="1" x14ac:dyDescent="0.3">
      <c r="A484" s="11"/>
    </row>
    <row r="485" spans="1:1" ht="14.25" customHeight="1" x14ac:dyDescent="0.3">
      <c r="A485" s="11"/>
    </row>
    <row r="486" spans="1:1" ht="14.25" customHeight="1" x14ac:dyDescent="0.3">
      <c r="A486" s="11"/>
    </row>
    <row r="487" spans="1:1" ht="14.25" customHeight="1" x14ac:dyDescent="0.3">
      <c r="A487" s="11"/>
    </row>
    <row r="488" spans="1:1" ht="14.25" customHeight="1" x14ac:dyDescent="0.3">
      <c r="A488" s="11"/>
    </row>
    <row r="489" spans="1:1" ht="14.25" customHeight="1" x14ac:dyDescent="0.3">
      <c r="A489" s="11"/>
    </row>
    <row r="490" spans="1:1" ht="14.25" customHeight="1" x14ac:dyDescent="0.3">
      <c r="A490" s="11"/>
    </row>
    <row r="491" spans="1:1" ht="14.25" customHeight="1" x14ac:dyDescent="0.3">
      <c r="A491" s="11"/>
    </row>
    <row r="492" spans="1:1" ht="14.25" customHeight="1" x14ac:dyDescent="0.3">
      <c r="A492" s="11"/>
    </row>
    <row r="493" spans="1:1" ht="14.25" customHeight="1" x14ac:dyDescent="0.3">
      <c r="A493" s="11"/>
    </row>
    <row r="494" spans="1:1" ht="14.25" customHeight="1" x14ac:dyDescent="0.3">
      <c r="A494" s="11"/>
    </row>
    <row r="495" spans="1:1" ht="14.25" customHeight="1" x14ac:dyDescent="0.3">
      <c r="A495" s="11"/>
    </row>
    <row r="496" spans="1:1" ht="14.25" customHeight="1" x14ac:dyDescent="0.3">
      <c r="A496" s="11"/>
    </row>
    <row r="497" spans="1:1" ht="14.25" customHeight="1" x14ac:dyDescent="0.3">
      <c r="A497" s="11"/>
    </row>
    <row r="498" spans="1:1" ht="14.25" customHeight="1" x14ac:dyDescent="0.3">
      <c r="A498" s="11"/>
    </row>
    <row r="499" spans="1:1" ht="14.25" customHeight="1" x14ac:dyDescent="0.3">
      <c r="A499" s="11"/>
    </row>
    <row r="500" spans="1:1" ht="14.25" customHeight="1" x14ac:dyDescent="0.3">
      <c r="A500" s="11"/>
    </row>
    <row r="501" spans="1:1" ht="14.25" customHeight="1" x14ac:dyDescent="0.3">
      <c r="A501" s="11"/>
    </row>
    <row r="502" spans="1:1" ht="14.25" customHeight="1" x14ac:dyDescent="0.3">
      <c r="A502" s="11"/>
    </row>
    <row r="503" spans="1:1" ht="14.25" customHeight="1" x14ac:dyDescent="0.3">
      <c r="A503" s="11"/>
    </row>
    <row r="504" spans="1:1" ht="14.25" customHeight="1" x14ac:dyDescent="0.3">
      <c r="A504" s="11"/>
    </row>
    <row r="505" spans="1:1" ht="14.25" customHeight="1" x14ac:dyDescent="0.3">
      <c r="A505" s="11"/>
    </row>
    <row r="506" spans="1:1" ht="14.25" customHeight="1" x14ac:dyDescent="0.3">
      <c r="A506" s="11"/>
    </row>
    <row r="507" spans="1:1" ht="14.25" customHeight="1" x14ac:dyDescent="0.3">
      <c r="A507" s="11"/>
    </row>
    <row r="508" spans="1:1" ht="14.25" customHeight="1" x14ac:dyDescent="0.3">
      <c r="A508" s="11"/>
    </row>
    <row r="509" spans="1:1" ht="14.25" customHeight="1" x14ac:dyDescent="0.3">
      <c r="A509" s="11"/>
    </row>
    <row r="510" spans="1:1" ht="14.25" customHeight="1" x14ac:dyDescent="0.3">
      <c r="A510" s="11"/>
    </row>
    <row r="511" spans="1:1" ht="14.25" customHeight="1" x14ac:dyDescent="0.3">
      <c r="A511" s="11"/>
    </row>
    <row r="512" spans="1:1" ht="14.25" customHeight="1" x14ac:dyDescent="0.3">
      <c r="A512" s="11"/>
    </row>
    <row r="513" spans="1:1" ht="14.25" customHeight="1" x14ac:dyDescent="0.3">
      <c r="A513" s="11"/>
    </row>
    <row r="514" spans="1:1" ht="14.25" customHeight="1" x14ac:dyDescent="0.3">
      <c r="A514" s="11"/>
    </row>
    <row r="515" spans="1:1" ht="14.25" customHeight="1" x14ac:dyDescent="0.3">
      <c r="A515" s="11"/>
    </row>
    <row r="516" spans="1:1" ht="14.25" customHeight="1" x14ac:dyDescent="0.3">
      <c r="A516" s="11"/>
    </row>
    <row r="517" spans="1:1" ht="14.25" customHeight="1" x14ac:dyDescent="0.3">
      <c r="A517" s="11"/>
    </row>
    <row r="518" spans="1:1" ht="14.25" customHeight="1" x14ac:dyDescent="0.3">
      <c r="A518" s="11"/>
    </row>
    <row r="519" spans="1:1" ht="14.25" customHeight="1" x14ac:dyDescent="0.3">
      <c r="A519" s="11"/>
    </row>
    <row r="520" spans="1:1" ht="14.25" customHeight="1" x14ac:dyDescent="0.3">
      <c r="A520" s="11"/>
    </row>
    <row r="521" spans="1:1" ht="14.25" customHeight="1" x14ac:dyDescent="0.3">
      <c r="A521" s="11"/>
    </row>
    <row r="522" spans="1:1" ht="14.25" customHeight="1" x14ac:dyDescent="0.3">
      <c r="A522" s="11"/>
    </row>
    <row r="523" spans="1:1" ht="14.25" customHeight="1" x14ac:dyDescent="0.3">
      <c r="A523" s="11"/>
    </row>
    <row r="524" spans="1:1" ht="14.25" customHeight="1" x14ac:dyDescent="0.3">
      <c r="A524" s="11"/>
    </row>
    <row r="525" spans="1:1" ht="14.25" customHeight="1" x14ac:dyDescent="0.3">
      <c r="A525" s="11"/>
    </row>
    <row r="526" spans="1:1" ht="14.25" customHeight="1" x14ac:dyDescent="0.3">
      <c r="A526" s="11"/>
    </row>
    <row r="527" spans="1:1" ht="14.25" customHeight="1" x14ac:dyDescent="0.3">
      <c r="A527" s="11"/>
    </row>
    <row r="528" spans="1:1" ht="14.25" customHeight="1" x14ac:dyDescent="0.3">
      <c r="A528" s="11"/>
    </row>
    <row r="529" spans="1:1" ht="14.25" customHeight="1" x14ac:dyDescent="0.3">
      <c r="A529" s="11"/>
    </row>
    <row r="530" spans="1:1" ht="14.25" customHeight="1" x14ac:dyDescent="0.3">
      <c r="A530" s="11"/>
    </row>
    <row r="531" spans="1:1" ht="14.25" customHeight="1" x14ac:dyDescent="0.3">
      <c r="A531" s="11"/>
    </row>
    <row r="532" spans="1:1" ht="14.25" customHeight="1" x14ac:dyDescent="0.3">
      <c r="A532" s="11"/>
    </row>
    <row r="533" spans="1:1" ht="14.25" customHeight="1" x14ac:dyDescent="0.3">
      <c r="A533" s="11"/>
    </row>
    <row r="534" spans="1:1" ht="14.25" customHeight="1" x14ac:dyDescent="0.3">
      <c r="A534" s="11"/>
    </row>
    <row r="535" spans="1:1" ht="14.25" customHeight="1" x14ac:dyDescent="0.3">
      <c r="A535" s="11"/>
    </row>
    <row r="536" spans="1:1" ht="14.25" customHeight="1" x14ac:dyDescent="0.3">
      <c r="A536" s="11"/>
    </row>
    <row r="537" spans="1:1" ht="14.25" customHeight="1" x14ac:dyDescent="0.3">
      <c r="A537" s="11"/>
    </row>
    <row r="538" spans="1:1" ht="14.25" customHeight="1" x14ac:dyDescent="0.3">
      <c r="A538" s="11"/>
    </row>
    <row r="539" spans="1:1" ht="14.25" customHeight="1" x14ac:dyDescent="0.3">
      <c r="A539" s="11"/>
    </row>
    <row r="540" spans="1:1" ht="14.25" customHeight="1" x14ac:dyDescent="0.3">
      <c r="A540" s="11"/>
    </row>
    <row r="541" spans="1:1" ht="14.25" customHeight="1" x14ac:dyDescent="0.3">
      <c r="A541" s="11"/>
    </row>
    <row r="542" spans="1:1" ht="14.25" customHeight="1" x14ac:dyDescent="0.3">
      <c r="A542" s="11"/>
    </row>
    <row r="543" spans="1:1" ht="14.25" customHeight="1" x14ac:dyDescent="0.3">
      <c r="A543" s="11"/>
    </row>
    <row r="544" spans="1:1" ht="14.25" customHeight="1" x14ac:dyDescent="0.3">
      <c r="A544" s="11"/>
    </row>
    <row r="545" spans="1:1" ht="14.25" customHeight="1" x14ac:dyDescent="0.3">
      <c r="A545" s="11"/>
    </row>
    <row r="546" spans="1:1" ht="14.25" customHeight="1" x14ac:dyDescent="0.3">
      <c r="A546" s="11"/>
    </row>
    <row r="547" spans="1:1" ht="14.25" customHeight="1" x14ac:dyDescent="0.3">
      <c r="A547" s="11"/>
    </row>
    <row r="548" spans="1:1" ht="14.25" customHeight="1" x14ac:dyDescent="0.3">
      <c r="A548" s="11"/>
    </row>
    <row r="549" spans="1:1" ht="14.25" customHeight="1" x14ac:dyDescent="0.3">
      <c r="A549" s="11"/>
    </row>
    <row r="550" spans="1:1" ht="14.25" customHeight="1" x14ac:dyDescent="0.3">
      <c r="A550" s="11"/>
    </row>
    <row r="551" spans="1:1" ht="14.25" customHeight="1" x14ac:dyDescent="0.3">
      <c r="A551" s="11"/>
    </row>
    <row r="552" spans="1:1" ht="14.25" customHeight="1" x14ac:dyDescent="0.3">
      <c r="A552" s="11"/>
    </row>
    <row r="553" spans="1:1" ht="14.25" customHeight="1" x14ac:dyDescent="0.3">
      <c r="A553" s="11"/>
    </row>
    <row r="554" spans="1:1" ht="14.25" customHeight="1" x14ac:dyDescent="0.3">
      <c r="A554" s="11"/>
    </row>
    <row r="555" spans="1:1" ht="14.25" customHeight="1" x14ac:dyDescent="0.3">
      <c r="A555" s="11"/>
    </row>
    <row r="556" spans="1:1" ht="14.25" customHeight="1" x14ac:dyDescent="0.3">
      <c r="A556" s="11"/>
    </row>
    <row r="557" spans="1:1" ht="14.25" customHeight="1" x14ac:dyDescent="0.3">
      <c r="A557" s="11"/>
    </row>
    <row r="558" spans="1:1" ht="14.25" customHeight="1" x14ac:dyDescent="0.3">
      <c r="A558" s="11"/>
    </row>
    <row r="559" spans="1:1" ht="14.25" customHeight="1" x14ac:dyDescent="0.3">
      <c r="A559" s="11"/>
    </row>
    <row r="560" spans="1:1" ht="14.25" customHeight="1" x14ac:dyDescent="0.3">
      <c r="A560" s="11"/>
    </row>
    <row r="561" spans="1:1" ht="14.25" customHeight="1" x14ac:dyDescent="0.3">
      <c r="A561" s="11"/>
    </row>
    <row r="562" spans="1:1" ht="14.25" customHeight="1" x14ac:dyDescent="0.3">
      <c r="A562" s="11"/>
    </row>
    <row r="563" spans="1:1" ht="14.25" customHeight="1" x14ac:dyDescent="0.3">
      <c r="A563" s="11"/>
    </row>
    <row r="564" spans="1:1" ht="14.25" customHeight="1" x14ac:dyDescent="0.3">
      <c r="A564" s="11"/>
    </row>
    <row r="565" spans="1:1" ht="14.25" customHeight="1" x14ac:dyDescent="0.3">
      <c r="A565" s="11"/>
    </row>
    <row r="566" spans="1:1" ht="14.25" customHeight="1" x14ac:dyDescent="0.3">
      <c r="A566" s="11"/>
    </row>
    <row r="567" spans="1:1" ht="14.25" customHeight="1" x14ac:dyDescent="0.3">
      <c r="A567" s="11"/>
    </row>
    <row r="568" spans="1:1" ht="14.25" customHeight="1" x14ac:dyDescent="0.3">
      <c r="A568" s="11"/>
    </row>
    <row r="569" spans="1:1" ht="14.25" customHeight="1" x14ac:dyDescent="0.3">
      <c r="A569" s="11"/>
    </row>
    <row r="570" spans="1:1" ht="14.25" customHeight="1" x14ac:dyDescent="0.3">
      <c r="A570" s="11"/>
    </row>
    <row r="571" spans="1:1" ht="14.25" customHeight="1" x14ac:dyDescent="0.3">
      <c r="A571" s="11"/>
    </row>
    <row r="572" spans="1:1" ht="14.25" customHeight="1" x14ac:dyDescent="0.3">
      <c r="A572" s="11"/>
    </row>
    <row r="573" spans="1:1" ht="14.25" customHeight="1" x14ac:dyDescent="0.3">
      <c r="A573" s="11"/>
    </row>
    <row r="574" spans="1:1" ht="14.25" customHeight="1" x14ac:dyDescent="0.3">
      <c r="A574" s="11"/>
    </row>
    <row r="575" spans="1:1" ht="14.25" customHeight="1" x14ac:dyDescent="0.3">
      <c r="A575" s="11"/>
    </row>
    <row r="576" spans="1:1" ht="14.25" customHeight="1" x14ac:dyDescent="0.3">
      <c r="A576" s="11"/>
    </row>
    <row r="577" spans="1:1" ht="14.25" customHeight="1" x14ac:dyDescent="0.3">
      <c r="A577" s="11"/>
    </row>
    <row r="578" spans="1:1" ht="14.25" customHeight="1" x14ac:dyDescent="0.3">
      <c r="A578" s="11"/>
    </row>
    <row r="579" spans="1:1" ht="14.25" customHeight="1" x14ac:dyDescent="0.3">
      <c r="A579" s="11"/>
    </row>
    <row r="580" spans="1:1" ht="14.25" customHeight="1" x14ac:dyDescent="0.3">
      <c r="A580" s="11"/>
    </row>
    <row r="581" spans="1:1" ht="14.25" customHeight="1" x14ac:dyDescent="0.3">
      <c r="A581" s="11"/>
    </row>
    <row r="582" spans="1:1" ht="14.25" customHeight="1" x14ac:dyDescent="0.3">
      <c r="A582" s="11"/>
    </row>
    <row r="583" spans="1:1" ht="14.25" customHeight="1" x14ac:dyDescent="0.3">
      <c r="A583" s="11"/>
    </row>
    <row r="584" spans="1:1" ht="14.25" customHeight="1" x14ac:dyDescent="0.3">
      <c r="A584" s="11"/>
    </row>
    <row r="585" spans="1:1" ht="14.25" customHeight="1" x14ac:dyDescent="0.3">
      <c r="A585" s="11"/>
    </row>
    <row r="586" spans="1:1" ht="14.25" customHeight="1" x14ac:dyDescent="0.3">
      <c r="A586" s="11"/>
    </row>
    <row r="587" spans="1:1" ht="14.25" customHeight="1" x14ac:dyDescent="0.3">
      <c r="A587" s="11"/>
    </row>
    <row r="588" spans="1:1" ht="14.25" customHeight="1" x14ac:dyDescent="0.3">
      <c r="A588" s="11"/>
    </row>
    <row r="589" spans="1:1" ht="14.25" customHeight="1" x14ac:dyDescent="0.3">
      <c r="A589" s="11"/>
    </row>
    <row r="590" spans="1:1" ht="14.25" customHeight="1" x14ac:dyDescent="0.3">
      <c r="A590" s="11"/>
    </row>
    <row r="591" spans="1:1" ht="14.25" customHeight="1" x14ac:dyDescent="0.3">
      <c r="A591" s="11"/>
    </row>
    <row r="592" spans="1:1" ht="14.25" customHeight="1" x14ac:dyDescent="0.3">
      <c r="A592" s="11"/>
    </row>
    <row r="593" spans="1:1" ht="14.25" customHeight="1" x14ac:dyDescent="0.3">
      <c r="A593" s="11"/>
    </row>
    <row r="594" spans="1:1" ht="14.25" customHeight="1" x14ac:dyDescent="0.3">
      <c r="A594" s="11"/>
    </row>
    <row r="595" spans="1:1" ht="14.25" customHeight="1" x14ac:dyDescent="0.3">
      <c r="A595" s="11"/>
    </row>
    <row r="596" spans="1:1" ht="14.25" customHeight="1" x14ac:dyDescent="0.3">
      <c r="A596" s="11"/>
    </row>
    <row r="597" spans="1:1" ht="14.25" customHeight="1" x14ac:dyDescent="0.3">
      <c r="A597" s="11"/>
    </row>
    <row r="598" spans="1:1" ht="14.25" customHeight="1" x14ac:dyDescent="0.3">
      <c r="A598" s="11"/>
    </row>
    <row r="599" spans="1:1" ht="14.25" customHeight="1" x14ac:dyDescent="0.3">
      <c r="A599" s="11"/>
    </row>
    <row r="600" spans="1:1" ht="14.25" customHeight="1" x14ac:dyDescent="0.3">
      <c r="A600" s="11"/>
    </row>
    <row r="601" spans="1:1" ht="14.25" customHeight="1" x14ac:dyDescent="0.3">
      <c r="A601" s="11"/>
    </row>
    <row r="602" spans="1:1" ht="14.25" customHeight="1" x14ac:dyDescent="0.3">
      <c r="A602" s="11"/>
    </row>
    <row r="603" spans="1:1" ht="14.25" customHeight="1" x14ac:dyDescent="0.3">
      <c r="A603" s="11"/>
    </row>
    <row r="604" spans="1:1" ht="14.25" customHeight="1" x14ac:dyDescent="0.3">
      <c r="A604" s="11"/>
    </row>
    <row r="605" spans="1:1" ht="14.25" customHeight="1" x14ac:dyDescent="0.3">
      <c r="A605" s="11"/>
    </row>
    <row r="606" spans="1:1" ht="14.25" customHeight="1" x14ac:dyDescent="0.3">
      <c r="A606" s="11"/>
    </row>
    <row r="607" spans="1:1" ht="14.25" customHeight="1" x14ac:dyDescent="0.3">
      <c r="A607" s="11"/>
    </row>
    <row r="608" spans="1:1" ht="14.25" customHeight="1" x14ac:dyDescent="0.3">
      <c r="A608" s="11"/>
    </row>
    <row r="609" spans="1:1" ht="14.25" customHeight="1" x14ac:dyDescent="0.3">
      <c r="A609" s="11"/>
    </row>
    <row r="610" spans="1:1" ht="14.25" customHeight="1" x14ac:dyDescent="0.3">
      <c r="A610" s="11"/>
    </row>
    <row r="611" spans="1:1" ht="14.25" customHeight="1" x14ac:dyDescent="0.3">
      <c r="A611" s="11"/>
    </row>
    <row r="612" spans="1:1" ht="14.25" customHeight="1" x14ac:dyDescent="0.3">
      <c r="A612" s="11"/>
    </row>
    <row r="613" spans="1:1" ht="14.25" customHeight="1" x14ac:dyDescent="0.3">
      <c r="A613" s="11"/>
    </row>
    <row r="614" spans="1:1" ht="14.25" customHeight="1" x14ac:dyDescent="0.3">
      <c r="A614" s="11"/>
    </row>
    <row r="615" spans="1:1" ht="14.25" customHeight="1" x14ac:dyDescent="0.3">
      <c r="A615" s="11"/>
    </row>
    <row r="616" spans="1:1" ht="14.25" customHeight="1" x14ac:dyDescent="0.3">
      <c r="A616" s="11"/>
    </row>
    <row r="617" spans="1:1" ht="14.25" customHeight="1" x14ac:dyDescent="0.3">
      <c r="A617" s="11"/>
    </row>
    <row r="618" spans="1:1" ht="14.25" customHeight="1" x14ac:dyDescent="0.3"/>
    <row r="619" spans="1:1" ht="14.25" customHeight="1" x14ac:dyDescent="0.3"/>
    <row r="620" spans="1:1" ht="14.25" customHeight="1" x14ac:dyDescent="0.3"/>
    <row r="621" spans="1:1" ht="14.25" customHeight="1" x14ac:dyDescent="0.3"/>
    <row r="622" spans="1:1" ht="14.25" customHeight="1" x14ac:dyDescent="0.3"/>
    <row r="623" spans="1:1" ht="14.25" customHeight="1" x14ac:dyDescent="0.3"/>
    <row r="624" spans="1:1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</sheetData>
  <mergeCells count="1">
    <mergeCell ref="C1:D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BF20-AB16-4255-9759-62A2B47FE134}">
  <dimension ref="A1:O167"/>
  <sheetViews>
    <sheetView topLeftCell="C1" zoomScale="93" workbookViewId="0">
      <selection activeCell="L7" sqref="L7"/>
    </sheetView>
  </sheetViews>
  <sheetFormatPr defaultRowHeight="14.4" x14ac:dyDescent="0.3"/>
  <cols>
    <col min="1" max="1" width="10.88671875" bestFit="1" customWidth="1"/>
    <col min="2" max="2" width="14.109375" customWidth="1"/>
    <col min="3" max="3" width="17.109375" customWidth="1"/>
    <col min="4" max="4" width="5" customWidth="1"/>
    <col min="5" max="5" width="19.33203125" bestFit="1" customWidth="1"/>
    <col min="6" max="6" width="18.5546875" bestFit="1" customWidth="1"/>
    <col min="7" max="7" width="4.77734375" customWidth="1"/>
    <col min="8" max="8" width="17.33203125" bestFit="1" customWidth="1"/>
    <col min="9" max="9" width="15.44140625" bestFit="1" customWidth="1"/>
    <col min="11" max="11" width="11.33203125" bestFit="1" customWidth="1"/>
    <col min="12" max="15" width="10.33203125" customWidth="1"/>
  </cols>
  <sheetData>
    <row r="1" spans="1:15" x14ac:dyDescent="0.3">
      <c r="A1" s="21" t="s">
        <v>0</v>
      </c>
      <c r="B1" s="21" t="s">
        <v>66</v>
      </c>
      <c r="C1" s="21" t="s">
        <v>77</v>
      </c>
      <c r="D1" s="14"/>
      <c r="E1" s="22" t="s">
        <v>74</v>
      </c>
      <c r="F1" s="22" t="s">
        <v>73</v>
      </c>
      <c r="G1" s="14"/>
      <c r="H1" s="22" t="s">
        <v>75</v>
      </c>
      <c r="I1" s="22" t="s">
        <v>76</v>
      </c>
      <c r="K1" s="8"/>
      <c r="L1" s="7" t="s">
        <v>3</v>
      </c>
      <c r="M1" s="7" t="s">
        <v>4</v>
      </c>
      <c r="N1" s="7" t="s">
        <v>56</v>
      </c>
      <c r="O1" s="7" t="s">
        <v>59</v>
      </c>
    </row>
    <row r="2" spans="1:15" x14ac:dyDescent="0.3">
      <c r="A2" s="2">
        <v>45658</v>
      </c>
      <c r="B2" s="3">
        <v>100</v>
      </c>
      <c r="C2" s="4">
        <v>100</v>
      </c>
      <c r="E2" s="4">
        <f>MAX($B$2:B2)</f>
        <v>100</v>
      </c>
      <c r="F2" s="5">
        <f>B2/E2-1</f>
        <v>0</v>
      </c>
      <c r="H2" s="4">
        <f>MAX($C$2:C2)</f>
        <v>100</v>
      </c>
      <c r="I2" s="5">
        <f t="shared" ref="I2:I33" si="0">C2/H2-1</f>
        <v>0</v>
      </c>
      <c r="K2" s="8" t="s">
        <v>66</v>
      </c>
      <c r="L2" s="4">
        <f>AVERAGE(B2:B167)</f>
        <v>101.38439230051118</v>
      </c>
      <c r="M2" s="4">
        <f>STDEV(B2:B167)</f>
        <v>4.0631829902664904</v>
      </c>
      <c r="N2" s="4">
        <f>(M2/L2)*100</f>
        <v>4.0077006904799521</v>
      </c>
      <c r="O2" s="5">
        <f>MIN(F2:F167)</f>
        <v>-8.706562788745964E-2</v>
      </c>
    </row>
    <row r="3" spans="1:15" x14ac:dyDescent="0.3">
      <c r="A3" s="2">
        <v>45659</v>
      </c>
      <c r="B3" s="3">
        <v>101.87740335005412</v>
      </c>
      <c r="C3" s="4">
        <v>102.27570779063562</v>
      </c>
      <c r="E3" s="4">
        <f>MAX($B$2:B3)</f>
        <v>101.87740335005412</v>
      </c>
      <c r="F3" s="5">
        <f t="shared" ref="F3:F33" si="1">B3/E3-1</f>
        <v>0</v>
      </c>
      <c r="H3" s="4">
        <f>MAX($C$2:C3)</f>
        <v>102.27570779063562</v>
      </c>
      <c r="I3" s="5">
        <f t="shared" si="0"/>
        <v>0</v>
      </c>
      <c r="K3" s="8" t="s">
        <v>77</v>
      </c>
      <c r="L3" s="4">
        <f>AVERAGE(B3:B168)</f>
        <v>101.39278255687795</v>
      </c>
      <c r="M3" s="4">
        <f>STDEV(C2:C167)</f>
        <v>3.9430157324584783</v>
      </c>
      <c r="N3" s="4">
        <f>(M3/L3)*100</f>
        <v>3.8888524735442376</v>
      </c>
      <c r="O3" s="5">
        <f>MIN(I2:I167)</f>
        <v>-9.105480369245178E-2</v>
      </c>
    </row>
    <row r="4" spans="1:15" x14ac:dyDescent="0.3">
      <c r="A4" s="2">
        <v>45660</v>
      </c>
      <c r="B4" s="3">
        <v>101.10285601169191</v>
      </c>
      <c r="C4" s="4">
        <v>101.89595519777401</v>
      </c>
      <c r="E4" s="4">
        <f>MAX($B$2:B4)</f>
        <v>101.87740335005412</v>
      </c>
      <c r="F4" s="5">
        <f t="shared" si="1"/>
        <v>-7.6027393012839672E-3</v>
      </c>
      <c r="H4" s="4">
        <f>MAX($C$2:C4)</f>
        <v>102.27570779063562</v>
      </c>
      <c r="I4" s="5">
        <f t="shared" si="0"/>
        <v>-3.7130282553408112E-3</v>
      </c>
    </row>
    <row r="5" spans="1:15" x14ac:dyDescent="0.3">
      <c r="A5" s="2">
        <v>45663</v>
      </c>
      <c r="B5" s="3">
        <v>99.465735019732207</v>
      </c>
      <c r="C5" s="4">
        <v>100.12243930933198</v>
      </c>
      <c r="E5" s="4">
        <f>MAX($B$2:B5)</f>
        <v>101.87740335005412</v>
      </c>
      <c r="F5" s="5">
        <f t="shared" si="1"/>
        <v>-2.3672259510142291E-2</v>
      </c>
      <c r="H5" s="4">
        <f>MAX($C$2:C5)</f>
        <v>102.27570779063562</v>
      </c>
      <c r="I5" s="5">
        <f t="shared" si="0"/>
        <v>-2.1053567145304042E-2</v>
      </c>
      <c r="N5" s="24" t="s">
        <v>79</v>
      </c>
      <c r="O5" s="25">
        <f>CORREL(B2:B167,C2:C167)</f>
        <v>0.99141111649224223</v>
      </c>
    </row>
    <row r="6" spans="1:15" x14ac:dyDescent="0.3">
      <c r="A6" s="2">
        <v>45664</v>
      </c>
      <c r="B6" s="3">
        <v>99.852587510371521</v>
      </c>
      <c r="C6" s="4">
        <v>100.47834074413942</v>
      </c>
      <c r="E6" s="4">
        <f>MAX($B$2:B6)</f>
        <v>101.87740335005412</v>
      </c>
      <c r="F6" s="5">
        <f t="shared" si="1"/>
        <v>-1.9875024029865296E-2</v>
      </c>
      <c r="H6" s="4">
        <f>MAX($C$2:C6)</f>
        <v>102.27570779063562</v>
      </c>
      <c r="I6" s="5">
        <f t="shared" si="0"/>
        <v>-1.7573743416916976E-2</v>
      </c>
    </row>
    <row r="7" spans="1:15" x14ac:dyDescent="0.3">
      <c r="A7" s="2">
        <v>45665</v>
      </c>
      <c r="B7" s="3">
        <v>99.772774176701233</v>
      </c>
      <c r="C7" s="4">
        <v>100.26648551311381</v>
      </c>
      <c r="E7" s="4">
        <f>MAX($B$2:B7)</f>
        <v>101.87740335005412</v>
      </c>
      <c r="F7" s="5">
        <f t="shared" si="1"/>
        <v>-2.065844931403793E-2</v>
      </c>
      <c r="H7" s="4">
        <f>MAX($C$2:C7)</f>
        <v>102.27570779063562</v>
      </c>
      <c r="I7" s="5">
        <f t="shared" si="0"/>
        <v>-1.9645156420083798E-2</v>
      </c>
      <c r="L7" s="34"/>
    </row>
    <row r="8" spans="1:15" x14ac:dyDescent="0.3">
      <c r="A8" s="2">
        <v>45666</v>
      </c>
      <c r="B8" s="3">
        <v>99.088569635554208</v>
      </c>
      <c r="C8" s="4">
        <v>99.604174078026844</v>
      </c>
      <c r="E8" s="4">
        <f>MAX($B$2:B8)</f>
        <v>101.87740335005412</v>
      </c>
      <c r="F8" s="5">
        <f t="shared" si="1"/>
        <v>-2.7374409072023487E-2</v>
      </c>
      <c r="H8" s="4">
        <f>MAX($C$2:C8)</f>
        <v>102.27570779063562</v>
      </c>
      <c r="I8" s="5">
        <f t="shared" si="0"/>
        <v>-2.6120901730424251E-2</v>
      </c>
    </row>
    <row r="9" spans="1:15" x14ac:dyDescent="0.3">
      <c r="A9" s="2">
        <v>45667</v>
      </c>
      <c r="B9" s="3">
        <v>98.688450020848322</v>
      </c>
      <c r="C9" s="4">
        <v>98.825808165956246</v>
      </c>
      <c r="E9" s="4">
        <f>MAX($B$2:B9)</f>
        <v>101.87740335005412</v>
      </c>
      <c r="F9" s="5">
        <f t="shared" si="1"/>
        <v>-3.130187091879888E-2</v>
      </c>
      <c r="H9" s="4">
        <f>MAX($C$2:C9)</f>
        <v>102.27570779063562</v>
      </c>
      <c r="I9" s="5">
        <f t="shared" si="0"/>
        <v>-3.3731368857808586E-2</v>
      </c>
    </row>
    <row r="10" spans="1:15" x14ac:dyDescent="0.3">
      <c r="A10" s="2">
        <v>45670</v>
      </c>
      <c r="B10" s="3">
        <v>97.233067569673466</v>
      </c>
      <c r="C10" s="4">
        <v>96.857484295060587</v>
      </c>
      <c r="E10" s="4">
        <f>MAX($B$2:B10)</f>
        <v>101.87740335005412</v>
      </c>
      <c r="F10" s="5">
        <f t="shared" si="1"/>
        <v>-4.5587496615147938E-2</v>
      </c>
      <c r="H10" s="4">
        <f>MAX($C$2:C10)</f>
        <v>102.27570779063562</v>
      </c>
      <c r="I10" s="5">
        <f t="shared" si="0"/>
        <v>-5.2976641400189095E-2</v>
      </c>
      <c r="K10" s="37" t="s">
        <v>78</v>
      </c>
      <c r="L10" s="37"/>
      <c r="M10" s="37"/>
    </row>
    <row r="11" spans="1:15" x14ac:dyDescent="0.3">
      <c r="A11" s="2">
        <v>45671</v>
      </c>
      <c r="B11" s="3">
        <v>97.612549435831326</v>
      </c>
      <c r="C11" s="4">
        <v>97.632483938302002</v>
      </c>
      <c r="E11" s="4">
        <f>MAX($B$2:B11)</f>
        <v>101.87740335005412</v>
      </c>
      <c r="F11" s="5">
        <f t="shared" si="1"/>
        <v>-4.1862609116259275E-2</v>
      </c>
      <c r="H11" s="4">
        <f>MAX($C$2:C11)</f>
        <v>102.27570779063562</v>
      </c>
      <c r="I11" s="5">
        <f t="shared" si="0"/>
        <v>-4.5399087942158967E-2</v>
      </c>
      <c r="L11" s="21" t="s">
        <v>66</v>
      </c>
      <c r="M11" s="21" t="s">
        <v>77</v>
      </c>
    </row>
    <row r="12" spans="1:15" x14ac:dyDescent="0.3">
      <c r="A12" s="2">
        <v>45672</v>
      </c>
      <c r="B12" s="3">
        <v>97.769017264108427</v>
      </c>
      <c r="C12" s="4">
        <v>97.75977819749032</v>
      </c>
      <c r="E12" s="4">
        <f>MAX($B$2:B12)</f>
        <v>101.87740335005412</v>
      </c>
      <c r="F12" s="5">
        <f t="shared" si="1"/>
        <v>-4.0326764825651673E-2</v>
      </c>
      <c r="H12" s="4">
        <f>MAX($C$2:C12)</f>
        <v>102.27570779063562</v>
      </c>
      <c r="I12" s="5">
        <f t="shared" si="0"/>
        <v>-4.4154469235154759E-2</v>
      </c>
      <c r="K12" s="23">
        <v>45658</v>
      </c>
      <c r="L12">
        <v>100</v>
      </c>
      <c r="M12">
        <v>100</v>
      </c>
    </row>
    <row r="13" spans="1:15" x14ac:dyDescent="0.3">
      <c r="A13" s="2">
        <v>45673</v>
      </c>
      <c r="B13" s="3">
        <v>98.184299306318934</v>
      </c>
      <c r="C13" s="4">
        <v>98.30502850554285</v>
      </c>
      <c r="E13" s="4">
        <f>MAX($B$2:B13)</f>
        <v>101.87740335005412</v>
      </c>
      <c r="F13" s="5">
        <f t="shared" si="1"/>
        <v>-3.6250472845735571E-2</v>
      </c>
      <c r="H13" s="4">
        <f>MAX($C$2:C13)</f>
        <v>102.27570779063562</v>
      </c>
      <c r="I13" s="5">
        <f t="shared" si="0"/>
        <v>-3.8823288255516064E-2</v>
      </c>
      <c r="K13" s="23">
        <v>45689</v>
      </c>
      <c r="L13" s="3">
        <v>98.901776952267838</v>
      </c>
      <c r="M13" s="4">
        <v>99.41937217556783</v>
      </c>
    </row>
    <row r="14" spans="1:15" x14ac:dyDescent="0.3">
      <c r="A14" s="2">
        <v>45674</v>
      </c>
      <c r="B14" s="3">
        <v>97.726899409928862</v>
      </c>
      <c r="C14" s="4">
        <v>98.421701862968206</v>
      </c>
      <c r="E14" s="4">
        <f>MAX($B$2:B14)</f>
        <v>101.87740335005412</v>
      </c>
      <c r="F14" s="5">
        <f t="shared" si="1"/>
        <v>-4.0740181862154334E-2</v>
      </c>
      <c r="H14" s="4">
        <f>MAX($C$2:C14)</f>
        <v>102.27570779063562</v>
      </c>
      <c r="I14" s="5">
        <f t="shared" si="0"/>
        <v>-3.7682515339388267E-2</v>
      </c>
      <c r="K14" s="23">
        <v>45719</v>
      </c>
      <c r="L14" s="3">
        <v>93.161745195405771</v>
      </c>
      <c r="M14" s="4">
        <v>93.316289568325899</v>
      </c>
    </row>
    <row r="15" spans="1:15" x14ac:dyDescent="0.3">
      <c r="A15" s="2">
        <v>45677</v>
      </c>
      <c r="B15" s="3">
        <v>98.323077635840605</v>
      </c>
      <c r="C15" s="4">
        <v>98.843090661267269</v>
      </c>
      <c r="E15" s="4">
        <f>MAX($B$2:B15)</f>
        <v>101.87740335005412</v>
      </c>
      <c r="F15" s="5">
        <f t="shared" si="1"/>
        <v>-3.4888263710459277E-2</v>
      </c>
      <c r="H15" s="4">
        <f>MAX($C$2:C15)</f>
        <v>102.27570779063562</v>
      </c>
      <c r="I15" s="5">
        <f t="shared" si="0"/>
        <v>-3.3562389383753999E-2</v>
      </c>
      <c r="K15" s="23">
        <v>45748</v>
      </c>
      <c r="L15" s="3">
        <v>97.568957456755484</v>
      </c>
      <c r="M15" s="4">
        <v>97.619193789811931</v>
      </c>
    </row>
    <row r="16" spans="1:15" x14ac:dyDescent="0.3">
      <c r="A16" s="2">
        <v>45678</v>
      </c>
      <c r="B16" s="3">
        <v>96.974885123552724</v>
      </c>
      <c r="C16" s="4">
        <v>97.374382689409273</v>
      </c>
      <c r="E16" s="4">
        <f>MAX($B$2:B16)</f>
        <v>101.87740335005412</v>
      </c>
      <c r="F16" s="5">
        <f t="shared" si="1"/>
        <v>-4.8121743048909371E-2</v>
      </c>
      <c r="H16" s="4">
        <f>MAX($C$2:C16)</f>
        <v>102.27570779063562</v>
      </c>
      <c r="I16" s="5">
        <f t="shared" si="0"/>
        <v>-4.7922671053615695E-2</v>
      </c>
      <c r="K16" s="23">
        <v>45779</v>
      </c>
      <c r="L16" s="3">
        <v>102.54307603536215</v>
      </c>
      <c r="M16" s="4">
        <v>101.2474459854932</v>
      </c>
    </row>
    <row r="17" spans="1:13" x14ac:dyDescent="0.3">
      <c r="A17" s="2">
        <v>45679</v>
      </c>
      <c r="B17" s="3">
        <v>97.525365477679628</v>
      </c>
      <c r="C17" s="4">
        <v>97.649028159314526</v>
      </c>
      <c r="E17" s="4">
        <f>MAX($B$2:B17)</f>
        <v>101.87740335005412</v>
      </c>
      <c r="F17" s="5">
        <f t="shared" si="1"/>
        <v>-4.2718382381819686E-2</v>
      </c>
      <c r="H17" s="4">
        <f>MAX($C$2:C17)</f>
        <v>102.27570779063562</v>
      </c>
      <c r="I17" s="5">
        <f t="shared" si="0"/>
        <v>-4.5237326939767342E-2</v>
      </c>
      <c r="K17" s="23">
        <v>45810</v>
      </c>
      <c r="L17" s="3">
        <v>104.10101546146426</v>
      </c>
      <c r="M17" s="4">
        <v>103.51874120861426</v>
      </c>
    </row>
    <row r="18" spans="1:13" x14ac:dyDescent="0.3">
      <c r="A18" s="2">
        <v>45680</v>
      </c>
      <c r="B18" s="3">
        <v>97.735954748577456</v>
      </c>
      <c r="C18" s="4">
        <v>98.210166035693547</v>
      </c>
      <c r="E18" s="4">
        <f>MAX($B$2:B18)</f>
        <v>101.87740335005412</v>
      </c>
      <c r="F18" s="5">
        <f t="shared" si="1"/>
        <v>-4.0651297199306491E-2</v>
      </c>
      <c r="H18" s="4">
        <f>MAX($C$2:C18)</f>
        <v>102.27570779063562</v>
      </c>
      <c r="I18" s="5">
        <f t="shared" si="0"/>
        <v>-3.9750805374669018E-2</v>
      </c>
      <c r="K18" s="23">
        <v>45839</v>
      </c>
      <c r="L18" s="3">
        <v>107.57658078836198</v>
      </c>
      <c r="M18" s="4">
        <v>107.32735029485963</v>
      </c>
    </row>
    <row r="19" spans="1:13" x14ac:dyDescent="0.3">
      <c r="A19" s="2">
        <v>45681</v>
      </c>
      <c r="B19" s="3">
        <v>97.259391228535691</v>
      </c>
      <c r="C19" s="4">
        <v>97.523569085240112</v>
      </c>
      <c r="E19" s="4">
        <f>MAX($B$2:B19)</f>
        <v>101.87740335005412</v>
      </c>
      <c r="F19" s="5">
        <f t="shared" si="1"/>
        <v>-4.532911096733383E-2</v>
      </c>
      <c r="H19" s="4">
        <f>MAX($C$2:C19)</f>
        <v>102.27570779063562</v>
      </c>
      <c r="I19" s="5">
        <f t="shared" si="0"/>
        <v>-4.6464002137471594E-2</v>
      </c>
      <c r="K19" s="23">
        <v>45870</v>
      </c>
      <c r="L19" s="3">
        <v>103.46398291699835</v>
      </c>
      <c r="M19" s="4">
        <v>102.63190476228424</v>
      </c>
    </row>
    <row r="20" spans="1:13" x14ac:dyDescent="0.3">
      <c r="A20" s="2">
        <v>45684</v>
      </c>
      <c r="B20" s="3">
        <v>96.151481074342229</v>
      </c>
      <c r="C20" s="4">
        <v>95.966688487278887</v>
      </c>
      <c r="E20" s="4">
        <f>MAX($B$2:B20)</f>
        <v>101.87740335005412</v>
      </c>
      <c r="F20" s="5">
        <f t="shared" si="1"/>
        <v>-5.6204046112536266E-2</v>
      </c>
      <c r="H20" s="4">
        <f>MAX($C$2:C20)</f>
        <v>102.27570779063562</v>
      </c>
      <c r="I20" s="5">
        <f t="shared" si="0"/>
        <v>-6.1686391027199416E-2</v>
      </c>
      <c r="K20" s="23">
        <v>45901</v>
      </c>
      <c r="L20" s="3">
        <v>103.71542650645034</v>
      </c>
      <c r="M20" s="4">
        <v>105.44246625268502</v>
      </c>
    </row>
    <row r="21" spans="1:13" x14ac:dyDescent="0.3">
      <c r="A21" s="2">
        <v>45685</v>
      </c>
      <c r="B21" s="3">
        <v>96.691010786382449</v>
      </c>
      <c r="C21" s="4">
        <v>96.121721445971602</v>
      </c>
      <c r="E21" s="4">
        <f>MAX($B$2:B21)</f>
        <v>101.87740335005412</v>
      </c>
      <c r="F21" s="5">
        <f t="shared" si="1"/>
        <v>-5.090817387493729E-2</v>
      </c>
      <c r="H21" s="4">
        <f>MAX($C$2:C21)</f>
        <v>102.27570779063562</v>
      </c>
      <c r="I21" s="5">
        <f t="shared" si="0"/>
        <v>-6.0170557384570666E-2</v>
      </c>
    </row>
    <row r="22" spans="1:13" x14ac:dyDescent="0.3">
      <c r="A22" s="2">
        <v>45686</v>
      </c>
      <c r="B22" s="3">
        <v>97.558006814668801</v>
      </c>
      <c r="C22" s="4">
        <v>97.538931309906303</v>
      </c>
      <c r="E22" s="4">
        <f>MAX($B$2:B22)</f>
        <v>101.87740335005412</v>
      </c>
      <c r="F22" s="5">
        <f t="shared" si="1"/>
        <v>-4.2397984178530135E-2</v>
      </c>
      <c r="H22" s="4">
        <f>MAX($C$2:C22)</f>
        <v>102.27570779063562</v>
      </c>
      <c r="I22" s="5">
        <f t="shared" si="0"/>
        <v>-4.6313798095885872E-2</v>
      </c>
    </row>
    <row r="23" spans="1:13" x14ac:dyDescent="0.3">
      <c r="A23" s="2">
        <v>45687</v>
      </c>
      <c r="B23" s="3">
        <v>97.921905074780241</v>
      </c>
      <c r="C23" s="4">
        <v>97.852004770646118</v>
      </c>
      <c r="E23" s="4">
        <f>MAX($B$2:B23)</f>
        <v>101.87740335005412</v>
      </c>
      <c r="F23" s="5">
        <f t="shared" si="1"/>
        <v>-3.8826060983147115E-2</v>
      </c>
      <c r="H23" s="4">
        <f>MAX($C$2:C23)</f>
        <v>102.27570779063562</v>
      </c>
      <c r="I23" s="5">
        <f t="shared" si="0"/>
        <v>-4.325272457703333E-2</v>
      </c>
    </row>
    <row r="24" spans="1:13" x14ac:dyDescent="0.3">
      <c r="A24" s="2">
        <v>45688</v>
      </c>
      <c r="B24" s="3">
        <v>99.012336319489194</v>
      </c>
      <c r="C24" s="4">
        <v>99.373964387941399</v>
      </c>
      <c r="E24" s="4">
        <f>MAX($B$2:B24)</f>
        <v>101.87740335005412</v>
      </c>
      <c r="F24" s="5">
        <f t="shared" si="1"/>
        <v>-2.8122693908093299E-2</v>
      </c>
      <c r="H24" s="4">
        <f>MAX($C$2:C24)</f>
        <v>102.27570779063562</v>
      </c>
      <c r="I24" s="5">
        <f t="shared" si="0"/>
        <v>-2.8371775325517823E-2</v>
      </c>
    </row>
    <row r="25" spans="1:13" x14ac:dyDescent="0.3">
      <c r="A25" s="2">
        <v>45689</v>
      </c>
      <c r="B25" s="3">
        <v>98.901776952267838</v>
      </c>
      <c r="C25" s="4">
        <v>99.41937217556783</v>
      </c>
      <c r="E25" s="4">
        <f>MAX($B$2:B25)</f>
        <v>101.87740335005412</v>
      </c>
      <c r="F25" s="5">
        <f t="shared" si="1"/>
        <v>-2.9207913628912729E-2</v>
      </c>
      <c r="H25" s="4">
        <f>MAX($C$2:C25)</f>
        <v>102.27570779063562</v>
      </c>
      <c r="I25" s="5">
        <f t="shared" si="0"/>
        <v>-2.7927801007399333E-2</v>
      </c>
    </row>
    <row r="26" spans="1:13" x14ac:dyDescent="0.3">
      <c r="A26" s="2">
        <v>45691</v>
      </c>
      <c r="B26" s="3">
        <v>98.391729738153288</v>
      </c>
      <c r="C26" s="4">
        <v>98.941729987861081</v>
      </c>
      <c r="E26" s="4">
        <f>MAX($B$2:B26)</f>
        <v>101.87740335005412</v>
      </c>
      <c r="F26" s="5">
        <f t="shared" si="1"/>
        <v>-3.4214393940960042E-2</v>
      </c>
      <c r="H26" s="4">
        <f>MAX($C$2:C26)</f>
        <v>102.27570779063562</v>
      </c>
      <c r="I26" s="5">
        <f t="shared" si="0"/>
        <v>-3.2597944074847063E-2</v>
      </c>
    </row>
    <row r="27" spans="1:13" x14ac:dyDescent="0.3">
      <c r="A27" s="2">
        <v>45692</v>
      </c>
      <c r="B27" s="3">
        <v>99.984626983224459</v>
      </c>
      <c r="C27" s="4">
        <v>100.19949615418228</v>
      </c>
      <c r="E27" s="4">
        <f>MAX($B$2:B27)</f>
        <v>101.87740335005412</v>
      </c>
      <c r="F27" s="5">
        <f t="shared" si="1"/>
        <v>-1.8578961620429491E-2</v>
      </c>
      <c r="H27" s="4">
        <f>MAX($C$2:C27)</f>
        <v>102.27570779063562</v>
      </c>
      <c r="I27" s="5">
        <f t="shared" si="0"/>
        <v>-2.0300144396981024E-2</v>
      </c>
    </row>
    <row r="28" spans="1:13" x14ac:dyDescent="0.3">
      <c r="A28" s="2">
        <v>45693</v>
      </c>
      <c r="B28" s="3">
        <v>99.803730799523223</v>
      </c>
      <c r="C28" s="4">
        <v>100.10187402961645</v>
      </c>
      <c r="E28" s="4">
        <f>MAX($B$2:B28)</f>
        <v>101.87740335005412</v>
      </c>
      <c r="F28" s="5">
        <f t="shared" si="1"/>
        <v>-2.0354587792208334E-2</v>
      </c>
      <c r="H28" s="4">
        <f>MAX($C$2:C28)</f>
        <v>102.27570779063562</v>
      </c>
      <c r="I28" s="5">
        <f t="shared" si="0"/>
        <v>-2.1254644020348712E-2</v>
      </c>
    </row>
    <row r="29" spans="1:13" x14ac:dyDescent="0.3">
      <c r="A29" s="2">
        <v>45694</v>
      </c>
      <c r="B29" s="3">
        <v>99.412245344924159</v>
      </c>
      <c r="C29" s="4">
        <v>99.506661817125845</v>
      </c>
      <c r="E29" s="4">
        <f>MAX($B$2:B29)</f>
        <v>101.87740335005412</v>
      </c>
      <c r="F29" s="5">
        <f t="shared" si="1"/>
        <v>-2.4197299146500595E-2</v>
      </c>
      <c r="H29" s="4">
        <f>MAX($C$2:C29)</f>
        <v>102.27570779063562</v>
      </c>
      <c r="I29" s="5">
        <f t="shared" si="0"/>
        <v>-2.707432716259639E-2</v>
      </c>
    </row>
    <row r="30" spans="1:13" x14ac:dyDescent="0.3">
      <c r="A30" s="2">
        <v>45695</v>
      </c>
      <c r="B30" s="3">
        <v>99.229453857784861</v>
      </c>
      <c r="C30" s="4">
        <v>99.728010384013558</v>
      </c>
      <c r="E30" s="4">
        <f>MAX($B$2:B30)</f>
        <v>101.87740335005412</v>
      </c>
      <c r="F30" s="5">
        <f t="shared" si="1"/>
        <v>-2.5991529084921972E-2</v>
      </c>
      <c r="H30" s="4">
        <f>MAX($C$2:C30)</f>
        <v>102.27570779063562</v>
      </c>
      <c r="I30" s="5">
        <f t="shared" si="0"/>
        <v>-2.4910093136068512E-2</v>
      </c>
    </row>
    <row r="31" spans="1:13" x14ac:dyDescent="0.3">
      <c r="A31" s="2">
        <v>45698</v>
      </c>
      <c r="B31" s="3">
        <v>98.478281928492294</v>
      </c>
      <c r="C31" s="4">
        <v>98.714129837737389</v>
      </c>
      <c r="E31" s="4">
        <f>MAX($B$2:B31)</f>
        <v>101.87740335005412</v>
      </c>
      <c r="F31" s="5">
        <f t="shared" si="1"/>
        <v>-3.3364821930947142E-2</v>
      </c>
      <c r="H31" s="4">
        <f>MAX($C$2:C31)</f>
        <v>102.27570779063562</v>
      </c>
      <c r="I31" s="5">
        <f t="shared" si="0"/>
        <v>-3.4823302911664911E-2</v>
      </c>
    </row>
    <row r="32" spans="1:13" x14ac:dyDescent="0.3">
      <c r="A32" s="2">
        <v>45699</v>
      </c>
      <c r="B32" s="3">
        <v>97.173470806009362</v>
      </c>
      <c r="C32" s="4">
        <v>96.934759160000283</v>
      </c>
      <c r="E32" s="4">
        <f>MAX($B$2:B32)</f>
        <v>101.87740335005412</v>
      </c>
      <c r="F32" s="5">
        <f t="shared" si="1"/>
        <v>-4.6172481721799441E-2</v>
      </c>
      <c r="H32" s="4">
        <f>MAX($C$2:C32)</f>
        <v>102.27570779063562</v>
      </c>
      <c r="I32" s="5">
        <f t="shared" si="0"/>
        <v>-5.2221086962004448E-2</v>
      </c>
    </row>
    <row r="33" spans="1:13" x14ac:dyDescent="0.3">
      <c r="A33" s="2">
        <v>45700</v>
      </c>
      <c r="B33" s="3">
        <v>97.061647903162623</v>
      </c>
      <c r="C33" s="4">
        <v>96.86673694312617</v>
      </c>
      <c r="E33" s="4">
        <f>MAX($B$2:B33)</f>
        <v>101.87740335005412</v>
      </c>
      <c r="F33" s="5">
        <f t="shared" si="1"/>
        <v>-4.7270103953713893E-2</v>
      </c>
      <c r="H33" s="4">
        <f>MAX($C$2:C33)</f>
        <v>102.27570779063562</v>
      </c>
      <c r="I33" s="5">
        <f t="shared" si="0"/>
        <v>-5.2886173700033789E-2</v>
      </c>
      <c r="M33" s="33"/>
    </row>
    <row r="34" spans="1:13" x14ac:dyDescent="0.3">
      <c r="A34" s="2">
        <v>45701</v>
      </c>
      <c r="B34" s="3">
        <v>97.003314675123931</v>
      </c>
      <c r="C34" s="4">
        <v>97.112162992042371</v>
      </c>
      <c r="E34" s="4">
        <f>MAX($B$2:B34)</f>
        <v>101.87740335005412</v>
      </c>
      <c r="F34" s="5">
        <f t="shared" ref="F34:F65" si="2">B34/E34-1</f>
        <v>-4.7842686549270041E-2</v>
      </c>
      <c r="H34" s="4">
        <f>MAX($C$2:C34)</f>
        <v>102.27570779063562</v>
      </c>
      <c r="I34" s="5">
        <f t="shared" ref="I34:I65" si="3">C34/H34-1</f>
        <v>-5.0486522265515199E-2</v>
      </c>
    </row>
    <row r="35" spans="1:13" x14ac:dyDescent="0.3">
      <c r="A35" s="2">
        <v>45702</v>
      </c>
      <c r="B35" s="3">
        <v>96.573080794679669</v>
      </c>
      <c r="C35" s="4">
        <v>96.148962974982766</v>
      </c>
      <c r="E35" s="4">
        <f>MAX($B$2:B35)</f>
        <v>101.87740335005412</v>
      </c>
      <c r="F35" s="5">
        <f t="shared" si="2"/>
        <v>-5.206574157714472E-2</v>
      </c>
      <c r="H35" s="4">
        <f>MAX($C$2:C35)</f>
        <v>102.27570779063562</v>
      </c>
      <c r="I35" s="5">
        <f t="shared" si="3"/>
        <v>-5.9904203529880795E-2</v>
      </c>
    </row>
    <row r="36" spans="1:13" x14ac:dyDescent="0.3">
      <c r="A36" s="2">
        <v>45705</v>
      </c>
      <c r="B36" s="3">
        <v>96.700487303572842</v>
      </c>
      <c r="C36" s="4">
        <v>96.573696193852854</v>
      </c>
      <c r="E36" s="4">
        <f>MAX($B$2:B36)</f>
        <v>101.87740335005412</v>
      </c>
      <c r="F36" s="5">
        <f t="shared" si="2"/>
        <v>-5.0815155041724291E-2</v>
      </c>
      <c r="H36" s="4">
        <f>MAX($C$2:C36)</f>
        <v>102.27570779063562</v>
      </c>
      <c r="I36" s="5">
        <f t="shared" si="3"/>
        <v>-5.5751377526079948E-2</v>
      </c>
    </row>
    <row r="37" spans="1:13" x14ac:dyDescent="0.3">
      <c r="A37" s="2">
        <v>45706</v>
      </c>
      <c r="B37" s="3">
        <v>96.64067995063786</v>
      </c>
      <c r="C37" s="4">
        <v>96.586727863634508</v>
      </c>
      <c r="E37" s="4">
        <f>MAX($B$2:B37)</f>
        <v>101.87740335005412</v>
      </c>
      <c r="F37" s="5">
        <f t="shared" si="2"/>
        <v>-5.1402207233558039E-2</v>
      </c>
      <c r="H37" s="4">
        <f>MAX($C$2:C37)</f>
        <v>102.27570779063562</v>
      </c>
      <c r="I37" s="5">
        <f t="shared" si="3"/>
        <v>-5.5623960468176747E-2</v>
      </c>
    </row>
    <row r="38" spans="1:13" x14ac:dyDescent="0.3">
      <c r="A38" s="2">
        <v>45707</v>
      </c>
      <c r="B38" s="3">
        <v>96.58845381145521</v>
      </c>
      <c r="C38" s="4">
        <v>96.738488592483407</v>
      </c>
      <c r="E38" s="4">
        <f>MAX($B$2:B38)</f>
        <v>101.87740335005412</v>
      </c>
      <c r="F38" s="5">
        <f t="shared" si="2"/>
        <v>-5.1914844358821211E-2</v>
      </c>
      <c r="H38" s="4">
        <f>MAX($C$2:C38)</f>
        <v>102.27570779063562</v>
      </c>
      <c r="I38" s="5">
        <f t="shared" si="3"/>
        <v>-5.4140121029396582E-2</v>
      </c>
    </row>
    <row r="39" spans="1:13" x14ac:dyDescent="0.3">
      <c r="A39" s="2">
        <v>45708</v>
      </c>
      <c r="B39" s="3">
        <v>96.50527104945057</v>
      </c>
      <c r="C39" s="4">
        <v>97.169001780204738</v>
      </c>
      <c r="E39" s="4">
        <f>MAX($B$2:B39)</f>
        <v>101.87740335005412</v>
      </c>
      <c r="F39" s="5">
        <f t="shared" si="2"/>
        <v>-5.2731343005913978E-2</v>
      </c>
      <c r="H39" s="4">
        <f>MAX($C$2:C39)</f>
        <v>102.27570779063562</v>
      </c>
      <c r="I39" s="5">
        <f t="shared" si="3"/>
        <v>-4.9930781421572812E-2</v>
      </c>
    </row>
    <row r="40" spans="1:13" x14ac:dyDescent="0.3">
      <c r="A40" s="2">
        <v>45709</v>
      </c>
      <c r="B40" s="3">
        <v>96.011439209195174</v>
      </c>
      <c r="C40" s="4">
        <v>96.697326439506469</v>
      </c>
      <c r="E40" s="4">
        <f>MAX($B$2:B40)</f>
        <v>101.87740335005412</v>
      </c>
      <c r="F40" s="5">
        <f t="shared" si="2"/>
        <v>-5.7578657758907581E-2</v>
      </c>
      <c r="H40" s="4">
        <f>MAX($C$2:C40)</f>
        <v>102.27570779063562</v>
      </c>
      <c r="I40" s="5">
        <f t="shared" si="3"/>
        <v>-5.4542583685154522E-2</v>
      </c>
    </row>
    <row r="41" spans="1:13" x14ac:dyDescent="0.3">
      <c r="A41" s="2">
        <v>45712</v>
      </c>
      <c r="B41" s="3">
        <v>94.989870656069812</v>
      </c>
      <c r="C41" s="4">
        <v>95.753620955599928</v>
      </c>
      <c r="E41" s="4">
        <f>MAX($B$2:B41)</f>
        <v>101.87740335005412</v>
      </c>
      <c r="F41" s="5">
        <f t="shared" si="2"/>
        <v>-6.7606087979279583E-2</v>
      </c>
      <c r="H41" s="4">
        <f>MAX($C$2:C41)</f>
        <v>102.27570779063562</v>
      </c>
      <c r="I41" s="5">
        <f t="shared" si="3"/>
        <v>-6.3769657291316784E-2</v>
      </c>
    </row>
    <row r="42" spans="1:13" x14ac:dyDescent="0.3">
      <c r="A42" s="2">
        <v>45713</v>
      </c>
      <c r="B42" s="3">
        <v>94.965442300645648</v>
      </c>
      <c r="C42" s="4">
        <v>95.522561726894722</v>
      </c>
      <c r="E42" s="4">
        <f>MAX($B$2:B42)</f>
        <v>101.87740335005412</v>
      </c>
      <c r="F42" s="5">
        <f t="shared" si="2"/>
        <v>-6.7845869860451269E-2</v>
      </c>
      <c r="H42" s="4">
        <f>MAX($C$2:C42)</f>
        <v>102.27570779063562</v>
      </c>
      <c r="I42" s="5">
        <f t="shared" si="3"/>
        <v>-6.6028837244177185E-2</v>
      </c>
    </row>
    <row r="43" spans="1:13" x14ac:dyDescent="0.3">
      <c r="A43" s="2">
        <v>45715</v>
      </c>
      <c r="B43" s="3">
        <v>94.954912837100764</v>
      </c>
      <c r="C43" s="4">
        <v>95.460255977402952</v>
      </c>
      <c r="E43" s="4">
        <f>MAX($B$2:B43)</f>
        <v>101.87740335005412</v>
      </c>
      <c r="F43" s="5">
        <f t="shared" si="2"/>
        <v>-6.7949224119576823E-2</v>
      </c>
      <c r="H43" s="4">
        <f>MAX($C$2:C43)</f>
        <v>102.27570779063562</v>
      </c>
      <c r="I43" s="5">
        <f t="shared" si="3"/>
        <v>-6.6638031263340669E-2</v>
      </c>
    </row>
    <row r="44" spans="1:13" x14ac:dyDescent="0.3">
      <c r="A44" s="2">
        <v>45716</v>
      </c>
      <c r="B44" s="3">
        <v>93.184488836662752</v>
      </c>
      <c r="C44" s="4">
        <v>93.110438505054944</v>
      </c>
      <c r="E44" s="4">
        <f>MAX($B$2:B44)</f>
        <v>101.87740335005412</v>
      </c>
      <c r="F44" s="5">
        <f t="shared" si="2"/>
        <v>-8.5327209248965974E-2</v>
      </c>
      <c r="H44" s="4">
        <f>MAX($C$2:C44)</f>
        <v>102.27570779063562</v>
      </c>
      <c r="I44" s="5">
        <f t="shared" si="3"/>
        <v>-8.9613354760081698E-2</v>
      </c>
    </row>
    <row r="45" spans="1:13" x14ac:dyDescent="0.3">
      <c r="A45" s="2">
        <v>45719</v>
      </c>
      <c r="B45" s="3">
        <v>93.161745195405771</v>
      </c>
      <c r="C45" s="4">
        <v>93.316289568325899</v>
      </c>
      <c r="E45" s="4">
        <f>MAX($B$2:B45)</f>
        <v>101.87740335005412</v>
      </c>
      <c r="F45" s="5">
        <f t="shared" si="2"/>
        <v>-8.5550454448677482E-2</v>
      </c>
      <c r="H45" s="4">
        <f>MAX($C$2:C45)</f>
        <v>102.27570779063562</v>
      </c>
      <c r="I45" s="5">
        <f t="shared" si="3"/>
        <v>-8.7600647464109227E-2</v>
      </c>
    </row>
    <row r="46" spans="1:13" x14ac:dyDescent="0.3">
      <c r="A46" s="2">
        <v>45720</v>
      </c>
      <c r="B46" s="3">
        <v>93.007383259837681</v>
      </c>
      <c r="C46" s="4">
        <v>93.088108775665518</v>
      </c>
      <c r="E46" s="4">
        <f>MAX($B$2:B46)</f>
        <v>101.87740335005412</v>
      </c>
      <c r="F46" s="5">
        <f t="shared" si="2"/>
        <v>-8.706562788745964E-2</v>
      </c>
      <c r="H46" s="4">
        <f>MAX($C$2:C46)</f>
        <v>102.27570779063562</v>
      </c>
      <c r="I46" s="5">
        <f t="shared" si="3"/>
        <v>-8.9831683529168593E-2</v>
      </c>
    </row>
    <row r="47" spans="1:13" x14ac:dyDescent="0.3">
      <c r="A47" s="2">
        <v>45721</v>
      </c>
      <c r="B47" s="3">
        <v>94.079914416520296</v>
      </c>
      <c r="C47" s="4">
        <v>94.533516432327446</v>
      </c>
      <c r="E47" s="4">
        <f>MAX($B$2:B47)</f>
        <v>101.87740335005412</v>
      </c>
      <c r="F47" s="5">
        <f t="shared" si="2"/>
        <v>-7.65379630529196E-2</v>
      </c>
      <c r="H47" s="4">
        <f>MAX($C$2:C47)</f>
        <v>102.27570779063562</v>
      </c>
      <c r="I47" s="5">
        <f t="shared" si="3"/>
        <v>-7.5699220524162891E-2</v>
      </c>
    </row>
    <row r="48" spans="1:13" x14ac:dyDescent="0.3">
      <c r="A48" s="2">
        <v>45722</v>
      </c>
      <c r="B48" s="3">
        <v>94.953438712204488</v>
      </c>
      <c r="C48" s="4">
        <v>95.56547709296774</v>
      </c>
      <c r="E48" s="4">
        <f>MAX($B$2:B48)</f>
        <v>101.87740335005412</v>
      </c>
      <c r="F48" s="5">
        <f t="shared" si="2"/>
        <v>-6.7963693715854423E-2</v>
      </c>
      <c r="H48" s="4">
        <f>MAX($C$2:C48)</f>
        <v>102.27570779063562</v>
      </c>
      <c r="I48" s="5">
        <f t="shared" si="3"/>
        <v>-6.5609232559936115E-2</v>
      </c>
    </row>
    <row r="49" spans="1:9" x14ac:dyDescent="0.3">
      <c r="A49" s="2">
        <v>45723</v>
      </c>
      <c r="B49" s="3">
        <v>94.986290638464538</v>
      </c>
      <c r="C49" s="4">
        <v>95.42745712954374</v>
      </c>
      <c r="E49" s="4">
        <f>MAX($B$2:B49)</f>
        <v>101.87740335005412</v>
      </c>
      <c r="F49" s="5">
        <f t="shared" si="2"/>
        <v>-6.7641228427382405E-2</v>
      </c>
      <c r="H49" s="4">
        <f>MAX($C$2:C49)</f>
        <v>102.27570779063562</v>
      </c>
      <c r="I49" s="5">
        <f t="shared" si="3"/>
        <v>-6.695872176324269E-2</v>
      </c>
    </row>
    <row r="50" spans="1:9" x14ac:dyDescent="0.3">
      <c r="A50" s="2">
        <v>45726</v>
      </c>
      <c r="B50" s="3">
        <v>94.597964022928949</v>
      </c>
      <c r="C50" s="4">
        <v>94.759042827025525</v>
      </c>
      <c r="E50" s="4">
        <f>MAX($B$2:B50)</f>
        <v>101.87740335005412</v>
      </c>
      <c r="F50" s="5">
        <f t="shared" si="2"/>
        <v>-7.1452933503936888E-2</v>
      </c>
      <c r="H50" s="4">
        <f>MAX($C$2:C50)</f>
        <v>102.27570779063562</v>
      </c>
      <c r="I50" s="5">
        <f t="shared" si="3"/>
        <v>-7.3494137816158212E-2</v>
      </c>
    </row>
    <row r="51" spans="1:9" x14ac:dyDescent="0.3">
      <c r="A51" s="2">
        <v>45727</v>
      </c>
      <c r="B51" s="3">
        <v>94.756327154644126</v>
      </c>
      <c r="C51" s="4">
        <v>94.508327537800923</v>
      </c>
      <c r="E51" s="4">
        <f>MAX($B$2:B51)</f>
        <v>101.87740335005412</v>
      </c>
      <c r="F51" s="5">
        <f t="shared" si="2"/>
        <v>-6.9898485446686753E-2</v>
      </c>
      <c r="H51" s="4">
        <f>MAX($C$2:C51)</f>
        <v>102.27570779063562</v>
      </c>
      <c r="I51" s="5">
        <f t="shared" si="3"/>
        <v>-7.5945504759888705E-2</v>
      </c>
    </row>
    <row r="52" spans="1:9" x14ac:dyDescent="0.3">
      <c r="A52" s="2">
        <v>45728</v>
      </c>
      <c r="B52" s="3">
        <v>94.640924234192113</v>
      </c>
      <c r="C52" s="4">
        <v>94.289790020283377</v>
      </c>
      <c r="E52" s="4">
        <f>MAX($B$2:B52)</f>
        <v>101.87740335005412</v>
      </c>
      <c r="F52" s="5">
        <f t="shared" si="2"/>
        <v>-7.1031248126704138E-2</v>
      </c>
      <c r="H52" s="4">
        <f>MAX($C$2:C52)</f>
        <v>102.27570779063562</v>
      </c>
      <c r="I52" s="5">
        <f t="shared" si="3"/>
        <v>-7.8082253771344146E-2</v>
      </c>
    </row>
    <row r="53" spans="1:9" x14ac:dyDescent="0.3">
      <c r="A53" s="2">
        <v>45729</v>
      </c>
      <c r="B53" s="3">
        <v>94.33220036305589</v>
      </c>
      <c r="C53" s="4">
        <v>93.784755498062651</v>
      </c>
      <c r="E53" s="4">
        <f>MAX($B$2:B53)</f>
        <v>101.87740335005412</v>
      </c>
      <c r="F53" s="5">
        <f t="shared" si="2"/>
        <v>-7.4061595004268677E-2</v>
      </c>
      <c r="H53" s="4">
        <f>MAX($C$2:C53)</f>
        <v>102.27570779063562</v>
      </c>
      <c r="I53" s="5">
        <f t="shared" si="3"/>
        <v>-8.3020225193204733E-2</v>
      </c>
    </row>
    <row r="54" spans="1:9" x14ac:dyDescent="0.3">
      <c r="A54" s="2">
        <v>45733</v>
      </c>
      <c r="B54" s="3">
        <v>94.80202502642895</v>
      </c>
      <c r="C54" s="4">
        <v>94.438914901124392</v>
      </c>
      <c r="E54" s="4">
        <f>MAX($B$2:B54)</f>
        <v>101.87740335005412</v>
      </c>
      <c r="F54" s="5">
        <f t="shared" si="2"/>
        <v>-6.9449927962081492E-2</v>
      </c>
      <c r="H54" s="4">
        <f>MAX($C$2:C54)</f>
        <v>102.27570779063562</v>
      </c>
      <c r="I54" s="5">
        <f t="shared" si="3"/>
        <v>-7.6624186317572174E-2</v>
      </c>
    </row>
    <row r="55" spans="1:9" x14ac:dyDescent="0.3">
      <c r="A55" s="2">
        <v>45734</v>
      </c>
      <c r="B55" s="3">
        <v>96.173171769244689</v>
      </c>
      <c r="C55" s="4">
        <v>95.897713425062904</v>
      </c>
      <c r="E55" s="4">
        <f>MAX($B$2:B55)</f>
        <v>101.87740335005412</v>
      </c>
      <c r="F55" s="5">
        <f t="shared" si="2"/>
        <v>-5.5991136338737535E-2</v>
      </c>
      <c r="H55" s="4">
        <f>MAX($C$2:C55)</f>
        <v>102.27570779063562</v>
      </c>
      <c r="I55" s="5">
        <f t="shared" si="3"/>
        <v>-6.2360794203730641E-2</v>
      </c>
    </row>
    <row r="56" spans="1:9" x14ac:dyDescent="0.3">
      <c r="A56" s="2">
        <v>45735</v>
      </c>
      <c r="B56" s="3">
        <v>96.481895640380898</v>
      </c>
      <c r="C56" s="4">
        <v>96.526673772566085</v>
      </c>
      <c r="E56" s="4">
        <f>MAX($B$2:B56)</f>
        <v>101.87740335005412</v>
      </c>
      <c r="F56" s="5">
        <f t="shared" si="2"/>
        <v>-5.2960789461173108E-2</v>
      </c>
      <c r="H56" s="4">
        <f>MAX($C$2:C56)</f>
        <v>102.27570779063562</v>
      </c>
      <c r="I56" s="5">
        <f t="shared" si="3"/>
        <v>-5.6211138913241698E-2</v>
      </c>
    </row>
    <row r="57" spans="1:9" x14ac:dyDescent="0.3">
      <c r="A57" s="2">
        <v>45736</v>
      </c>
      <c r="B57" s="3">
        <v>97.674041502933505</v>
      </c>
      <c r="C57" s="4">
        <v>97.561282690200386</v>
      </c>
      <c r="E57" s="4">
        <f>MAX($B$2:B57)</f>
        <v>101.87740335005412</v>
      </c>
      <c r="F57" s="5">
        <f t="shared" si="2"/>
        <v>-4.1259020242965239E-2</v>
      </c>
      <c r="H57" s="4">
        <f>MAX($C$2:C57)</f>
        <v>102.27570779063562</v>
      </c>
      <c r="I57" s="5">
        <f t="shared" si="3"/>
        <v>-4.6095257635233811E-2</v>
      </c>
    </row>
    <row r="58" spans="1:9" x14ac:dyDescent="0.3">
      <c r="A58" s="2">
        <v>45737</v>
      </c>
      <c r="B58" s="3">
        <v>98.346874223452062</v>
      </c>
      <c r="C58" s="4">
        <v>98.296729106332805</v>
      </c>
      <c r="E58" s="4">
        <f>MAX($B$2:B58)</f>
        <v>101.87740335005412</v>
      </c>
      <c r="F58" s="5">
        <f t="shared" si="2"/>
        <v>-3.4654683084835325E-2</v>
      </c>
      <c r="H58" s="4">
        <f>MAX($C$2:C58)</f>
        <v>102.27570779063562</v>
      </c>
      <c r="I58" s="5">
        <f t="shared" si="3"/>
        <v>-3.8904435571817553E-2</v>
      </c>
    </row>
    <row r="59" spans="1:9" x14ac:dyDescent="0.3">
      <c r="A59" s="2">
        <v>45740</v>
      </c>
      <c r="B59" s="3">
        <v>99.643893542911769</v>
      </c>
      <c r="C59" s="4">
        <v>99.375066240948769</v>
      </c>
      <c r="E59" s="4">
        <f>MAX($B$2:B59)</f>
        <v>101.87740335005412</v>
      </c>
      <c r="F59" s="5">
        <f t="shared" si="2"/>
        <v>-2.1923505445735958E-2</v>
      </c>
      <c r="H59" s="4">
        <f>MAX($C$2:C59)</f>
        <v>102.27570779063562</v>
      </c>
      <c r="I59" s="5">
        <f t="shared" si="3"/>
        <v>-2.8361001965634292E-2</v>
      </c>
    </row>
    <row r="60" spans="1:9" x14ac:dyDescent="0.3">
      <c r="A60" s="2">
        <v>45741</v>
      </c>
      <c r="B60" s="3">
        <v>99.687274932716733</v>
      </c>
      <c r="C60" s="4">
        <v>99.096354664279247</v>
      </c>
      <c r="E60" s="4">
        <f>MAX($B$2:B60)</f>
        <v>101.87740335005412</v>
      </c>
      <c r="F60" s="5">
        <f t="shared" si="2"/>
        <v>-2.1497685898138164E-2</v>
      </c>
      <c r="H60" s="4">
        <f>MAX($C$2:C60)</f>
        <v>102.27570779063562</v>
      </c>
      <c r="I60" s="5">
        <f t="shared" si="3"/>
        <v>-3.108610240923193E-2</v>
      </c>
    </row>
    <row r="61" spans="1:9" x14ac:dyDescent="0.3">
      <c r="A61" s="2">
        <v>45742</v>
      </c>
      <c r="B61" s="3">
        <v>98.921572343732223</v>
      </c>
      <c r="C61" s="4">
        <v>98.355813534461092</v>
      </c>
      <c r="E61" s="4">
        <f>MAX($B$2:B61)</f>
        <v>101.87740335005412</v>
      </c>
      <c r="F61" s="5">
        <f t="shared" si="2"/>
        <v>-2.9013607621756643E-2</v>
      </c>
      <c r="H61" s="4">
        <f>MAX($C$2:C61)</f>
        <v>102.27570779063562</v>
      </c>
      <c r="I61" s="5">
        <f t="shared" si="3"/>
        <v>-3.8326737999200944E-2</v>
      </c>
    </row>
    <row r="62" spans="1:9" x14ac:dyDescent="0.3">
      <c r="A62" s="2">
        <v>45743</v>
      </c>
      <c r="B62" s="3">
        <v>99.364230991159459</v>
      </c>
      <c r="C62" s="4">
        <v>98.927716943658737</v>
      </c>
      <c r="E62" s="4">
        <f>MAX($B$2:B62)</f>
        <v>101.87740335005412</v>
      </c>
      <c r="F62" s="5">
        <f t="shared" si="2"/>
        <v>-2.4668594568113655E-2</v>
      </c>
      <c r="H62" s="4">
        <f>MAX($C$2:C62)</f>
        <v>102.27570779063562</v>
      </c>
      <c r="I62" s="5">
        <f t="shared" si="3"/>
        <v>-3.2734956514115954E-2</v>
      </c>
    </row>
    <row r="63" spans="1:9" x14ac:dyDescent="0.3">
      <c r="A63" s="2">
        <v>45744</v>
      </c>
      <c r="B63" s="3">
        <v>99.058455369815803</v>
      </c>
      <c r="C63" s="4">
        <v>98.475275651156139</v>
      </c>
      <c r="E63" s="4">
        <f>MAX($B$2:B63)</f>
        <v>101.87740335005412</v>
      </c>
      <c r="F63" s="5">
        <f t="shared" si="2"/>
        <v>-2.7670002253122994E-2</v>
      </c>
      <c r="H63" s="4">
        <f>MAX($C$2:C63)</f>
        <v>102.27570779063562</v>
      </c>
      <c r="I63" s="5">
        <f t="shared" si="3"/>
        <v>-3.7158698009298496E-2</v>
      </c>
    </row>
    <row r="64" spans="1:9" x14ac:dyDescent="0.3">
      <c r="A64" s="2">
        <v>45748</v>
      </c>
      <c r="B64" s="3">
        <v>97.568957456755484</v>
      </c>
      <c r="C64" s="4">
        <v>97.619193789811931</v>
      </c>
      <c r="E64" s="4">
        <f>MAX($B$2:B64)</f>
        <v>101.87740335005412</v>
      </c>
      <c r="F64" s="5">
        <f t="shared" si="2"/>
        <v>-4.2290495749039425E-2</v>
      </c>
      <c r="H64" s="4">
        <f>MAX($C$2:C64)</f>
        <v>102.27570779063562</v>
      </c>
      <c r="I64" s="5">
        <f t="shared" si="3"/>
        <v>-4.5529032273781467E-2</v>
      </c>
    </row>
    <row r="65" spans="1:9" x14ac:dyDescent="0.3">
      <c r="A65" s="2">
        <v>45749</v>
      </c>
      <c r="B65" s="3">
        <v>98.27085149665794</v>
      </c>
      <c r="C65" s="4">
        <v>98.255459583933529</v>
      </c>
      <c r="E65" s="4">
        <f>MAX($B$2:B65)</f>
        <v>101.87740335005412</v>
      </c>
      <c r="F65" s="5">
        <f t="shared" si="2"/>
        <v>-3.5400900835722671E-2</v>
      </c>
      <c r="H65" s="4">
        <f>MAX($C$2:C65)</f>
        <v>102.27570779063562</v>
      </c>
      <c r="I65" s="5">
        <f t="shared" si="3"/>
        <v>-3.9307948031332862E-2</v>
      </c>
    </row>
    <row r="66" spans="1:9" x14ac:dyDescent="0.3">
      <c r="A66" s="2">
        <v>45750</v>
      </c>
      <c r="B66" s="3">
        <v>97.924432146031009</v>
      </c>
      <c r="C66" s="4">
        <v>98.142240452246284</v>
      </c>
      <c r="E66" s="4">
        <f>MAX($B$2:B66)</f>
        <v>101.87740335005412</v>
      </c>
      <c r="F66" s="5">
        <f t="shared" ref="F66:F97" si="4">B66/E66-1</f>
        <v>-3.8801255960957071E-2</v>
      </c>
      <c r="H66" s="4">
        <f>MAX($C$2:C66)</f>
        <v>102.27570779063562</v>
      </c>
      <c r="I66" s="5">
        <f t="shared" ref="I66:I97" si="5">C66/H66-1</f>
        <v>-4.0414947280059788E-2</v>
      </c>
    </row>
    <row r="67" spans="1:9" x14ac:dyDescent="0.3">
      <c r="A67" s="2">
        <v>45751</v>
      </c>
      <c r="B67" s="3">
        <v>96.468628516314354</v>
      </c>
      <c r="C67" s="4">
        <v>96.070620974803433</v>
      </c>
      <c r="E67" s="4">
        <f>MAX($B$2:B67)</f>
        <v>101.87740335005412</v>
      </c>
      <c r="F67" s="5">
        <f t="shared" si="4"/>
        <v>-5.3091015827671284E-2</v>
      </c>
      <c r="H67" s="4">
        <f>MAX($C$2:C67)</f>
        <v>102.27570779063562</v>
      </c>
      <c r="I67" s="5">
        <f t="shared" si="5"/>
        <v>-6.0670191875223822E-2</v>
      </c>
    </row>
    <row r="68" spans="1:9" x14ac:dyDescent="0.3">
      <c r="A68" s="2">
        <v>45754</v>
      </c>
      <c r="B68" s="3">
        <v>93.339903718585333</v>
      </c>
      <c r="C68" s="4">
        <v>92.963013295252736</v>
      </c>
      <c r="E68" s="4">
        <f>MAX($B$2:B68)</f>
        <v>101.87740335005412</v>
      </c>
      <c r="F68" s="5">
        <f t="shared" si="4"/>
        <v>-8.380170038427126E-2</v>
      </c>
      <c r="H68" s="4">
        <f>MAX($C$2:C68)</f>
        <v>102.27570779063562</v>
      </c>
      <c r="I68" s="5">
        <f t="shared" si="5"/>
        <v>-9.105480369245178E-2</v>
      </c>
    </row>
    <row r="69" spans="1:9" x14ac:dyDescent="0.3">
      <c r="A69" s="2">
        <v>45755</v>
      </c>
      <c r="B69" s="3">
        <v>94.916164411255565</v>
      </c>
      <c r="C69" s="4">
        <v>94.826900999712308</v>
      </c>
      <c r="E69" s="4">
        <f>MAX($B$2:B69)</f>
        <v>101.87740335005412</v>
      </c>
      <c r="F69" s="5">
        <f t="shared" si="4"/>
        <v>-6.8329567793159351E-2</v>
      </c>
      <c r="H69" s="4">
        <f>MAX($C$2:C69)</f>
        <v>102.27570779063562</v>
      </c>
      <c r="I69" s="5">
        <f t="shared" si="5"/>
        <v>-7.2830655018994883E-2</v>
      </c>
    </row>
    <row r="70" spans="1:9" x14ac:dyDescent="0.3">
      <c r="A70" s="2">
        <v>45756</v>
      </c>
      <c r="B70" s="3">
        <v>94.340413344620927</v>
      </c>
      <c r="C70" s="4">
        <v>94.284043733374418</v>
      </c>
      <c r="E70" s="4">
        <f>MAX($B$2:B70)</f>
        <v>101.87740335005412</v>
      </c>
      <c r="F70" s="5">
        <f t="shared" si="4"/>
        <v>-7.3980978682150478E-2</v>
      </c>
      <c r="H70" s="4">
        <f>MAX($C$2:C70)</f>
        <v>102.27570779063562</v>
      </c>
      <c r="I70" s="5">
        <f t="shared" si="5"/>
        <v>-7.8138438050417647E-2</v>
      </c>
    </row>
    <row r="71" spans="1:9" x14ac:dyDescent="0.3">
      <c r="A71" s="2">
        <v>45758</v>
      </c>
      <c r="B71" s="3">
        <v>96.148954003091447</v>
      </c>
      <c r="C71" s="4">
        <v>96.266731457401747</v>
      </c>
      <c r="E71" s="4">
        <f>MAX($B$2:B71)</f>
        <v>101.87740335005412</v>
      </c>
      <c r="F71" s="5">
        <f t="shared" si="4"/>
        <v>-5.6228851134726421E-2</v>
      </c>
      <c r="H71" s="4">
        <f>MAX($C$2:C71)</f>
        <v>102.27570779063562</v>
      </c>
      <c r="I71" s="5">
        <f t="shared" si="5"/>
        <v>-5.8752723036975762E-2</v>
      </c>
    </row>
    <row r="72" spans="1:9" x14ac:dyDescent="0.3">
      <c r="A72" s="2">
        <v>45762</v>
      </c>
      <c r="B72" s="3">
        <v>98.254846712069693</v>
      </c>
      <c r="C72" s="4">
        <v>98.338035777642304</v>
      </c>
      <c r="E72" s="4">
        <f>MAX($B$2:B72)</f>
        <v>101.87740335005412</v>
      </c>
      <c r="F72" s="5">
        <f t="shared" si="4"/>
        <v>-3.5557999309593802E-2</v>
      </c>
      <c r="H72" s="4">
        <f>MAX($C$2:C72)</f>
        <v>102.27570779063562</v>
      </c>
      <c r="I72" s="5">
        <f t="shared" si="5"/>
        <v>-3.8500559889098618E-2</v>
      </c>
    </row>
    <row r="73" spans="1:9" x14ac:dyDescent="0.3">
      <c r="A73" s="2">
        <v>45763</v>
      </c>
      <c r="B73" s="3">
        <v>98.712457197730686</v>
      </c>
      <c r="C73" s="4">
        <v>98.91383590011867</v>
      </c>
      <c r="E73" s="4">
        <f>MAX($B$2:B73)</f>
        <v>101.87740335005412</v>
      </c>
      <c r="F73" s="5">
        <f t="shared" si="4"/>
        <v>-3.1066223207992238E-2</v>
      </c>
      <c r="H73" s="4">
        <f>MAX($C$2:C73)</f>
        <v>102.27570779063562</v>
      </c>
      <c r="I73" s="5">
        <f t="shared" si="5"/>
        <v>-3.2870678317855284E-2</v>
      </c>
    </row>
    <row r="74" spans="1:9" x14ac:dyDescent="0.3">
      <c r="A74" s="2">
        <v>45764</v>
      </c>
      <c r="B74" s="3">
        <v>100.45803166420278</v>
      </c>
      <c r="C74" s="4">
        <v>100.23743764101656</v>
      </c>
      <c r="E74" s="4">
        <f>MAX($B$2:B74)</f>
        <v>101.87740335005412</v>
      </c>
      <c r="F74" s="5">
        <f t="shared" si="4"/>
        <v>-1.3932154130139485E-2</v>
      </c>
      <c r="H74" s="4">
        <f>MAX($C$2:C74)</f>
        <v>102.27570779063562</v>
      </c>
      <c r="I74" s="5">
        <f t="shared" si="5"/>
        <v>-1.9929171781353228E-2</v>
      </c>
    </row>
    <row r="75" spans="1:9" x14ac:dyDescent="0.3">
      <c r="A75" s="2">
        <v>45768</v>
      </c>
      <c r="B75" s="3">
        <v>101.61163969018105</v>
      </c>
      <c r="C75" s="4">
        <v>101.49214900467621</v>
      </c>
      <c r="E75" s="4">
        <f>MAX($B$2:B75)</f>
        <v>101.87740335005412</v>
      </c>
      <c r="F75" s="5">
        <f t="shared" si="4"/>
        <v>-2.6086615003318991E-3</v>
      </c>
      <c r="H75" s="4">
        <f>MAX($C$2:C75)</f>
        <v>102.27570779063562</v>
      </c>
      <c r="I75" s="5">
        <f t="shared" si="5"/>
        <v>-7.6612404146193525E-3</v>
      </c>
    </row>
    <row r="76" spans="1:9" x14ac:dyDescent="0.3">
      <c r="A76" s="2">
        <v>45769</v>
      </c>
      <c r="B76" s="3">
        <v>101.78727114210983</v>
      </c>
      <c r="C76" s="4">
        <v>101.35223476429205</v>
      </c>
      <c r="E76" s="4">
        <f>MAX($B$2:B76)</f>
        <v>101.87740335005412</v>
      </c>
      <c r="F76" s="5">
        <f t="shared" si="4"/>
        <v>-8.8471245811594379E-4</v>
      </c>
      <c r="H76" s="4">
        <f>MAX($C$2:C76)</f>
        <v>102.27570779063562</v>
      </c>
      <c r="I76" s="5">
        <f t="shared" si="5"/>
        <v>-9.0292508973291996E-3</v>
      </c>
    </row>
    <row r="77" spans="1:9" x14ac:dyDescent="0.3">
      <c r="A77" s="2">
        <v>45770</v>
      </c>
      <c r="B77" s="3">
        <v>102.46831684419342</v>
      </c>
      <c r="C77" s="4">
        <v>102.32057087474359</v>
      </c>
      <c r="E77" s="4">
        <f>MAX($B$2:B77)</f>
        <v>102.46831684419342</v>
      </c>
      <c r="F77" s="5">
        <f t="shared" si="4"/>
        <v>0</v>
      </c>
      <c r="H77" s="4">
        <f>MAX($C$2:C77)</f>
        <v>102.32057087474359</v>
      </c>
      <c r="I77" s="5">
        <f t="shared" si="5"/>
        <v>0</v>
      </c>
    </row>
    <row r="78" spans="1:9" x14ac:dyDescent="0.3">
      <c r="A78" s="2">
        <v>45771</v>
      </c>
      <c r="B78" s="3">
        <v>102.12189749356651</v>
      </c>
      <c r="C78" s="4">
        <v>102.25857193697007</v>
      </c>
      <c r="E78" s="4">
        <f>MAX($B$2:B78)</f>
        <v>102.46831684419342</v>
      </c>
      <c r="F78" s="5">
        <f t="shared" si="4"/>
        <v>-3.3807459836942E-3</v>
      </c>
      <c r="H78" s="4">
        <f>MAX($C$2:C78)</f>
        <v>102.32057087474359</v>
      </c>
      <c r="I78" s="5">
        <f t="shared" si="5"/>
        <v>-6.0592838022199835E-4</v>
      </c>
    </row>
    <row r="79" spans="1:9" x14ac:dyDescent="0.3">
      <c r="A79" s="2">
        <v>45772</v>
      </c>
      <c r="B79" s="3">
        <v>101.24858378715319</v>
      </c>
      <c r="C79" s="4">
        <v>101.01086788076914</v>
      </c>
      <c r="E79" s="4">
        <f>MAX($B$2:B79)</f>
        <v>102.46831684419342</v>
      </c>
      <c r="F79" s="5">
        <f t="shared" si="4"/>
        <v>-1.1903514126174963E-2</v>
      </c>
      <c r="H79" s="4">
        <f>MAX($C$2:C79)</f>
        <v>102.32057087474359</v>
      </c>
      <c r="I79" s="5">
        <f t="shared" si="5"/>
        <v>-1.2799996938814395E-2</v>
      </c>
    </row>
    <row r="80" spans="1:9" x14ac:dyDescent="0.3">
      <c r="A80" s="2">
        <v>45775</v>
      </c>
      <c r="B80" s="3">
        <v>102.46642154075533</v>
      </c>
      <c r="C80" s="4">
        <v>101.93620697920365</v>
      </c>
      <c r="E80" s="4">
        <f>MAX($B$2:B80)</f>
        <v>102.46831684419342</v>
      </c>
      <c r="F80" s="5">
        <f t="shared" si="4"/>
        <v>-1.8496482585672602E-5</v>
      </c>
      <c r="H80" s="4">
        <f>MAX($C$2:C80)</f>
        <v>102.32057087474359</v>
      </c>
      <c r="I80" s="5">
        <f t="shared" si="5"/>
        <v>-3.7564674654764207E-3</v>
      </c>
    </row>
    <row r="81" spans="1:9" x14ac:dyDescent="0.3">
      <c r="A81" s="2">
        <v>45776</v>
      </c>
      <c r="B81" s="3">
        <v>102.49779934211911</v>
      </c>
      <c r="C81" s="4">
        <v>101.77656484958666</v>
      </c>
      <c r="E81" s="4">
        <f>MAX($B$2:B81)</f>
        <v>102.49779934211911</v>
      </c>
      <c r="F81" s="5">
        <f t="shared" si="4"/>
        <v>0</v>
      </c>
      <c r="H81" s="4">
        <f>MAX($C$2:C81)</f>
        <v>102.32057087474359</v>
      </c>
      <c r="I81" s="5">
        <f t="shared" si="5"/>
        <v>-5.3166828576717284E-3</v>
      </c>
    </row>
    <row r="82" spans="1:9" x14ac:dyDescent="0.3">
      <c r="A82" s="2">
        <v>45777</v>
      </c>
      <c r="B82" s="3">
        <v>102.4904287176377</v>
      </c>
      <c r="C82" s="4">
        <v>101.55003011540515</v>
      </c>
      <c r="E82" s="4">
        <f>MAX($B$2:B82)</f>
        <v>102.49779934211911</v>
      </c>
      <c r="F82" s="5">
        <f t="shared" si="4"/>
        <v>-7.191007542328709E-5</v>
      </c>
      <c r="H82" s="4">
        <f>MAX($C$2:C82)</f>
        <v>102.32057087474359</v>
      </c>
      <c r="I82" s="5">
        <f t="shared" si="5"/>
        <v>-7.5306534429103733E-3</v>
      </c>
    </row>
    <row r="83" spans="1:9" x14ac:dyDescent="0.3">
      <c r="A83" s="2">
        <v>45779</v>
      </c>
      <c r="B83" s="3">
        <v>102.54307603536215</v>
      </c>
      <c r="C83" s="4">
        <v>101.2474459854932</v>
      </c>
      <c r="E83" s="4">
        <f>MAX($B$2:B83)</f>
        <v>102.54307603536215</v>
      </c>
      <c r="F83" s="5">
        <f t="shared" si="4"/>
        <v>0</v>
      </c>
      <c r="H83" s="4">
        <f>MAX($C$2:C83)</f>
        <v>102.32057087474359</v>
      </c>
      <c r="I83" s="5">
        <f t="shared" si="5"/>
        <v>-1.0487870426016954E-2</v>
      </c>
    </row>
    <row r="84" spans="1:9" x14ac:dyDescent="0.3">
      <c r="A84" s="2">
        <v>45782</v>
      </c>
      <c r="B84" s="3">
        <v>103.02511487644728</v>
      </c>
      <c r="C84" s="4">
        <v>101.87558205359637</v>
      </c>
      <c r="E84" s="4">
        <f>MAX($B$2:B84)</f>
        <v>103.02511487644728</v>
      </c>
      <c r="F84" s="5">
        <f t="shared" si="4"/>
        <v>0</v>
      </c>
      <c r="H84" s="4">
        <f>MAX($C$2:C84)</f>
        <v>102.32057087474359</v>
      </c>
      <c r="I84" s="5">
        <f t="shared" si="5"/>
        <v>-4.3489673419820907E-3</v>
      </c>
    </row>
    <row r="85" spans="1:9" x14ac:dyDescent="0.3">
      <c r="A85" s="2">
        <v>45783</v>
      </c>
      <c r="B85" s="3">
        <v>102.68164377561291</v>
      </c>
      <c r="C85" s="4">
        <v>101.36204846492195</v>
      </c>
      <c r="E85" s="4">
        <f>MAX($B$2:B85)</f>
        <v>103.02511487644728</v>
      </c>
      <c r="F85" s="5">
        <f t="shared" si="4"/>
        <v>-3.3338579747886898E-3</v>
      </c>
      <c r="H85" s="4">
        <f>MAX($C$2:C85)</f>
        <v>102.32057087474359</v>
      </c>
      <c r="I85" s="5">
        <f t="shared" si="5"/>
        <v>-9.3678368057096284E-3</v>
      </c>
    </row>
    <row r="86" spans="1:9" x14ac:dyDescent="0.3">
      <c r="A86" s="2">
        <v>45784</v>
      </c>
      <c r="B86" s="3">
        <v>102.82821390815782</v>
      </c>
      <c r="C86" s="4">
        <v>101.59315222559484</v>
      </c>
      <c r="E86" s="4">
        <f>MAX($B$2:B86)</f>
        <v>103.02511487644728</v>
      </c>
      <c r="F86" s="5">
        <f t="shared" si="4"/>
        <v>-1.9111938727327527E-3</v>
      </c>
      <c r="H86" s="4">
        <f>MAX($C$2:C86)</f>
        <v>102.32057087474359</v>
      </c>
      <c r="I86" s="5">
        <f t="shared" si="5"/>
        <v>-7.1092121841191958E-3</v>
      </c>
    </row>
    <row r="87" spans="1:9" x14ac:dyDescent="0.3">
      <c r="A87" s="2">
        <v>45785</v>
      </c>
      <c r="B87" s="3">
        <v>102.23603687839311</v>
      </c>
      <c r="C87" s="4">
        <v>100.70119301035103</v>
      </c>
      <c r="E87" s="4">
        <f>MAX($B$2:B87)</f>
        <v>103.02511487644728</v>
      </c>
      <c r="F87" s="5">
        <f t="shared" si="4"/>
        <v>-7.6590838942569572E-3</v>
      </c>
      <c r="H87" s="4">
        <f>MAX($C$2:C87)</f>
        <v>102.32057087474359</v>
      </c>
      <c r="I87" s="5">
        <f t="shared" si="5"/>
        <v>-1.5826513188388458E-2</v>
      </c>
    </row>
    <row r="88" spans="1:9" x14ac:dyDescent="0.3">
      <c r="A88" s="2">
        <v>45786</v>
      </c>
      <c r="B88" s="3">
        <v>101.11654431430026</v>
      </c>
      <c r="C88" s="4">
        <v>99.997212172517351</v>
      </c>
      <c r="E88" s="4">
        <f>MAX($B$2:B88)</f>
        <v>103.02511487644728</v>
      </c>
      <c r="F88" s="5">
        <f t="shared" si="4"/>
        <v>-1.8525294190992803E-2</v>
      </c>
      <c r="H88" s="4">
        <f>MAX($C$2:C88)</f>
        <v>102.32057087474359</v>
      </c>
      <c r="I88" s="5">
        <f t="shared" si="5"/>
        <v>-2.2706662818275269E-2</v>
      </c>
    </row>
    <row r="89" spans="1:9" x14ac:dyDescent="0.3">
      <c r="A89" s="2">
        <v>45789</v>
      </c>
      <c r="B89" s="3">
        <v>104.97748800694102</v>
      </c>
      <c r="C89" s="4">
        <v>103.57369775811848</v>
      </c>
      <c r="E89" s="4">
        <f>MAX($B$2:B89)</f>
        <v>104.97748800694102</v>
      </c>
      <c r="F89" s="5">
        <f t="shared" si="4"/>
        <v>0</v>
      </c>
      <c r="H89" s="4">
        <f>MAX($C$2:C89)</f>
        <v>103.57369775811848</v>
      </c>
      <c r="I89" s="5">
        <f t="shared" si="5"/>
        <v>0</v>
      </c>
    </row>
    <row r="90" spans="1:9" x14ac:dyDescent="0.3">
      <c r="A90" s="2">
        <v>45790</v>
      </c>
      <c r="B90" s="3">
        <v>103.51873612743177</v>
      </c>
      <c r="C90" s="4">
        <v>102.53106398755992</v>
      </c>
      <c r="E90" s="4">
        <f>MAX($B$2:B90)</f>
        <v>104.97748800694102</v>
      </c>
      <c r="F90" s="5">
        <f t="shared" si="4"/>
        <v>-1.3895854313191403E-2</v>
      </c>
      <c r="H90" s="4">
        <f>MAX($C$2:C90)</f>
        <v>103.57369775811848</v>
      </c>
      <c r="I90" s="5">
        <f t="shared" si="5"/>
        <v>-1.0066588266390619E-2</v>
      </c>
    </row>
    <row r="91" spans="1:9" x14ac:dyDescent="0.3">
      <c r="A91" s="2">
        <v>45791</v>
      </c>
      <c r="B91" s="3">
        <v>103.89168972619183</v>
      </c>
      <c r="C91" s="4">
        <v>103.14133610855514</v>
      </c>
      <c r="E91" s="4">
        <f>MAX($B$2:B91)</f>
        <v>104.97748800694102</v>
      </c>
      <c r="F91" s="5">
        <f t="shared" si="4"/>
        <v>-1.0343153578578623E-2</v>
      </c>
      <c r="H91" s="4">
        <f>MAX($C$2:C91)</f>
        <v>103.57369775811848</v>
      </c>
      <c r="I91" s="5">
        <f t="shared" si="5"/>
        <v>-4.1744348123310404E-3</v>
      </c>
    </row>
    <row r="92" spans="1:9" x14ac:dyDescent="0.3">
      <c r="A92" s="2">
        <v>45792</v>
      </c>
      <c r="B92" s="3">
        <v>105.55618732336825</v>
      </c>
      <c r="C92" s="4">
        <v>104.99053230529039</v>
      </c>
      <c r="E92" s="4">
        <f>MAX($B$2:B92)</f>
        <v>105.55618732336825</v>
      </c>
      <c r="F92" s="5">
        <f t="shared" si="4"/>
        <v>0</v>
      </c>
      <c r="H92" s="4">
        <f>MAX($C$2:C92)</f>
        <v>104.99053230529039</v>
      </c>
      <c r="I92" s="5">
        <f t="shared" si="5"/>
        <v>0</v>
      </c>
    </row>
    <row r="93" spans="1:9" x14ac:dyDescent="0.3">
      <c r="A93" s="2">
        <v>45793</v>
      </c>
      <c r="B93" s="3">
        <v>105.37802880018867</v>
      </c>
      <c r="C93" s="4">
        <v>104.95614487960437</v>
      </c>
      <c r="E93" s="4">
        <f>MAX($B$2:B93)</f>
        <v>105.55618732336825</v>
      </c>
      <c r="F93" s="5">
        <f t="shared" si="4"/>
        <v>-1.6878074862044512E-3</v>
      </c>
      <c r="H93" s="4">
        <f>MAX($C$2:C93)</f>
        <v>104.99053230529039</v>
      </c>
      <c r="I93" s="5">
        <f t="shared" si="5"/>
        <v>-3.2752882503761516E-4</v>
      </c>
    </row>
    <row r="94" spans="1:9" x14ac:dyDescent="0.3">
      <c r="A94" s="2">
        <v>45796</v>
      </c>
      <c r="B94" s="3">
        <v>105.06488255436362</v>
      </c>
      <c r="C94" s="4">
        <v>104.76865066577695</v>
      </c>
      <c r="E94" s="4">
        <f>MAX($B$2:B94)</f>
        <v>105.55618732336825</v>
      </c>
      <c r="F94" s="5">
        <f t="shared" si="4"/>
        <v>-4.6544383750762863E-3</v>
      </c>
      <c r="H94" s="4">
        <f>MAX($C$2:C94)</f>
        <v>104.99053230529039</v>
      </c>
      <c r="I94" s="5">
        <f t="shared" si="5"/>
        <v>-2.1133490291129764E-3</v>
      </c>
    </row>
    <row r="95" spans="1:9" x14ac:dyDescent="0.3">
      <c r="A95" s="2">
        <v>45797</v>
      </c>
      <c r="B95" s="3">
        <v>103.96329007829709</v>
      </c>
      <c r="C95" s="4">
        <v>103.54836145569325</v>
      </c>
      <c r="E95" s="4">
        <f>MAX($B$2:B95)</f>
        <v>105.55618732336825</v>
      </c>
      <c r="F95" s="5">
        <f t="shared" si="4"/>
        <v>-1.5090515160341655E-2</v>
      </c>
      <c r="H95" s="4">
        <f>MAX($C$2:C95)</f>
        <v>104.99053230529039</v>
      </c>
      <c r="I95" s="5">
        <f t="shared" si="5"/>
        <v>-1.3736199045106257E-2</v>
      </c>
    </row>
    <row r="96" spans="1:9" x14ac:dyDescent="0.3">
      <c r="A96" s="2">
        <v>45798</v>
      </c>
      <c r="B96" s="3">
        <v>104.50892687919335</v>
      </c>
      <c r="C96" s="4">
        <v>104.17145489097777</v>
      </c>
      <c r="E96" s="4">
        <f>MAX($B$2:B96)</f>
        <v>105.55618732336825</v>
      </c>
      <c r="F96" s="5">
        <f t="shared" si="4"/>
        <v>-9.9213553533024079E-3</v>
      </c>
      <c r="H96" s="4">
        <f>MAX($C$2:C96)</f>
        <v>104.99053230529039</v>
      </c>
      <c r="I96" s="5">
        <f t="shared" si="5"/>
        <v>-7.801440723539832E-3</v>
      </c>
    </row>
    <row r="97" spans="1:9" x14ac:dyDescent="0.3">
      <c r="A97" s="2">
        <v>45799</v>
      </c>
      <c r="B97" s="3">
        <v>103.6507756002847</v>
      </c>
      <c r="C97" s="4">
        <v>103.28753334141101</v>
      </c>
      <c r="E97" s="4">
        <f>MAX($B$2:B97)</f>
        <v>105.55618732336825</v>
      </c>
      <c r="F97" s="5">
        <f t="shared" si="4"/>
        <v>-1.8051160916284115E-2</v>
      </c>
      <c r="H97" s="4">
        <f>MAX($C$2:C97)</f>
        <v>104.99053230529039</v>
      </c>
      <c r="I97" s="5">
        <f t="shared" si="5"/>
        <v>-1.6220500329757526E-2</v>
      </c>
    </row>
    <row r="98" spans="1:9" x14ac:dyDescent="0.3">
      <c r="A98" s="2">
        <v>45800</v>
      </c>
      <c r="B98" s="3">
        <v>104.67613476028623</v>
      </c>
      <c r="C98" s="4">
        <v>104.37874342136659</v>
      </c>
      <c r="E98" s="4">
        <f>MAX($B$2:B98)</f>
        <v>105.55618732336825</v>
      </c>
      <c r="F98" s="5">
        <f t="shared" ref="F98:F129" si="6">B98/E98-1</f>
        <v>-8.3372901712147618E-3</v>
      </c>
      <c r="H98" s="4">
        <f>MAX($C$2:C98)</f>
        <v>104.99053230529039</v>
      </c>
      <c r="I98" s="5">
        <f t="shared" ref="I98:I129" si="7">C98/H98-1</f>
        <v>-5.8270862190206163E-3</v>
      </c>
    </row>
    <row r="99" spans="1:9" x14ac:dyDescent="0.3">
      <c r="A99" s="2">
        <v>45803</v>
      </c>
      <c r="B99" s="3">
        <v>105.2994790021438</v>
      </c>
      <c r="C99" s="4">
        <v>104.98201192753463</v>
      </c>
      <c r="E99" s="4">
        <f>MAX($B$2:B99)</f>
        <v>105.55618732336825</v>
      </c>
      <c r="F99" s="5">
        <f t="shared" si="6"/>
        <v>-2.4319590138096592E-3</v>
      </c>
      <c r="H99" s="4">
        <f>MAX($C$2:C99)</f>
        <v>104.99053230529039</v>
      </c>
      <c r="I99" s="5">
        <f t="shared" si="7"/>
        <v>-8.1153772332420715E-5</v>
      </c>
    </row>
    <row r="100" spans="1:9" x14ac:dyDescent="0.3">
      <c r="A100" s="2">
        <v>45804</v>
      </c>
      <c r="B100" s="3">
        <v>104.56262714327229</v>
      </c>
      <c r="C100" s="4">
        <v>104.44396945080648</v>
      </c>
      <c r="E100" s="4">
        <f>MAX($B$2:B100)</f>
        <v>105.55618732336825</v>
      </c>
      <c r="F100" s="5">
        <f t="shared" si="6"/>
        <v>-9.4126190542692667E-3</v>
      </c>
      <c r="H100" s="4">
        <f>MAX($C$2:C100)</f>
        <v>104.99053230529039</v>
      </c>
      <c r="I100" s="5">
        <f t="shared" si="7"/>
        <v>-5.2058299208791459E-3</v>
      </c>
    </row>
    <row r="101" spans="1:9" x14ac:dyDescent="0.3">
      <c r="A101" s="2">
        <v>45805</v>
      </c>
      <c r="B101" s="3">
        <v>104.252007968698</v>
      </c>
      <c r="C101" s="4">
        <v>103.98948417493187</v>
      </c>
      <c r="E101" s="4">
        <f>MAX($B$2:B101)</f>
        <v>105.55618732336825</v>
      </c>
      <c r="F101" s="5">
        <f t="shared" si="6"/>
        <v>-1.2355309411422155E-2</v>
      </c>
      <c r="H101" s="4">
        <f>MAX($C$2:C101)</f>
        <v>104.99053230529039</v>
      </c>
      <c r="I101" s="5">
        <f t="shared" si="7"/>
        <v>-9.5346514431193796E-3</v>
      </c>
    </row>
    <row r="102" spans="1:9" x14ac:dyDescent="0.3">
      <c r="A102" s="2">
        <v>45806</v>
      </c>
      <c r="B102" s="3">
        <v>104.59379435536518</v>
      </c>
      <c r="C102" s="4">
        <v>104.31424828523581</v>
      </c>
      <c r="E102" s="4">
        <f>MAX($B$2:B102)</f>
        <v>105.55618732336825</v>
      </c>
      <c r="F102" s="5">
        <f t="shared" si="6"/>
        <v>-9.1173524963990005E-3</v>
      </c>
      <c r="H102" s="4">
        <f>MAX($C$2:C102)</f>
        <v>104.99053230529039</v>
      </c>
      <c r="I102" s="5">
        <f t="shared" si="7"/>
        <v>-6.4413810007942773E-3</v>
      </c>
    </row>
    <row r="103" spans="1:9" x14ac:dyDescent="0.3">
      <c r="A103" s="2">
        <v>45807</v>
      </c>
      <c r="B103" s="3">
        <v>104.24463734421659</v>
      </c>
      <c r="C103" s="4">
        <v>103.61909371799889</v>
      </c>
      <c r="E103" s="4">
        <f>MAX($B$2:B103)</f>
        <v>105.55618732336825</v>
      </c>
      <c r="F103" s="5">
        <f t="shared" si="6"/>
        <v>-1.2425135962269684E-2</v>
      </c>
      <c r="H103" s="4">
        <f>MAX($C$2:C103)</f>
        <v>104.99053230529039</v>
      </c>
      <c r="I103" s="5">
        <f t="shared" si="7"/>
        <v>-1.3062497705065845E-2</v>
      </c>
    </row>
    <row r="104" spans="1:9" x14ac:dyDescent="0.3">
      <c r="A104" s="2">
        <v>45810</v>
      </c>
      <c r="B104" s="3">
        <v>104.10101546146426</v>
      </c>
      <c r="C104" s="4">
        <v>103.51874120861426</v>
      </c>
      <c r="E104" s="4">
        <f>MAX($B$2:B104)</f>
        <v>105.55618732336825</v>
      </c>
      <c r="F104" s="5">
        <f t="shared" si="6"/>
        <v>-1.3785756181644904E-2</v>
      </c>
      <c r="H104" s="4">
        <f>MAX($C$2:C104)</f>
        <v>104.99053230529039</v>
      </c>
      <c r="I104" s="5">
        <f t="shared" si="7"/>
        <v>-1.4018322074951239E-2</v>
      </c>
    </row>
    <row r="105" spans="1:9" x14ac:dyDescent="0.3">
      <c r="A105" s="2">
        <v>45811</v>
      </c>
      <c r="B105" s="3">
        <v>103.36774362019803</v>
      </c>
      <c r="C105" s="4">
        <v>102.76799554251707</v>
      </c>
      <c r="E105" s="4">
        <f>MAX($B$2:B105)</f>
        <v>105.55618732336825</v>
      </c>
      <c r="F105" s="5">
        <f t="shared" si="6"/>
        <v>-2.0732500468835569E-2</v>
      </c>
      <c r="H105" s="4">
        <f>MAX($C$2:C105)</f>
        <v>104.99053230529039</v>
      </c>
      <c r="I105" s="5">
        <f t="shared" si="7"/>
        <v>-2.1168925559027052E-2</v>
      </c>
    </row>
    <row r="106" spans="1:9" x14ac:dyDescent="0.3">
      <c r="A106" s="2">
        <v>45812</v>
      </c>
      <c r="B106" s="3">
        <v>103.69499934717325</v>
      </c>
      <c r="C106" s="4">
        <v>102.9802333929446</v>
      </c>
      <c r="E106" s="4">
        <f>MAX($B$2:B106)</f>
        <v>105.55618732336825</v>
      </c>
      <c r="F106" s="5">
        <f t="shared" si="6"/>
        <v>-1.7632201611197829E-2</v>
      </c>
      <c r="H106" s="4">
        <f>MAX($C$2:C106)</f>
        <v>104.99053230529039</v>
      </c>
      <c r="I106" s="5">
        <f t="shared" si="7"/>
        <v>-1.9147430422585709E-2</v>
      </c>
    </row>
    <row r="107" spans="1:9" x14ac:dyDescent="0.3">
      <c r="A107" s="2">
        <v>45813</v>
      </c>
      <c r="B107" s="3">
        <v>104.24547970130018</v>
      </c>
      <c r="C107" s="4">
        <v>103.37390702999552</v>
      </c>
      <c r="E107" s="4">
        <f>MAX($B$2:B107)</f>
        <v>105.55618732336825</v>
      </c>
      <c r="F107" s="5">
        <f t="shared" si="6"/>
        <v>-1.2417155785029887E-2</v>
      </c>
      <c r="H107" s="4">
        <f>MAX($C$2:C107)</f>
        <v>104.99053230529039</v>
      </c>
      <c r="I107" s="5">
        <f t="shared" si="7"/>
        <v>-1.5397819591904338E-2</v>
      </c>
    </row>
    <row r="108" spans="1:9" x14ac:dyDescent="0.3">
      <c r="A108" s="2">
        <v>45814</v>
      </c>
      <c r="B108" s="3">
        <v>105.3074813944379</v>
      </c>
      <c r="C108" s="4">
        <v>104.60348011051795</v>
      </c>
      <c r="E108" s="4">
        <f>MAX($B$2:B108)</f>
        <v>105.55618732336825</v>
      </c>
      <c r="F108" s="5">
        <f t="shared" si="6"/>
        <v>-2.3561473300323099E-3</v>
      </c>
      <c r="H108" s="4">
        <f>MAX($C$2:C108)</f>
        <v>104.99053230529039</v>
      </c>
      <c r="I108" s="5">
        <f t="shared" si="7"/>
        <v>-3.6865437889863628E-3</v>
      </c>
    </row>
    <row r="109" spans="1:9" x14ac:dyDescent="0.3">
      <c r="A109" s="2">
        <v>45817</v>
      </c>
      <c r="B109" s="3">
        <v>105.72929170404626</v>
      </c>
      <c r="C109" s="4">
        <v>105.29046628030039</v>
      </c>
      <c r="E109" s="4">
        <f>MAX($B$2:B109)</f>
        <v>105.72929170404626</v>
      </c>
      <c r="F109" s="5">
        <f t="shared" si="6"/>
        <v>0</v>
      </c>
      <c r="H109" s="4">
        <f>MAX($C$2:C109)</f>
        <v>105.29046628030039</v>
      </c>
      <c r="I109" s="5">
        <f t="shared" si="7"/>
        <v>0</v>
      </c>
    </row>
    <row r="110" spans="1:9" x14ac:dyDescent="0.3">
      <c r="A110" s="2">
        <v>45818</v>
      </c>
      <c r="B110" s="3">
        <v>105.7337140787351</v>
      </c>
      <c r="C110" s="4">
        <v>105.51735073715621</v>
      </c>
      <c r="E110" s="4">
        <f>MAX($B$2:B110)</f>
        <v>105.7337140787351</v>
      </c>
      <c r="F110" s="5">
        <f t="shared" si="6"/>
        <v>0</v>
      </c>
      <c r="H110" s="4">
        <f>MAX($C$2:C110)</f>
        <v>105.51735073715621</v>
      </c>
      <c r="I110" s="5">
        <f t="shared" si="7"/>
        <v>0</v>
      </c>
    </row>
    <row r="111" spans="1:9" x14ac:dyDescent="0.3">
      <c r="A111" s="2">
        <v>45819</v>
      </c>
      <c r="B111" s="3">
        <v>105.89018190701221</v>
      </c>
      <c r="C111" s="4">
        <v>105.60461254493249</v>
      </c>
      <c r="E111" s="4">
        <f>MAX($B$2:B111)</f>
        <v>105.89018190701221</v>
      </c>
      <c r="F111" s="5">
        <f t="shared" si="6"/>
        <v>0</v>
      </c>
      <c r="H111" s="4">
        <f>MAX($C$2:C111)</f>
        <v>105.60461254493249</v>
      </c>
      <c r="I111" s="5">
        <f t="shared" si="7"/>
        <v>0</v>
      </c>
    </row>
    <row r="112" spans="1:9" x14ac:dyDescent="0.3">
      <c r="A112" s="2">
        <v>45820</v>
      </c>
      <c r="B112" s="3">
        <v>104.8237578391856</v>
      </c>
      <c r="C112" s="4">
        <v>104.42342127532574</v>
      </c>
      <c r="E112" s="4">
        <f>MAX($B$2:B112)</f>
        <v>105.89018190701221</v>
      </c>
      <c r="F112" s="5">
        <f t="shared" si="6"/>
        <v>-1.0071038207896232E-2</v>
      </c>
      <c r="H112" s="4">
        <f>MAX($C$2:C112)</f>
        <v>105.60461254493249</v>
      </c>
      <c r="I112" s="5">
        <f t="shared" si="7"/>
        <v>-1.1185034830786256E-2</v>
      </c>
    </row>
    <row r="113" spans="1:9" x14ac:dyDescent="0.3">
      <c r="A113" s="2">
        <v>45821</v>
      </c>
      <c r="B113" s="3">
        <v>104.10943903230017</v>
      </c>
      <c r="C113" s="4">
        <v>103.8859080217194</v>
      </c>
      <c r="E113" s="4">
        <f>MAX($B$2:B113)</f>
        <v>105.89018190701221</v>
      </c>
      <c r="F113" s="5">
        <f t="shared" si="6"/>
        <v>-1.6816883705760399E-2</v>
      </c>
      <c r="H113" s="4">
        <f>MAX($C$2:C113)</f>
        <v>105.60461254493249</v>
      </c>
      <c r="I113" s="5">
        <f t="shared" si="7"/>
        <v>-1.6274900137357329E-2</v>
      </c>
    </row>
    <row r="114" spans="1:9" x14ac:dyDescent="0.3">
      <c r="A114" s="2">
        <v>45824</v>
      </c>
      <c r="B114" s="3">
        <v>105.06930492905246</v>
      </c>
      <c r="C114" s="4">
        <v>104.89787289574566</v>
      </c>
      <c r="E114" s="4">
        <f>MAX($B$2:B114)</f>
        <v>105.89018190701221</v>
      </c>
      <c r="F114" s="5">
        <f t="shared" si="6"/>
        <v>-7.752153818005536E-3</v>
      </c>
      <c r="H114" s="4">
        <f>MAX($C$2:C114)</f>
        <v>105.60461254493249</v>
      </c>
      <c r="I114" s="5">
        <f t="shared" si="7"/>
        <v>-6.6923179978158887E-3</v>
      </c>
    </row>
    <row r="115" spans="1:9" x14ac:dyDescent="0.3">
      <c r="A115" s="2">
        <v>45825</v>
      </c>
      <c r="B115" s="3">
        <v>104.67718770664072</v>
      </c>
      <c r="C115" s="4">
        <v>104.28849743611781</v>
      </c>
      <c r="E115" s="4">
        <f>MAX($B$2:B115)</f>
        <v>105.89018190701221</v>
      </c>
      <c r="F115" s="5">
        <f t="shared" si="6"/>
        <v>-1.1455209335995642E-2</v>
      </c>
      <c r="H115" s="4">
        <f>MAX($C$2:C115)</f>
        <v>105.60461254493249</v>
      </c>
      <c r="I115" s="5">
        <f t="shared" si="7"/>
        <v>-1.2462666895867947E-2</v>
      </c>
    </row>
    <row r="116" spans="1:9" x14ac:dyDescent="0.3">
      <c r="A116" s="2">
        <v>45826</v>
      </c>
      <c r="B116" s="3">
        <v>104.50303037960822</v>
      </c>
      <c r="C116" s="4">
        <v>104.1342043344381</v>
      </c>
      <c r="E116" s="4">
        <f>MAX($B$2:B116)</f>
        <v>105.89018190701221</v>
      </c>
      <c r="F116" s="5">
        <f t="shared" si="6"/>
        <v>-1.3099906926424154E-2</v>
      </c>
      <c r="H116" s="4">
        <f>MAX($C$2:C116)</f>
        <v>105.60461254493249</v>
      </c>
      <c r="I116" s="5">
        <f t="shared" si="7"/>
        <v>-1.3923711995712074E-2</v>
      </c>
    </row>
    <row r="117" spans="1:9" x14ac:dyDescent="0.3">
      <c r="A117" s="2">
        <v>45827</v>
      </c>
      <c r="B117" s="3">
        <v>104.42384881375064</v>
      </c>
      <c r="C117" s="4">
        <v>104.00625204133651</v>
      </c>
      <c r="E117" s="4">
        <f>MAX($B$2:B117)</f>
        <v>105.89018190701221</v>
      </c>
      <c r="F117" s="5">
        <f t="shared" si="6"/>
        <v>-1.384767753585725E-2</v>
      </c>
      <c r="H117" s="4">
        <f>MAX($C$2:C117)</f>
        <v>105.60461254493249</v>
      </c>
      <c r="I117" s="5">
        <f t="shared" si="7"/>
        <v>-1.5135328515275992E-2</v>
      </c>
    </row>
    <row r="118" spans="1:9" x14ac:dyDescent="0.3">
      <c r="A118" s="2">
        <v>45828</v>
      </c>
      <c r="B118" s="3">
        <v>105.76804012989147</v>
      </c>
      <c r="C118" s="4">
        <v>105.13683000177301</v>
      </c>
      <c r="E118" s="4">
        <f>MAX($B$2:B118)</f>
        <v>105.89018190701221</v>
      </c>
      <c r="F118" s="5">
        <f t="shared" si="6"/>
        <v>-1.1534759400828598E-3</v>
      </c>
      <c r="H118" s="4">
        <f>MAX($C$2:C118)</f>
        <v>105.60461254493249</v>
      </c>
      <c r="I118" s="5">
        <f t="shared" si="7"/>
        <v>-4.4295654506610882E-3</v>
      </c>
    </row>
    <row r="119" spans="1:9" x14ac:dyDescent="0.3">
      <c r="A119" s="2">
        <v>45831</v>
      </c>
      <c r="B119" s="3">
        <v>105.17628427866856</v>
      </c>
      <c r="C119" s="4">
        <v>104.89860640513935</v>
      </c>
      <c r="E119" s="4">
        <f>MAX($B$2:B119)</f>
        <v>105.89018190701221</v>
      </c>
      <c r="F119" s="5">
        <f t="shared" si="6"/>
        <v>-6.741867994622508E-3</v>
      </c>
      <c r="H119" s="4">
        <f>MAX($C$2:C119)</f>
        <v>105.60461254493249</v>
      </c>
      <c r="I119" s="5">
        <f t="shared" si="7"/>
        <v>-6.6853721895220319E-3</v>
      </c>
    </row>
    <row r="120" spans="1:9" x14ac:dyDescent="0.3">
      <c r="A120" s="2">
        <v>45832</v>
      </c>
      <c r="B120" s="3">
        <v>105.48142813219951</v>
      </c>
      <c r="C120" s="4">
        <v>105.33244647416298</v>
      </c>
      <c r="E120" s="4">
        <f>MAX($B$2:B120)</f>
        <v>105.89018190701221</v>
      </c>
      <c r="F120" s="5">
        <f t="shared" si="6"/>
        <v>-3.8601668960361879E-3</v>
      </c>
      <c r="H120" s="4">
        <f>MAX($C$2:C120)</f>
        <v>105.60461254493249</v>
      </c>
      <c r="I120" s="5">
        <f t="shared" si="7"/>
        <v>-2.5772176442928618E-3</v>
      </c>
    </row>
    <row r="121" spans="1:9" x14ac:dyDescent="0.3">
      <c r="A121" s="2">
        <v>45833</v>
      </c>
      <c r="B121" s="3">
        <v>106.32546992995799</v>
      </c>
      <c r="C121" s="4">
        <v>106.02144030077835</v>
      </c>
      <c r="E121" s="4">
        <f>MAX($B$2:B121)</f>
        <v>106.32546992995799</v>
      </c>
      <c r="F121" s="5">
        <f t="shared" si="6"/>
        <v>0</v>
      </c>
      <c r="H121" s="4">
        <f>MAX($C$2:C121)</f>
        <v>106.02144030077835</v>
      </c>
      <c r="I121" s="5">
        <f t="shared" si="7"/>
        <v>0</v>
      </c>
    </row>
    <row r="122" spans="1:9" x14ac:dyDescent="0.3">
      <c r="A122" s="2">
        <v>45834</v>
      </c>
      <c r="B122" s="3">
        <v>107.60690564337128</v>
      </c>
      <c r="C122" s="4">
        <v>107.20305850091769</v>
      </c>
      <c r="E122" s="4">
        <f>MAX($B$2:B122)</f>
        <v>107.60690564337128</v>
      </c>
      <c r="F122" s="5">
        <f t="shared" si="6"/>
        <v>0</v>
      </c>
      <c r="H122" s="4">
        <f>MAX($C$2:C122)</f>
        <v>107.20305850091769</v>
      </c>
      <c r="I122" s="5">
        <f t="shared" si="7"/>
        <v>0</v>
      </c>
    </row>
    <row r="123" spans="1:9" x14ac:dyDescent="0.3">
      <c r="A123" s="2">
        <v>45835</v>
      </c>
      <c r="B123" s="3">
        <v>107.9809121884858</v>
      </c>
      <c r="C123" s="4">
        <v>107.52616710415199</v>
      </c>
      <c r="E123" s="4">
        <f>MAX($B$2:B123)</f>
        <v>107.9809121884858</v>
      </c>
      <c r="F123" s="5">
        <f t="shared" si="6"/>
        <v>0</v>
      </c>
      <c r="H123" s="4">
        <f>MAX($C$2:C123)</f>
        <v>107.52616710415199</v>
      </c>
      <c r="I123" s="5">
        <f t="shared" si="7"/>
        <v>0</v>
      </c>
    </row>
    <row r="124" spans="1:9" x14ac:dyDescent="0.3">
      <c r="A124" s="2">
        <v>45838</v>
      </c>
      <c r="B124" s="3">
        <v>107.47233909926757</v>
      </c>
      <c r="C124" s="4">
        <v>107.26277211061743</v>
      </c>
      <c r="E124" s="4">
        <f>MAX($B$2:B124)</f>
        <v>107.9809121884858</v>
      </c>
      <c r="F124" s="5">
        <f t="shared" si="6"/>
        <v>-4.7098424981860676E-3</v>
      </c>
      <c r="H124" s="4">
        <f>MAX($C$2:C124)</f>
        <v>107.52616710415199</v>
      </c>
      <c r="I124" s="5">
        <f t="shared" si="7"/>
        <v>-2.4495897196765704E-3</v>
      </c>
    </row>
    <row r="125" spans="1:9" x14ac:dyDescent="0.3">
      <c r="A125" s="2">
        <v>45839</v>
      </c>
      <c r="B125" s="3">
        <v>107.57658078836198</v>
      </c>
      <c r="C125" s="4">
        <v>107.32735029485963</v>
      </c>
      <c r="E125" s="4">
        <f>MAX($B$2:B125)</f>
        <v>107.9809121884858</v>
      </c>
      <c r="F125" s="5">
        <f t="shared" si="6"/>
        <v>-3.7444710544586313E-3</v>
      </c>
      <c r="H125" s="4">
        <f>MAX($C$2:C125)</f>
        <v>107.52616710415199</v>
      </c>
      <c r="I125" s="5">
        <f t="shared" si="7"/>
        <v>-1.8490086148034157E-3</v>
      </c>
    </row>
    <row r="126" spans="1:9" x14ac:dyDescent="0.3">
      <c r="A126" s="2">
        <v>45840</v>
      </c>
      <c r="B126" s="3">
        <v>107.20425895741464</v>
      </c>
      <c r="C126" s="4">
        <v>107.10783892127634</v>
      </c>
      <c r="E126" s="4">
        <f>MAX($B$2:B126)</f>
        <v>107.9809121884858</v>
      </c>
      <c r="F126" s="5">
        <f t="shared" si="6"/>
        <v>-7.1925048171058714E-3</v>
      </c>
      <c r="H126" s="4">
        <f>MAX($C$2:C126)</f>
        <v>107.52616710415199</v>
      </c>
      <c r="I126" s="5">
        <f t="shared" si="7"/>
        <v>-3.8904779565931413E-3</v>
      </c>
    </row>
    <row r="127" spans="1:9" x14ac:dyDescent="0.3">
      <c r="A127" s="2">
        <v>45841</v>
      </c>
      <c r="B127" s="3">
        <v>107.00167207881093</v>
      </c>
      <c r="C127" s="4">
        <v>106.88063080014443</v>
      </c>
      <c r="E127" s="4">
        <f>MAX($B$2:B127)</f>
        <v>107.9809121884858</v>
      </c>
      <c r="F127" s="5">
        <f t="shared" si="6"/>
        <v>-9.0686408350169057E-3</v>
      </c>
      <c r="H127" s="4">
        <f>MAX($C$2:C127)</f>
        <v>107.52616710415199</v>
      </c>
      <c r="I127" s="5">
        <f t="shared" si="7"/>
        <v>-6.0035275263023991E-3</v>
      </c>
    </row>
    <row r="128" spans="1:9" x14ac:dyDescent="0.3">
      <c r="A128" s="2">
        <v>45842</v>
      </c>
      <c r="B128" s="3">
        <v>107.23626852659109</v>
      </c>
      <c r="C128" s="4">
        <v>106.83181859886781</v>
      </c>
      <c r="E128" s="4">
        <f>MAX($B$2:B128)</f>
        <v>107.9809121884858</v>
      </c>
      <c r="F128" s="5">
        <f t="shared" si="6"/>
        <v>-6.8960675252947023E-3</v>
      </c>
      <c r="H128" s="4">
        <f>MAX($C$2:C128)</f>
        <v>107.52616710415199</v>
      </c>
      <c r="I128" s="5">
        <f t="shared" si="7"/>
        <v>-6.4574840151385704E-3</v>
      </c>
    </row>
    <row r="129" spans="1:9" x14ac:dyDescent="0.3">
      <c r="A129" s="2">
        <v>45845</v>
      </c>
      <c r="B129" s="3">
        <v>107.23753206221649</v>
      </c>
      <c r="C129" s="4">
        <v>106.79530273661402</v>
      </c>
      <c r="E129" s="4">
        <f>MAX($B$2:B129)</f>
        <v>107.9809121884858</v>
      </c>
      <c r="F129" s="5">
        <f t="shared" si="6"/>
        <v>-6.88436605324938E-3</v>
      </c>
      <c r="H129" s="4">
        <f>MAX($C$2:C129)</f>
        <v>107.52616710415199</v>
      </c>
      <c r="I129" s="5">
        <f t="shared" si="7"/>
        <v>-6.7970837910557025E-3</v>
      </c>
    </row>
    <row r="130" spans="1:9" x14ac:dyDescent="0.3">
      <c r="A130" s="2">
        <v>45846</v>
      </c>
      <c r="B130" s="3">
        <v>107.49529332979542</v>
      </c>
      <c r="C130" s="4">
        <v>106.8823410220235</v>
      </c>
      <c r="E130" s="4">
        <f>MAX($B$2:B130)</f>
        <v>107.9809121884858</v>
      </c>
      <c r="F130" s="5">
        <f t="shared" ref="F130:F161" si="8">B130/E130-1</f>
        <v>-4.4972657560321538E-3</v>
      </c>
      <c r="H130" s="4">
        <f>MAX($C$2:C130)</f>
        <v>107.52616710415199</v>
      </c>
      <c r="I130" s="5">
        <f t="shared" ref="I130:I161" si="9">C130/H130-1</f>
        <v>-5.9876223571223575E-3</v>
      </c>
    </row>
    <row r="131" spans="1:9" x14ac:dyDescent="0.3">
      <c r="A131" s="2">
        <v>45847</v>
      </c>
      <c r="B131" s="3">
        <v>107.29986648640224</v>
      </c>
      <c r="C131" s="4">
        <v>106.73591240645467</v>
      </c>
      <c r="E131" s="4">
        <f>MAX($B$2:B131)</f>
        <v>107.9809121884858</v>
      </c>
      <c r="F131" s="5">
        <f t="shared" si="8"/>
        <v>-6.3070934323536942E-3</v>
      </c>
      <c r="H131" s="4">
        <f>MAX($C$2:C131)</f>
        <v>107.52616710415199</v>
      </c>
      <c r="I131" s="5">
        <f t="shared" si="9"/>
        <v>-7.3494175323097766E-3</v>
      </c>
    </row>
    <row r="132" spans="1:9" x14ac:dyDescent="0.3">
      <c r="A132" s="2">
        <v>45848</v>
      </c>
      <c r="B132" s="3">
        <v>106.79087221864221</v>
      </c>
      <c r="C132" s="4">
        <v>106.26082094840412</v>
      </c>
      <c r="E132" s="4">
        <f>MAX($B$2:B132)</f>
        <v>107.9809121884858</v>
      </c>
      <c r="F132" s="5">
        <f t="shared" si="8"/>
        <v>-1.1020836421221647E-2</v>
      </c>
      <c r="H132" s="4">
        <f>MAX($C$2:C132)</f>
        <v>107.52616710415199</v>
      </c>
      <c r="I132" s="5">
        <f t="shared" si="9"/>
        <v>-1.1767797456429752E-2</v>
      </c>
    </row>
    <row r="133" spans="1:9" x14ac:dyDescent="0.3">
      <c r="A133" s="2">
        <v>45849</v>
      </c>
      <c r="B133" s="3">
        <v>105.92577149379392</v>
      </c>
      <c r="C133" s="4">
        <v>105.51192766234756</v>
      </c>
      <c r="E133" s="4">
        <f>MAX($B$2:B133)</f>
        <v>107.9809121884858</v>
      </c>
      <c r="F133" s="5">
        <f t="shared" si="8"/>
        <v>-1.9032444281490646E-2</v>
      </c>
      <c r="H133" s="4">
        <f>MAX($C$2:C133)</f>
        <v>107.52616710415199</v>
      </c>
      <c r="I133" s="5">
        <f t="shared" si="9"/>
        <v>-1.8732551304031952E-2</v>
      </c>
    </row>
    <row r="134" spans="1:9" x14ac:dyDescent="0.3">
      <c r="A134" s="2">
        <v>45852</v>
      </c>
      <c r="B134" s="3">
        <v>105.64126538881095</v>
      </c>
      <c r="C134" s="4">
        <v>105.3254966595819</v>
      </c>
      <c r="E134" s="4">
        <f>MAX($B$2:B134)</f>
        <v>107.9809121884858</v>
      </c>
      <c r="F134" s="5">
        <f t="shared" si="8"/>
        <v>-2.1667225736997753E-2</v>
      </c>
      <c r="H134" s="4">
        <f>MAX($C$2:C134)</f>
        <v>107.52616710415199</v>
      </c>
      <c r="I134" s="5">
        <f t="shared" si="9"/>
        <v>-2.0466371152600304E-2</v>
      </c>
    </row>
    <row r="135" spans="1:9" x14ac:dyDescent="0.3">
      <c r="A135" s="2">
        <v>45853</v>
      </c>
      <c r="B135" s="3">
        <v>106.11930303374903</v>
      </c>
      <c r="C135" s="4">
        <v>105.86900714095042</v>
      </c>
      <c r="E135" s="4">
        <f>MAX($B$2:B135)</f>
        <v>107.9809121884858</v>
      </c>
      <c r="F135" s="5">
        <f t="shared" si="8"/>
        <v>-1.7240168813236534E-2</v>
      </c>
      <c r="H135" s="4">
        <f>MAX($C$2:C135)</f>
        <v>107.52616710415199</v>
      </c>
      <c r="I135" s="5">
        <f t="shared" si="9"/>
        <v>-1.5411690082809515E-2</v>
      </c>
    </row>
    <row r="136" spans="1:9" x14ac:dyDescent="0.3">
      <c r="A136" s="2">
        <v>45854</v>
      </c>
      <c r="B136" s="3">
        <v>106.18774454679082</v>
      </c>
      <c r="C136" s="4">
        <v>105.82506527280829</v>
      </c>
      <c r="E136" s="4">
        <f>MAX($B$2:B136)</f>
        <v>107.9809121884858</v>
      </c>
      <c r="F136" s="5">
        <f t="shared" si="8"/>
        <v>-1.660633907745579E-2</v>
      </c>
      <c r="H136" s="4">
        <f>MAX($C$2:C136)</f>
        <v>107.52616710415199</v>
      </c>
      <c r="I136" s="5">
        <f t="shared" si="9"/>
        <v>-1.5820352172471464E-2</v>
      </c>
    </row>
    <row r="137" spans="1:9" x14ac:dyDescent="0.3">
      <c r="A137" s="2">
        <v>45855</v>
      </c>
      <c r="B137" s="3">
        <v>105.7640389337444</v>
      </c>
      <c r="C137" s="4">
        <v>105.61752622469618</v>
      </c>
      <c r="E137" s="4">
        <f>MAX($B$2:B137)</f>
        <v>107.9809121884858</v>
      </c>
      <c r="F137" s="5">
        <f t="shared" si="8"/>
        <v>-2.0530232703273921E-2</v>
      </c>
      <c r="H137" s="4">
        <f>MAX($C$2:C137)</f>
        <v>107.52616710415199</v>
      </c>
      <c r="I137" s="5">
        <f t="shared" si="9"/>
        <v>-1.775047814739894E-2</v>
      </c>
    </row>
    <row r="138" spans="1:9" x14ac:dyDescent="0.3">
      <c r="A138" s="2">
        <v>45856</v>
      </c>
      <c r="B138" s="3">
        <v>105.16154302970573</v>
      </c>
      <c r="C138" s="4">
        <v>105.12237381768192</v>
      </c>
      <c r="E138" s="4">
        <f>MAX($B$2:B138)</f>
        <v>107.9809121884858</v>
      </c>
      <c r="F138" s="5">
        <f t="shared" si="8"/>
        <v>-2.6109884623485402E-2</v>
      </c>
      <c r="H138" s="4">
        <f>MAX($C$2:C138)</f>
        <v>107.52616710415199</v>
      </c>
      <c r="I138" s="5">
        <f t="shared" si="9"/>
        <v>-2.2355426136799972E-2</v>
      </c>
    </row>
    <row r="139" spans="1:9" x14ac:dyDescent="0.3">
      <c r="A139" s="2">
        <v>45859</v>
      </c>
      <c r="B139" s="3">
        <v>105.67664438632181</v>
      </c>
      <c r="C139" s="4">
        <v>105.46640653774266</v>
      </c>
      <c r="E139" s="4">
        <f>MAX($B$2:B139)</f>
        <v>107.9809121884858</v>
      </c>
      <c r="F139" s="5">
        <f t="shared" si="8"/>
        <v>-2.1339584519732391E-2</v>
      </c>
      <c r="H139" s="4">
        <f>MAX($C$2:C139)</f>
        <v>107.52616710415199</v>
      </c>
      <c r="I139" s="5">
        <f t="shared" si="9"/>
        <v>-1.9155900576407703E-2</v>
      </c>
    </row>
    <row r="140" spans="1:9" x14ac:dyDescent="0.3">
      <c r="A140" s="2">
        <v>45860</v>
      </c>
      <c r="B140" s="3">
        <v>105.55113318086671</v>
      </c>
      <c r="C140" s="4">
        <v>105.24296209918947</v>
      </c>
      <c r="E140" s="4">
        <f>MAX($B$2:B140)</f>
        <v>107.9809121884858</v>
      </c>
      <c r="F140" s="5">
        <f t="shared" si="8"/>
        <v>-2.25019307428872E-2</v>
      </c>
      <c r="H140" s="4">
        <f>MAX($C$2:C140)</f>
        <v>107.52616710415199</v>
      </c>
      <c r="I140" s="5">
        <f t="shared" si="9"/>
        <v>-2.1233947665510788E-2</v>
      </c>
    </row>
    <row r="141" spans="1:9" x14ac:dyDescent="0.3">
      <c r="A141" s="2">
        <v>45861</v>
      </c>
      <c r="B141" s="3">
        <v>106.2208070623218</v>
      </c>
      <c r="C141" s="4">
        <v>105.72946656342586</v>
      </c>
      <c r="E141" s="4">
        <f>MAX($B$2:B141)</f>
        <v>107.9809121884858</v>
      </c>
      <c r="F141" s="5">
        <f t="shared" si="8"/>
        <v>-1.6300150558940074E-2</v>
      </c>
      <c r="H141" s="4">
        <f>MAX($C$2:C141)</f>
        <v>107.52616710415199</v>
      </c>
      <c r="I141" s="5">
        <f t="shared" si="9"/>
        <v>-1.6709426078452272E-2</v>
      </c>
    </row>
    <row r="142" spans="1:9" x14ac:dyDescent="0.3">
      <c r="A142" s="2">
        <v>45862</v>
      </c>
      <c r="B142" s="3">
        <v>105.55618732336825</v>
      </c>
      <c r="C142" s="4">
        <v>105.13968082159543</v>
      </c>
      <c r="E142" s="4">
        <f>MAX($B$2:B142)</f>
        <v>107.9809121884858</v>
      </c>
      <c r="F142" s="5">
        <f t="shared" si="8"/>
        <v>-2.2455124854706576E-2</v>
      </c>
      <c r="H142" s="4">
        <f>MAX($C$2:C142)</f>
        <v>107.52616710415199</v>
      </c>
      <c r="I142" s="5">
        <f t="shared" si="9"/>
        <v>-2.2194469930700289E-2</v>
      </c>
    </row>
    <row r="143" spans="1:9" x14ac:dyDescent="0.3">
      <c r="A143" s="2">
        <v>45863</v>
      </c>
      <c r="B143" s="3">
        <v>104.60811442578624</v>
      </c>
      <c r="C143" s="4">
        <v>104.1041000383409</v>
      </c>
      <c r="E143" s="4">
        <f>MAX($B$2:B143)</f>
        <v>107.9809121884858</v>
      </c>
      <c r="F143" s="5">
        <f t="shared" si="8"/>
        <v>-3.123512937927575E-2</v>
      </c>
      <c r="H143" s="4">
        <f>MAX($C$2:C143)</f>
        <v>107.52616710415199</v>
      </c>
      <c r="I143" s="5">
        <f t="shared" si="9"/>
        <v>-3.1825435221702003E-2</v>
      </c>
    </row>
    <row r="144" spans="1:9" x14ac:dyDescent="0.3">
      <c r="A144" s="2">
        <v>45866</v>
      </c>
      <c r="B144" s="3">
        <v>103.95065472204321</v>
      </c>
      <c r="C144" s="4">
        <v>103.41687212394406</v>
      </c>
      <c r="E144" s="4">
        <f>MAX($B$2:B144)</f>
        <v>107.9809121884858</v>
      </c>
      <c r="F144" s="5">
        <f t="shared" si="8"/>
        <v>-3.7323795333452869E-2</v>
      </c>
      <c r="H144" s="4">
        <f>MAX($C$2:C144)</f>
        <v>107.52616710415199</v>
      </c>
      <c r="I144" s="5">
        <f t="shared" si="9"/>
        <v>-3.8216697301481917E-2</v>
      </c>
    </row>
    <row r="145" spans="1:9" x14ac:dyDescent="0.3">
      <c r="A145" s="2">
        <v>45867</v>
      </c>
      <c r="B145" s="3">
        <v>104.54114703764073</v>
      </c>
      <c r="C145" s="4">
        <v>103.98757370726759</v>
      </c>
      <c r="E145" s="4">
        <f>MAX($B$2:B145)</f>
        <v>107.9809121884858</v>
      </c>
      <c r="F145" s="5">
        <f t="shared" si="8"/>
        <v>-3.1855307397670507E-2</v>
      </c>
      <c r="H145" s="4">
        <f>MAX($C$2:C145)</f>
        <v>107.52616710415199</v>
      </c>
      <c r="I145" s="5">
        <f t="shared" si="9"/>
        <v>-3.2909137302893465E-2</v>
      </c>
    </row>
    <row r="146" spans="1:9" x14ac:dyDescent="0.3">
      <c r="A146" s="2">
        <v>45868</v>
      </c>
      <c r="B146" s="3">
        <v>104.68413715258033</v>
      </c>
      <c r="C146" s="4">
        <v>103.95860109539321</v>
      </c>
      <c r="E146" s="4">
        <f>MAX($B$2:B146)</f>
        <v>107.9809121884858</v>
      </c>
      <c r="F146" s="5">
        <f t="shared" si="8"/>
        <v>-3.0531090811224071E-2</v>
      </c>
      <c r="H146" s="4">
        <f>MAX($C$2:C146)</f>
        <v>107.52616710415199</v>
      </c>
      <c r="I146" s="5">
        <f t="shared" si="9"/>
        <v>-3.3178584384052079E-2</v>
      </c>
    </row>
    <row r="147" spans="1:9" x14ac:dyDescent="0.3">
      <c r="A147" s="2">
        <v>45869</v>
      </c>
      <c r="B147" s="3">
        <v>104.31897535684351</v>
      </c>
      <c r="C147" s="4">
        <v>103.71246353465328</v>
      </c>
      <c r="E147" s="4">
        <f>MAX($B$2:B147)</f>
        <v>107.9809121884858</v>
      </c>
      <c r="F147" s="5">
        <f t="shared" si="8"/>
        <v>-3.3912816232281928E-2</v>
      </c>
      <c r="H147" s="4">
        <f>MAX($C$2:C147)</f>
        <v>107.52616710415199</v>
      </c>
      <c r="I147" s="5">
        <f t="shared" si="9"/>
        <v>-3.5467678912098566E-2</v>
      </c>
    </row>
    <row r="148" spans="1:9" x14ac:dyDescent="0.3">
      <c r="A148" s="2">
        <v>45870</v>
      </c>
      <c r="B148" s="3">
        <v>103.46398291699835</v>
      </c>
      <c r="C148" s="4">
        <v>102.63190476228424</v>
      </c>
      <c r="E148" s="4">
        <f>MAX($B$2:B148)</f>
        <v>107.9809121884858</v>
      </c>
      <c r="F148" s="5">
        <f t="shared" si="8"/>
        <v>-4.1830812316189236E-2</v>
      </c>
      <c r="H148" s="4">
        <f>MAX($C$2:C148)</f>
        <v>107.52616710415199</v>
      </c>
      <c r="I148" s="5">
        <f t="shared" si="9"/>
        <v>-4.5516942281845441E-2</v>
      </c>
    </row>
    <row r="149" spans="1:9" x14ac:dyDescent="0.3">
      <c r="A149" s="2">
        <v>45873</v>
      </c>
      <c r="B149" s="3">
        <v>104.1269179417847</v>
      </c>
      <c r="C149" s="4">
        <v>103.80304303010672</v>
      </c>
      <c r="E149" s="4">
        <f>MAX($B$2:B149)</f>
        <v>107.9809121884858</v>
      </c>
      <c r="F149" s="5">
        <f t="shared" si="8"/>
        <v>-3.569143998314972E-2</v>
      </c>
      <c r="H149" s="4">
        <f>MAX($C$2:C149)</f>
        <v>107.52616710415199</v>
      </c>
      <c r="I149" s="5">
        <f t="shared" si="9"/>
        <v>-3.4625284005882828E-2</v>
      </c>
    </row>
    <row r="150" spans="1:9" x14ac:dyDescent="0.3">
      <c r="A150" s="2">
        <v>45874</v>
      </c>
      <c r="B150" s="3">
        <v>103.81861524919027</v>
      </c>
      <c r="C150" s="4">
        <v>103.8372457388701</v>
      </c>
      <c r="E150" s="4">
        <f>MAX($B$2:B150)</f>
        <v>107.9809121884858</v>
      </c>
      <c r="F150" s="5">
        <f t="shared" si="8"/>
        <v>-3.8546599162174511E-2</v>
      </c>
      <c r="H150" s="4">
        <f>MAX($C$2:C150)</f>
        <v>107.52616710415199</v>
      </c>
      <c r="I150" s="5">
        <f t="shared" si="9"/>
        <v>-3.4307196700396947E-2</v>
      </c>
    </row>
    <row r="151" spans="1:9" x14ac:dyDescent="0.3">
      <c r="A151" s="2">
        <v>45875</v>
      </c>
      <c r="B151" s="3">
        <v>103.50125721794726</v>
      </c>
      <c r="C151" s="4">
        <v>103.358289027822</v>
      </c>
      <c r="E151" s="4">
        <f>MAX($B$2:B151)</f>
        <v>107.9809121884858</v>
      </c>
      <c r="F151" s="5">
        <f t="shared" si="8"/>
        <v>-4.1485618890856335E-2</v>
      </c>
      <c r="H151" s="4">
        <f>MAX($C$2:C151)</f>
        <v>107.52616710415199</v>
      </c>
      <c r="I151" s="5">
        <f t="shared" si="9"/>
        <v>-3.8761523716296042E-2</v>
      </c>
    </row>
    <row r="152" spans="1:9" x14ac:dyDescent="0.3">
      <c r="A152" s="2">
        <v>45876</v>
      </c>
      <c r="B152" s="3">
        <v>103.5937059078714</v>
      </c>
      <c r="C152" s="4">
        <v>103.53999160730827</v>
      </c>
      <c r="E152" s="4">
        <f>MAX($B$2:B152)</f>
        <v>107.9809121884858</v>
      </c>
      <c r="F152" s="5">
        <f t="shared" si="8"/>
        <v>-4.0629461186217131E-2</v>
      </c>
      <c r="H152" s="4">
        <f>MAX($C$2:C152)</f>
        <v>107.52616710415199</v>
      </c>
      <c r="I152" s="5">
        <f t="shared" si="9"/>
        <v>-3.70716784964783E-2</v>
      </c>
    </row>
    <row r="153" spans="1:9" x14ac:dyDescent="0.3">
      <c r="A153" s="2">
        <v>45877</v>
      </c>
      <c r="B153" s="3">
        <v>102.61299167330023</v>
      </c>
      <c r="C153" s="4">
        <v>102.66546838231689</v>
      </c>
      <c r="E153" s="4">
        <f>MAX($B$2:B153)</f>
        <v>107.9809121884858</v>
      </c>
      <c r="F153" s="5">
        <f t="shared" si="8"/>
        <v>-4.9711753738620135E-2</v>
      </c>
      <c r="H153" s="4">
        <f>MAX($C$2:C153)</f>
        <v>107.52616710415199</v>
      </c>
      <c r="I153" s="5">
        <f t="shared" si="9"/>
        <v>-4.5204798541055968E-2</v>
      </c>
    </row>
    <row r="154" spans="1:9" x14ac:dyDescent="0.3">
      <c r="A154" s="2">
        <v>45880</v>
      </c>
      <c r="B154" s="3">
        <v>103.54695508973208</v>
      </c>
      <c r="C154" s="4">
        <v>103.54501841004836</v>
      </c>
      <c r="E154" s="4">
        <f>MAX($B$2:B154)</f>
        <v>107.9809121884858</v>
      </c>
      <c r="F154" s="5">
        <f t="shared" si="8"/>
        <v>-4.106241565188895E-2</v>
      </c>
      <c r="H154" s="4">
        <f>MAX($C$2:C154)</f>
        <v>107.52616710415199</v>
      </c>
      <c r="I154" s="5">
        <f t="shared" si="9"/>
        <v>-3.702492892030107E-2</v>
      </c>
    </row>
    <row r="155" spans="1:9" x14ac:dyDescent="0.3">
      <c r="A155" s="2">
        <v>45881</v>
      </c>
      <c r="B155" s="3">
        <v>103.13567424366863</v>
      </c>
      <c r="C155" s="4">
        <v>103.35324945036508</v>
      </c>
      <c r="E155" s="4">
        <f>MAX($B$2:B155)</f>
        <v>107.9809121884858</v>
      </c>
      <c r="F155" s="5">
        <f t="shared" si="8"/>
        <v>-4.4871244802596078E-2</v>
      </c>
      <c r="H155" s="4">
        <f>MAX($C$2:C155)</f>
        <v>107.52616710415199</v>
      </c>
      <c r="I155" s="5">
        <f t="shared" si="9"/>
        <v>-3.8808392098129363E-2</v>
      </c>
    </row>
    <row r="156" spans="1:9" x14ac:dyDescent="0.3">
      <c r="A156" s="2">
        <v>45882</v>
      </c>
      <c r="B156" s="3">
        <v>103.69141932956798</v>
      </c>
      <c r="C156" s="4">
        <v>104.26312202875503</v>
      </c>
      <c r="E156" s="4">
        <f>MAX($B$2:B156)</f>
        <v>107.9809121884858</v>
      </c>
      <c r="F156" s="5">
        <f t="shared" si="8"/>
        <v>-3.9724547348056416E-2</v>
      </c>
      <c r="H156" s="4">
        <f>MAX($C$2:C156)</f>
        <v>107.52616710415199</v>
      </c>
      <c r="I156" s="5">
        <f t="shared" si="9"/>
        <v>-3.0346520882087336E-2</v>
      </c>
    </row>
    <row r="157" spans="1:9" x14ac:dyDescent="0.3">
      <c r="A157" s="2">
        <v>45883</v>
      </c>
      <c r="B157" s="3">
        <v>103.74175016531257</v>
      </c>
      <c r="C157" s="4">
        <v>104.15735366555126</v>
      </c>
      <c r="E157" s="4">
        <f>MAX($B$2:B157)</f>
        <v>107.9809121884858</v>
      </c>
      <c r="F157" s="5">
        <f t="shared" si="8"/>
        <v>-3.9258438711589849E-2</v>
      </c>
      <c r="H157" s="4">
        <f>MAX($C$2:C157)</f>
        <v>107.52616710415199</v>
      </c>
      <c r="I157" s="5">
        <f t="shared" si="9"/>
        <v>-3.1330173197168243E-2</v>
      </c>
    </row>
    <row r="158" spans="1:9" x14ac:dyDescent="0.3">
      <c r="A158" s="2">
        <v>45887</v>
      </c>
      <c r="B158" s="3">
        <v>104.7763752532336</v>
      </c>
      <c r="C158" s="4">
        <v>105.83030290256895</v>
      </c>
      <c r="E158" s="4">
        <f>MAX($B$2:B158)</f>
        <v>107.9809121884858</v>
      </c>
      <c r="F158" s="5">
        <f t="shared" si="8"/>
        <v>-2.9676883351925532E-2</v>
      </c>
      <c r="H158" s="4">
        <f>MAX($C$2:C158)</f>
        <v>107.52616710415199</v>
      </c>
      <c r="I158" s="5">
        <f t="shared" si="9"/>
        <v>-1.5771641891972221E-2</v>
      </c>
    </row>
    <row r="159" spans="1:9" x14ac:dyDescent="0.3">
      <c r="A159" s="2">
        <v>45888</v>
      </c>
      <c r="B159" s="3">
        <v>105.2131374010757</v>
      </c>
      <c r="C159" s="4">
        <v>106.23885582321873</v>
      </c>
      <c r="E159" s="4">
        <f>MAX($B$2:B159)</f>
        <v>107.9809121884858</v>
      </c>
      <c r="F159" s="5">
        <f t="shared" si="8"/>
        <v>-2.5632074514973735E-2</v>
      </c>
      <c r="H159" s="4">
        <f>MAX($C$2:C159)</f>
        <v>107.52616710415199</v>
      </c>
      <c r="I159" s="5">
        <f t="shared" si="9"/>
        <v>-1.1972074478264871E-2</v>
      </c>
    </row>
    <row r="160" spans="1:9" x14ac:dyDescent="0.3">
      <c r="A160" s="2">
        <v>45889</v>
      </c>
      <c r="B160" s="3">
        <v>105.50754120179084</v>
      </c>
      <c r="C160" s="4">
        <v>106.53685737010987</v>
      </c>
      <c r="E160" s="4">
        <f>MAX($B$2:B160)</f>
        <v>107.9809121884858</v>
      </c>
      <c r="F160" s="5">
        <f t="shared" si="8"/>
        <v>-2.2905631528446158E-2</v>
      </c>
      <c r="H160" s="4">
        <f>MAX($C$2:C160)</f>
        <v>107.52616710415199</v>
      </c>
      <c r="I160" s="5">
        <f t="shared" si="9"/>
        <v>-9.2006416734250474E-3</v>
      </c>
    </row>
    <row r="161" spans="1:9" x14ac:dyDescent="0.3">
      <c r="A161" s="2">
        <v>45890</v>
      </c>
      <c r="B161" s="3">
        <v>105.64737247766701</v>
      </c>
      <c r="C161" s="4">
        <v>104.84715593464706</v>
      </c>
      <c r="E161" s="4">
        <f>MAX($B$2:B161)</f>
        <v>107.9809121884858</v>
      </c>
      <c r="F161" s="5">
        <f t="shared" si="8"/>
        <v>-2.1610668622112472E-2</v>
      </c>
      <c r="H161" s="4">
        <f>MAX($C$2:C161)</f>
        <v>107.52616710415199</v>
      </c>
      <c r="I161" s="5">
        <f t="shared" si="9"/>
        <v>-2.4914969459573388E-2</v>
      </c>
    </row>
    <row r="162" spans="1:9" x14ac:dyDescent="0.3">
      <c r="A162" s="2">
        <v>45891</v>
      </c>
      <c r="B162" s="3">
        <v>104.74752452312059</v>
      </c>
      <c r="C162" s="4">
        <v>105.64142053748726</v>
      </c>
      <c r="E162" s="4">
        <f>MAX($B$2:B162)</f>
        <v>107.9809121884858</v>
      </c>
      <c r="F162" s="5">
        <f t="shared" ref="F162:F167" si="10">B162/E162-1</f>
        <v>-2.994406696362395E-2</v>
      </c>
      <c r="H162" s="4">
        <f>MAX($C$2:C162)</f>
        <v>107.52616710415199</v>
      </c>
      <c r="I162" s="5">
        <f t="shared" ref="I162:I167" si="11">C162/H162-1</f>
        <v>-1.7528259561592319E-2</v>
      </c>
    </row>
    <row r="163" spans="1:9" x14ac:dyDescent="0.3">
      <c r="A163" s="2">
        <v>45894</v>
      </c>
      <c r="B163" s="3">
        <v>105.15880536918405</v>
      </c>
      <c r="C163" s="4">
        <v>106.06490416357373</v>
      </c>
      <c r="E163" s="4">
        <f>MAX($B$2:B163)</f>
        <v>107.9809121884858</v>
      </c>
      <c r="F163" s="5">
        <f t="shared" si="10"/>
        <v>-2.6135237812916712E-2</v>
      </c>
      <c r="H163" s="4">
        <f>MAX($C$2:C163)</f>
        <v>107.52616710415199</v>
      </c>
      <c r="I163" s="5">
        <f t="shared" si="11"/>
        <v>-1.3589835664493233E-2</v>
      </c>
    </row>
    <row r="164" spans="1:9" x14ac:dyDescent="0.3">
      <c r="A164" s="2">
        <v>45895</v>
      </c>
      <c r="B164" s="3">
        <v>104.08185183781255</v>
      </c>
      <c r="C164" s="4">
        <v>104.98483864873319</v>
      </c>
      <c r="E164" s="4">
        <f>MAX($B$2:B164)</f>
        <v>107.9809121884858</v>
      </c>
      <c r="F164" s="5">
        <f t="shared" si="10"/>
        <v>-3.6108792486094776E-2</v>
      </c>
      <c r="H164" s="4">
        <f>MAX($C$2:C164)</f>
        <v>107.52616710415199</v>
      </c>
      <c r="I164" s="5">
        <f t="shared" si="11"/>
        <v>-2.3634511708738093E-2</v>
      </c>
    </row>
    <row r="165" spans="1:9" x14ac:dyDescent="0.3">
      <c r="A165" s="2">
        <v>45897</v>
      </c>
      <c r="B165" s="3">
        <v>103.19253334681105</v>
      </c>
      <c r="C165" s="4">
        <v>104.28812853190421</v>
      </c>
      <c r="E165" s="4">
        <f>MAX($B$2:B165)</f>
        <v>107.9809121884858</v>
      </c>
      <c r="F165" s="5">
        <f t="shared" si="10"/>
        <v>-4.4344678560562789E-2</v>
      </c>
      <c r="H165" s="4">
        <f>MAX($C$2:C165)</f>
        <v>107.52616710415199</v>
      </c>
      <c r="I165" s="5">
        <f t="shared" si="11"/>
        <v>-3.01139588572088E-2</v>
      </c>
    </row>
    <row r="166" spans="1:9" x14ac:dyDescent="0.3">
      <c r="A166" s="2">
        <v>45898</v>
      </c>
      <c r="B166" s="3">
        <v>102.88065063661136</v>
      </c>
      <c r="C166" s="4">
        <v>104.19498598453028</v>
      </c>
      <c r="E166" s="4">
        <f>MAX($B$2:B166)</f>
        <v>107.9809121884858</v>
      </c>
      <c r="F166" s="5">
        <f t="shared" si="10"/>
        <v>-4.7232991910382216E-2</v>
      </c>
      <c r="H166" s="4">
        <f>MAX($C$2:C166)</f>
        <v>107.52616710415199</v>
      </c>
      <c r="I166" s="5">
        <f t="shared" si="11"/>
        <v>-3.0980190304701116E-2</v>
      </c>
    </row>
    <row r="167" spans="1:9" x14ac:dyDescent="0.3">
      <c r="A167" s="2">
        <v>45901</v>
      </c>
      <c r="B167" s="3">
        <v>103.71542650645034</v>
      </c>
      <c r="C167" s="4">
        <v>105.44246625268502</v>
      </c>
      <c r="E167" s="4">
        <f>MAX($B$2:B167)</f>
        <v>107.9809121884858</v>
      </c>
      <c r="F167" s="5">
        <f t="shared" si="10"/>
        <v>-3.9502219379197845E-2</v>
      </c>
      <c r="H167" s="4">
        <f>MAX($C$2:C167)</f>
        <v>107.52616710415199</v>
      </c>
      <c r="I167" s="5">
        <f t="shared" si="11"/>
        <v>-1.937854670713457E-2</v>
      </c>
    </row>
  </sheetData>
  <mergeCells count="1">
    <mergeCell ref="K10:M10"/>
  </mergeCells>
  <pageMargins left="0.7" right="0.7" top="0.75" bottom="0.75" header="0.3" footer="0.3"/>
  <ignoredErrors>
    <ignoredError sqref="E3:E167 H3:H167 L3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B79C-72F7-4D63-AB5F-8361D5B1B634}">
  <dimension ref="A1:K167"/>
  <sheetViews>
    <sheetView workbookViewId="0"/>
  </sheetViews>
  <sheetFormatPr defaultRowHeight="14.4" x14ac:dyDescent="0.3"/>
  <cols>
    <col min="1" max="1" width="10.33203125" bestFit="1" customWidth="1"/>
    <col min="2" max="2" width="15.109375" bestFit="1" customWidth="1"/>
    <col min="3" max="3" width="16.21875" customWidth="1"/>
    <col min="5" max="6" width="14.77734375" customWidth="1"/>
    <col min="8" max="11" width="15.77734375" customWidth="1"/>
    <col min="12" max="13" width="9.88671875" customWidth="1"/>
  </cols>
  <sheetData>
    <row r="1" spans="1:11" x14ac:dyDescent="0.3">
      <c r="A1" s="21" t="s">
        <v>0</v>
      </c>
      <c r="B1" s="21" t="s">
        <v>15</v>
      </c>
      <c r="C1" s="21" t="s">
        <v>80</v>
      </c>
      <c r="E1" s="21" t="s">
        <v>82</v>
      </c>
      <c r="F1" s="21" t="s">
        <v>81</v>
      </c>
      <c r="H1" s="7" t="s">
        <v>3</v>
      </c>
      <c r="I1" s="7" t="s">
        <v>4</v>
      </c>
      <c r="J1" s="7" t="s">
        <v>56</v>
      </c>
      <c r="K1" s="7" t="s">
        <v>59</v>
      </c>
    </row>
    <row r="2" spans="1:11" x14ac:dyDescent="0.3">
      <c r="A2" s="2">
        <v>45658</v>
      </c>
      <c r="B2" s="1">
        <v>693.53</v>
      </c>
      <c r="C2" s="9">
        <f>B2/$B$2*100</f>
        <v>100</v>
      </c>
      <c r="E2" s="4">
        <f>MAX($C$2:C2)</f>
        <v>100</v>
      </c>
      <c r="F2" s="5">
        <f>C2/E2-1</f>
        <v>0</v>
      </c>
      <c r="H2" s="26">
        <f>AVERAGE(C2:C167)</f>
        <v>125.67806154614283</v>
      </c>
      <c r="I2" s="26">
        <f>STDEV(C2:C167)</f>
        <v>9.1508366333810613</v>
      </c>
      <c r="J2" s="26">
        <f>(I2/H2)*100</f>
        <v>7.2811726412738489</v>
      </c>
      <c r="K2" s="27">
        <f>MIN(F2:F167)</f>
        <v>-0.11907466694206337</v>
      </c>
    </row>
    <row r="3" spans="1:11" x14ac:dyDescent="0.3">
      <c r="A3" s="2">
        <v>45659</v>
      </c>
      <c r="B3" s="1">
        <v>738.92</v>
      </c>
      <c r="C3" s="9">
        <f t="shared" ref="C3:C66" si="0">B3/$B$2*100</f>
        <v>106.54477816388621</v>
      </c>
      <c r="E3" s="4">
        <f>MAX($C$2:C3)</f>
        <v>106.54477816388621</v>
      </c>
      <c r="F3" s="5">
        <f t="shared" ref="F3:F66" si="1">C3/E3-1</f>
        <v>0</v>
      </c>
    </row>
    <row r="4" spans="1:11" x14ac:dyDescent="0.3">
      <c r="A4" s="2">
        <v>45660</v>
      </c>
      <c r="B4" s="1">
        <v>740.72</v>
      </c>
      <c r="C4" s="9">
        <f t="shared" si="0"/>
        <v>106.80431992848183</v>
      </c>
      <c r="E4" s="4">
        <f>MAX($C$2:C4)</f>
        <v>106.80431992848183</v>
      </c>
      <c r="F4" s="5">
        <f t="shared" si="1"/>
        <v>0</v>
      </c>
    </row>
    <row r="5" spans="1:11" x14ac:dyDescent="0.3">
      <c r="A5" s="2">
        <v>45663</v>
      </c>
      <c r="B5" s="1">
        <v>734.93</v>
      </c>
      <c r="C5" s="9">
        <f t="shared" si="0"/>
        <v>105.96946058569925</v>
      </c>
      <c r="E5" s="4">
        <f>MAX($C$2:C5)</f>
        <v>106.80431992848183</v>
      </c>
      <c r="F5" s="5">
        <f t="shared" si="1"/>
        <v>-7.8167188681282918E-3</v>
      </c>
      <c r="I5" s="23"/>
      <c r="J5" s="1"/>
    </row>
    <row r="6" spans="1:11" x14ac:dyDescent="0.3">
      <c r="A6" s="2">
        <v>45664</v>
      </c>
      <c r="B6" s="1">
        <v>735.4</v>
      </c>
      <c r="C6" s="9">
        <f t="shared" si="0"/>
        <v>106.03722982423255</v>
      </c>
      <c r="E6" s="4">
        <f>MAX($C$2:C6)</f>
        <v>106.80431992848183</v>
      </c>
      <c r="F6" s="5">
        <f t="shared" si="1"/>
        <v>-7.182201101630814E-3</v>
      </c>
      <c r="I6" s="23"/>
      <c r="J6" s="1"/>
    </row>
    <row r="7" spans="1:11" x14ac:dyDescent="0.3">
      <c r="A7" s="2">
        <v>45665</v>
      </c>
      <c r="B7" s="1">
        <v>735.54</v>
      </c>
      <c r="C7" s="9">
        <f t="shared" si="0"/>
        <v>106.05741640592332</v>
      </c>
      <c r="E7" s="4">
        <f>MAX($C$2:C7)</f>
        <v>106.80431992848183</v>
      </c>
      <c r="F7" s="5">
        <f t="shared" si="1"/>
        <v>-6.9931958094827662E-3</v>
      </c>
      <c r="I7" s="23"/>
      <c r="J7" s="1"/>
    </row>
    <row r="8" spans="1:11" x14ac:dyDescent="0.3">
      <c r="A8" s="2">
        <v>45666</v>
      </c>
      <c r="B8" s="1">
        <v>727.74</v>
      </c>
      <c r="C8" s="9">
        <f t="shared" si="0"/>
        <v>104.93273542600899</v>
      </c>
      <c r="E8" s="4">
        <f>MAX($C$2:C8)</f>
        <v>106.80431992848183</v>
      </c>
      <c r="F8" s="5">
        <f t="shared" si="1"/>
        <v>-1.7523490657738283E-2</v>
      </c>
      <c r="I8" s="23"/>
      <c r="J8" s="1"/>
    </row>
    <row r="9" spans="1:11" x14ac:dyDescent="0.3">
      <c r="A9" s="2">
        <v>45667</v>
      </c>
      <c r="B9" s="1">
        <v>728.8</v>
      </c>
      <c r="C9" s="9">
        <f t="shared" si="0"/>
        <v>105.08557668738194</v>
      </c>
      <c r="E9" s="4">
        <f>MAX($C$2:C9)</f>
        <v>106.80431992848183</v>
      </c>
      <c r="F9" s="5">
        <f t="shared" si="1"/>
        <v>-1.6092450588616525E-2</v>
      </c>
      <c r="I9" s="23"/>
      <c r="J9" s="1"/>
    </row>
    <row r="10" spans="1:11" x14ac:dyDescent="0.3">
      <c r="A10" s="2">
        <v>45670</v>
      </c>
      <c r="B10" s="1">
        <v>715.09</v>
      </c>
      <c r="C10" s="9">
        <f t="shared" si="0"/>
        <v>103.10873358037864</v>
      </c>
      <c r="E10" s="4">
        <f>MAX($C$2:C10)</f>
        <v>106.80431992848183</v>
      </c>
      <c r="F10" s="5">
        <f t="shared" si="1"/>
        <v>-3.4601468841127581E-2</v>
      </c>
      <c r="I10" s="23"/>
      <c r="J10" s="1"/>
    </row>
    <row r="11" spans="1:11" x14ac:dyDescent="0.3">
      <c r="A11" s="2">
        <v>45671</v>
      </c>
      <c r="B11" s="1">
        <v>733.5</v>
      </c>
      <c r="C11" s="9">
        <f t="shared" si="0"/>
        <v>105.76326907271496</v>
      </c>
      <c r="E11" s="4">
        <f>MAX($C$2:C11)</f>
        <v>106.80431992848183</v>
      </c>
      <c r="F11" s="5">
        <f t="shared" si="1"/>
        <v>-9.7472729236418587E-3</v>
      </c>
      <c r="I11" s="23"/>
      <c r="J11" s="1"/>
    </row>
    <row r="12" spans="1:11" x14ac:dyDescent="0.3">
      <c r="A12" s="2">
        <v>45672</v>
      </c>
      <c r="B12" s="1">
        <v>717.74</v>
      </c>
      <c r="C12" s="9">
        <f t="shared" si="0"/>
        <v>103.49083673381109</v>
      </c>
      <c r="E12" s="4">
        <f>MAX($C$2:C12)</f>
        <v>106.80431992848183</v>
      </c>
      <c r="F12" s="5">
        <f t="shared" si="1"/>
        <v>-3.1023868668322629E-2</v>
      </c>
      <c r="I12" s="23"/>
      <c r="J12" s="1"/>
    </row>
    <row r="13" spans="1:11" x14ac:dyDescent="0.3">
      <c r="A13" s="2">
        <v>45673</v>
      </c>
      <c r="B13" s="1">
        <v>725.97</v>
      </c>
      <c r="C13" s="9">
        <f t="shared" si="0"/>
        <v>104.67751935748994</v>
      </c>
      <c r="E13" s="4">
        <f>MAX($C$2:C13)</f>
        <v>106.80431992848183</v>
      </c>
      <c r="F13" s="5">
        <f t="shared" si="1"/>
        <v>-1.9913057565611902E-2</v>
      </c>
      <c r="I13" s="23"/>
      <c r="J13" s="1"/>
    </row>
    <row r="14" spans="1:11" x14ac:dyDescent="0.3">
      <c r="A14" s="2">
        <v>45674</v>
      </c>
      <c r="B14" s="1">
        <v>718.21</v>
      </c>
      <c r="C14" s="9">
        <f t="shared" si="0"/>
        <v>103.55860597234438</v>
      </c>
      <c r="E14" s="4">
        <f>MAX($C$2:C14)</f>
        <v>106.80431992848183</v>
      </c>
      <c r="F14" s="5">
        <f t="shared" si="1"/>
        <v>-3.0389350901825374E-2</v>
      </c>
    </row>
    <row r="15" spans="1:11" x14ac:dyDescent="0.3">
      <c r="A15" s="2">
        <v>45677</v>
      </c>
      <c r="B15" s="1">
        <v>744.01</v>
      </c>
      <c r="C15" s="9">
        <f t="shared" si="0"/>
        <v>107.27870459821493</v>
      </c>
      <c r="E15" s="4">
        <f>MAX($C$2:C15)</f>
        <v>107.27870459821493</v>
      </c>
      <c r="F15" s="5">
        <f t="shared" si="1"/>
        <v>0</v>
      </c>
    </row>
    <row r="16" spans="1:11" x14ac:dyDescent="0.3">
      <c r="A16" s="2">
        <v>45678</v>
      </c>
      <c r="B16" s="1">
        <v>729.16</v>
      </c>
      <c r="C16" s="9">
        <f t="shared" si="0"/>
        <v>105.13748504030107</v>
      </c>
      <c r="E16" s="4">
        <f>MAX($C$2:C16)</f>
        <v>107.27870459821493</v>
      </c>
      <c r="F16" s="5">
        <f t="shared" si="1"/>
        <v>-1.9959409147726426E-2</v>
      </c>
    </row>
    <row r="17" spans="1:6" x14ac:dyDescent="0.3">
      <c r="A17" s="2">
        <v>45679</v>
      </c>
      <c r="B17" s="1">
        <v>739.72</v>
      </c>
      <c r="C17" s="9">
        <f t="shared" si="0"/>
        <v>106.66013005926204</v>
      </c>
      <c r="E17" s="4">
        <f>MAX($C$2:C17)</f>
        <v>107.27870459821493</v>
      </c>
      <c r="F17" s="5">
        <f t="shared" si="1"/>
        <v>-5.7660515315653971E-3</v>
      </c>
    </row>
    <row r="18" spans="1:6" x14ac:dyDescent="0.3">
      <c r="A18" s="2">
        <v>45680</v>
      </c>
      <c r="B18" s="1">
        <v>744.33</v>
      </c>
      <c r="C18" s="9">
        <f t="shared" si="0"/>
        <v>107.32484535636526</v>
      </c>
      <c r="E18" s="4">
        <f>MAX($C$2:C18)</f>
        <v>107.32484535636526</v>
      </c>
      <c r="F18" s="5">
        <f t="shared" si="1"/>
        <v>0</v>
      </c>
    </row>
    <row r="19" spans="1:6" x14ac:dyDescent="0.3">
      <c r="A19" s="2">
        <v>45681</v>
      </c>
      <c r="B19" s="1">
        <v>743.86</v>
      </c>
      <c r="C19" s="9">
        <f t="shared" si="0"/>
        <v>107.25707611783197</v>
      </c>
      <c r="E19" s="4">
        <f>MAX($C$2:C19)</f>
        <v>107.32484535636526</v>
      </c>
      <c r="F19" s="5">
        <f t="shared" si="1"/>
        <v>-6.3144035575601887E-4</v>
      </c>
    </row>
    <row r="20" spans="1:6" x14ac:dyDescent="0.3">
      <c r="A20" s="2">
        <v>45684</v>
      </c>
      <c r="B20" s="1">
        <v>729.54</v>
      </c>
      <c r="C20" s="9">
        <f t="shared" si="0"/>
        <v>105.19227719060457</v>
      </c>
      <c r="E20" s="4">
        <f>MAX($C$2:C20)</f>
        <v>107.32484535636526</v>
      </c>
      <c r="F20" s="5">
        <f t="shared" si="1"/>
        <v>-1.9870218854540433E-2</v>
      </c>
    </row>
    <row r="21" spans="1:6" x14ac:dyDescent="0.3">
      <c r="A21" s="2">
        <v>45685</v>
      </c>
      <c r="B21" s="1">
        <v>760.66</v>
      </c>
      <c r="C21" s="9">
        <f t="shared" si="0"/>
        <v>109.67946592072441</v>
      </c>
      <c r="E21" s="4">
        <f>MAX($C$2:C21)</f>
        <v>109.67946592072441</v>
      </c>
      <c r="F21" s="5">
        <f t="shared" si="1"/>
        <v>0</v>
      </c>
    </row>
    <row r="22" spans="1:6" x14ac:dyDescent="0.3">
      <c r="A22" s="2">
        <v>45686</v>
      </c>
      <c r="B22" s="1">
        <v>775.97</v>
      </c>
      <c r="C22" s="9">
        <f t="shared" si="0"/>
        <v>111.88701281847939</v>
      </c>
      <c r="E22" s="4">
        <f>MAX($C$2:C22)</f>
        <v>111.88701281847939</v>
      </c>
      <c r="F22" s="5">
        <f t="shared" si="1"/>
        <v>0</v>
      </c>
    </row>
    <row r="23" spans="1:6" x14ac:dyDescent="0.3">
      <c r="A23" s="2">
        <v>45687</v>
      </c>
      <c r="B23" s="1">
        <v>790.16</v>
      </c>
      <c r="C23" s="9">
        <f t="shared" si="0"/>
        <v>113.93306706270818</v>
      </c>
      <c r="E23" s="4">
        <f>MAX($C$2:C23)</f>
        <v>113.93306706270818</v>
      </c>
      <c r="F23" s="5">
        <f t="shared" si="1"/>
        <v>0</v>
      </c>
    </row>
    <row r="24" spans="1:6" x14ac:dyDescent="0.3">
      <c r="A24" s="2">
        <v>45688</v>
      </c>
      <c r="B24" s="1">
        <v>788.51</v>
      </c>
      <c r="C24" s="9">
        <f t="shared" si="0"/>
        <v>113.69515377849552</v>
      </c>
      <c r="E24" s="4">
        <f>MAX($C$2:C24)</f>
        <v>113.93306706270818</v>
      </c>
      <c r="F24" s="5">
        <f t="shared" si="1"/>
        <v>-2.0881846714589924E-3</v>
      </c>
    </row>
    <row r="25" spans="1:6" x14ac:dyDescent="0.3">
      <c r="A25" s="2">
        <v>45689</v>
      </c>
      <c r="B25" s="1">
        <v>800.01</v>
      </c>
      <c r="C25" s="9">
        <f t="shared" si="0"/>
        <v>115.3533372745231</v>
      </c>
      <c r="E25" s="4">
        <f>MAX($C$2:C25)</f>
        <v>115.3533372745231</v>
      </c>
      <c r="F25" s="5">
        <f t="shared" si="1"/>
        <v>0</v>
      </c>
    </row>
    <row r="26" spans="1:6" x14ac:dyDescent="0.3">
      <c r="A26" s="2">
        <v>45691</v>
      </c>
      <c r="B26" s="1">
        <v>842.58</v>
      </c>
      <c r="C26" s="9">
        <f t="shared" si="0"/>
        <v>121.4915000072095</v>
      </c>
      <c r="E26" s="4">
        <f>MAX($C$2:C26)</f>
        <v>121.4915000072095</v>
      </c>
      <c r="F26" s="5">
        <f t="shared" si="1"/>
        <v>0</v>
      </c>
    </row>
    <row r="27" spans="1:6" x14ac:dyDescent="0.3">
      <c r="A27" s="2">
        <v>45692</v>
      </c>
      <c r="B27" s="1">
        <v>847.53</v>
      </c>
      <c r="C27" s="9">
        <f t="shared" si="0"/>
        <v>122.20523985984745</v>
      </c>
      <c r="E27" s="4">
        <f>MAX($C$2:C27)</f>
        <v>122.20523985984745</v>
      </c>
      <c r="F27" s="5">
        <f t="shared" si="1"/>
        <v>0</v>
      </c>
    </row>
    <row r="28" spans="1:6" x14ac:dyDescent="0.3">
      <c r="A28" s="2">
        <v>45693</v>
      </c>
      <c r="B28" s="1">
        <v>850.95</v>
      </c>
      <c r="C28" s="9">
        <f t="shared" si="0"/>
        <v>122.69836921257912</v>
      </c>
      <c r="E28" s="4">
        <f>MAX($C$2:C28)</f>
        <v>122.69836921257912</v>
      </c>
      <c r="F28" s="5">
        <f t="shared" si="1"/>
        <v>0</v>
      </c>
    </row>
    <row r="29" spans="1:6" x14ac:dyDescent="0.3">
      <c r="A29" s="2">
        <v>45694</v>
      </c>
      <c r="B29" s="1">
        <v>850.73</v>
      </c>
      <c r="C29" s="9">
        <f t="shared" si="0"/>
        <v>122.66664744135079</v>
      </c>
      <c r="E29" s="4">
        <f>MAX($C$2:C29)</f>
        <v>122.69836921257912</v>
      </c>
      <c r="F29" s="5">
        <f t="shared" si="1"/>
        <v>-2.5853457899982502E-4</v>
      </c>
    </row>
    <row r="30" spans="1:6" x14ac:dyDescent="0.3">
      <c r="A30" s="2">
        <v>45695</v>
      </c>
      <c r="B30" s="1">
        <v>847.42</v>
      </c>
      <c r="C30" s="9">
        <f t="shared" si="0"/>
        <v>122.18937897423328</v>
      </c>
      <c r="E30" s="4">
        <f>MAX($C$2:C30)</f>
        <v>122.69836921257912</v>
      </c>
      <c r="F30" s="5">
        <f t="shared" si="1"/>
        <v>-4.1483048357716656E-3</v>
      </c>
    </row>
    <row r="31" spans="1:6" x14ac:dyDescent="0.3">
      <c r="A31" s="2">
        <v>45698</v>
      </c>
      <c r="B31" s="1">
        <v>828.68</v>
      </c>
      <c r="C31" s="9">
        <f t="shared" si="0"/>
        <v>119.48726082505443</v>
      </c>
      <c r="E31" s="4">
        <f>MAX($C$2:C31)</f>
        <v>122.69836921257912</v>
      </c>
      <c r="F31" s="5">
        <f t="shared" si="1"/>
        <v>-2.6170750337857651E-2</v>
      </c>
    </row>
    <row r="32" spans="1:6" x14ac:dyDescent="0.3">
      <c r="A32" s="2">
        <v>45699</v>
      </c>
      <c r="B32" s="1">
        <v>819.12</v>
      </c>
      <c r="C32" s="9">
        <f t="shared" si="0"/>
        <v>118.10880567531325</v>
      </c>
      <c r="E32" s="4">
        <f>MAX($C$2:C32)</f>
        <v>122.69836921257912</v>
      </c>
      <c r="F32" s="5">
        <f t="shared" si="1"/>
        <v>-3.7405252952582457E-2</v>
      </c>
    </row>
    <row r="33" spans="1:6" x14ac:dyDescent="0.3">
      <c r="A33" s="2">
        <v>45700</v>
      </c>
      <c r="B33" s="1">
        <v>821.41</v>
      </c>
      <c r="C33" s="9">
        <f t="shared" si="0"/>
        <v>118.43900047582656</v>
      </c>
      <c r="E33" s="4">
        <f>MAX($C$2:C33)</f>
        <v>122.69836921257912</v>
      </c>
      <c r="F33" s="5">
        <f t="shared" si="1"/>
        <v>-3.4714143016628562E-2</v>
      </c>
    </row>
    <row r="34" spans="1:6" x14ac:dyDescent="0.3">
      <c r="A34" s="2">
        <v>45701</v>
      </c>
      <c r="B34" s="1">
        <v>840.9</v>
      </c>
      <c r="C34" s="9">
        <f t="shared" si="0"/>
        <v>121.24926102692024</v>
      </c>
      <c r="E34" s="4">
        <f>MAX($C$2:C34)</f>
        <v>122.69836921257912</v>
      </c>
      <c r="F34" s="5">
        <f t="shared" si="1"/>
        <v>-1.1810329631588345E-2</v>
      </c>
    </row>
    <row r="35" spans="1:6" x14ac:dyDescent="0.3">
      <c r="A35" s="2">
        <v>45702</v>
      </c>
      <c r="B35" s="1">
        <v>839.23</v>
      </c>
      <c r="C35" s="9">
        <f t="shared" si="0"/>
        <v>121.00846394532321</v>
      </c>
      <c r="E35" s="4">
        <f>MAX($C$2:C35)</f>
        <v>122.69836921257912</v>
      </c>
      <c r="F35" s="5">
        <f t="shared" si="1"/>
        <v>-1.3772842117633077E-2</v>
      </c>
    </row>
    <row r="36" spans="1:6" x14ac:dyDescent="0.3">
      <c r="A36" s="2">
        <v>45705</v>
      </c>
      <c r="B36" s="1">
        <v>842.66</v>
      </c>
      <c r="C36" s="9">
        <f t="shared" si="0"/>
        <v>121.50303519674708</v>
      </c>
      <c r="E36" s="4">
        <f>MAX($C$2:C36)</f>
        <v>122.69836921257912</v>
      </c>
      <c r="F36" s="5">
        <f t="shared" si="1"/>
        <v>-9.7420529995886351E-3</v>
      </c>
    </row>
    <row r="37" spans="1:6" x14ac:dyDescent="0.3">
      <c r="A37" s="2">
        <v>45706</v>
      </c>
      <c r="B37" s="1">
        <v>846.59</v>
      </c>
      <c r="C37" s="9">
        <f t="shared" si="0"/>
        <v>122.06970138278086</v>
      </c>
      <c r="E37" s="4">
        <f>MAX($C$2:C37)</f>
        <v>122.69836921257912</v>
      </c>
      <c r="F37" s="5">
        <f t="shared" si="1"/>
        <v>-5.1236852929077426E-3</v>
      </c>
    </row>
    <row r="38" spans="1:6" x14ac:dyDescent="0.3">
      <c r="A38" s="2">
        <v>45707</v>
      </c>
      <c r="B38" s="1">
        <v>843.95</v>
      </c>
      <c r="C38" s="9">
        <f t="shared" si="0"/>
        <v>121.6890401280406</v>
      </c>
      <c r="E38" s="4">
        <f>MAX($C$2:C38)</f>
        <v>122.69836921257912</v>
      </c>
      <c r="F38" s="5">
        <f t="shared" si="1"/>
        <v>-8.226100240907197E-3</v>
      </c>
    </row>
    <row r="39" spans="1:6" x14ac:dyDescent="0.3">
      <c r="A39" s="2">
        <v>45708</v>
      </c>
      <c r="B39" s="1">
        <v>839.95</v>
      </c>
      <c r="C39" s="9">
        <f t="shared" si="0"/>
        <v>121.11228065116147</v>
      </c>
      <c r="E39" s="4">
        <f>MAX($C$2:C39)</f>
        <v>122.69836921257912</v>
      </c>
      <c r="F39" s="5">
        <f t="shared" si="1"/>
        <v>-1.2926728949996913E-2</v>
      </c>
    </row>
    <row r="40" spans="1:6" x14ac:dyDescent="0.3">
      <c r="A40" s="2">
        <v>45709</v>
      </c>
      <c r="B40" s="1">
        <v>839.67</v>
      </c>
      <c r="C40" s="9">
        <f t="shared" si="0"/>
        <v>121.07190748777992</v>
      </c>
      <c r="E40" s="4">
        <f>MAX($C$2:C40)</f>
        <v>122.69836921257912</v>
      </c>
      <c r="F40" s="5">
        <f t="shared" si="1"/>
        <v>-1.3255772959633205E-2</v>
      </c>
    </row>
    <row r="41" spans="1:6" x14ac:dyDescent="0.3">
      <c r="A41" s="2">
        <v>45712</v>
      </c>
      <c r="B41" s="1">
        <v>835.49</v>
      </c>
      <c r="C41" s="9">
        <f t="shared" si="0"/>
        <v>120.46919383444119</v>
      </c>
      <c r="E41" s="4">
        <f>MAX($C$2:C41)</f>
        <v>122.69836921257912</v>
      </c>
      <c r="F41" s="5">
        <f t="shared" si="1"/>
        <v>-1.8167929960632323E-2</v>
      </c>
    </row>
    <row r="42" spans="1:6" x14ac:dyDescent="0.3">
      <c r="A42" s="2">
        <v>45713</v>
      </c>
      <c r="B42" s="1">
        <v>848.88</v>
      </c>
      <c r="C42" s="9">
        <f t="shared" si="0"/>
        <v>122.39989618329416</v>
      </c>
      <c r="E42" s="4">
        <f>MAX($C$2:C42)</f>
        <v>122.69836921257912</v>
      </c>
      <c r="F42" s="5">
        <f t="shared" si="1"/>
        <v>-2.4325753569539588E-3</v>
      </c>
    </row>
    <row r="43" spans="1:6" x14ac:dyDescent="0.3">
      <c r="A43" s="2">
        <v>45715</v>
      </c>
      <c r="B43" s="1">
        <v>870.54</v>
      </c>
      <c r="C43" s="9">
        <f t="shared" si="0"/>
        <v>125.5230487505948</v>
      </c>
      <c r="E43" s="4">
        <f>MAX($C$2:C43)</f>
        <v>125.5230487505948</v>
      </c>
      <c r="F43" s="5">
        <f t="shared" si="1"/>
        <v>0</v>
      </c>
    </row>
    <row r="44" spans="1:6" x14ac:dyDescent="0.3">
      <c r="A44" s="2">
        <v>45716</v>
      </c>
      <c r="B44" s="1">
        <v>853.03</v>
      </c>
      <c r="C44" s="9">
        <f t="shared" si="0"/>
        <v>122.99828414055629</v>
      </c>
      <c r="E44" s="4">
        <f>MAX($C$2:C44)</f>
        <v>125.5230487505948</v>
      </c>
      <c r="F44" s="5">
        <f t="shared" si="1"/>
        <v>-2.0113952259517065E-2</v>
      </c>
    </row>
    <row r="45" spans="1:6" x14ac:dyDescent="0.3">
      <c r="A45" s="2">
        <v>45719</v>
      </c>
      <c r="B45" s="1">
        <v>862.78</v>
      </c>
      <c r="C45" s="9">
        <f t="shared" si="0"/>
        <v>124.40413536544924</v>
      </c>
      <c r="E45" s="4">
        <f>MAX($C$2:C45)</f>
        <v>125.5230487505948</v>
      </c>
      <c r="F45" s="5">
        <f t="shared" si="1"/>
        <v>-8.9140073977072021E-3</v>
      </c>
    </row>
    <row r="46" spans="1:6" x14ac:dyDescent="0.3">
      <c r="A46" s="2">
        <v>45720</v>
      </c>
      <c r="B46" s="1">
        <v>858.59</v>
      </c>
      <c r="C46" s="9">
        <f t="shared" si="0"/>
        <v>123.79997981341833</v>
      </c>
      <c r="E46" s="4">
        <f>MAX($C$2:C46)</f>
        <v>125.5230487505948</v>
      </c>
      <c r="F46" s="5">
        <f t="shared" si="1"/>
        <v>-1.3727111907551603E-2</v>
      </c>
    </row>
    <row r="47" spans="1:6" x14ac:dyDescent="0.3">
      <c r="A47" s="2">
        <v>45721</v>
      </c>
      <c r="B47" s="1">
        <v>829.87</v>
      </c>
      <c r="C47" s="9">
        <f t="shared" si="0"/>
        <v>119.65884676942598</v>
      </c>
      <c r="E47" s="4">
        <f>MAX($C$2:C47)</f>
        <v>125.5230487505948</v>
      </c>
      <c r="F47" s="5">
        <f t="shared" si="1"/>
        <v>-4.6718128977416451E-2</v>
      </c>
    </row>
    <row r="48" spans="1:6" x14ac:dyDescent="0.3">
      <c r="A48" s="2">
        <v>45722</v>
      </c>
      <c r="B48" s="1">
        <v>841.09</v>
      </c>
      <c r="C48" s="9">
        <f t="shared" si="0"/>
        <v>121.27665710207202</v>
      </c>
      <c r="E48" s="4">
        <f>MAX($C$2:C48)</f>
        <v>125.5230487505948</v>
      </c>
      <c r="F48" s="5">
        <f t="shared" si="1"/>
        <v>-3.3829577044133474E-2</v>
      </c>
    </row>
    <row r="49" spans="1:6" x14ac:dyDescent="0.3">
      <c r="A49" s="2">
        <v>45723</v>
      </c>
      <c r="B49" s="1">
        <v>840.45</v>
      </c>
      <c r="C49" s="9">
        <f t="shared" si="0"/>
        <v>121.18437558577135</v>
      </c>
      <c r="E49" s="4">
        <f>MAX($C$2:C49)</f>
        <v>125.5230487505948</v>
      </c>
      <c r="F49" s="5">
        <f t="shared" si="1"/>
        <v>-3.4564752911985686E-2</v>
      </c>
    </row>
    <row r="50" spans="1:6" x14ac:dyDescent="0.3">
      <c r="A50" s="2">
        <v>45726</v>
      </c>
      <c r="B50" s="1">
        <v>834.26</v>
      </c>
      <c r="C50" s="9">
        <f t="shared" si="0"/>
        <v>120.29184029530084</v>
      </c>
      <c r="E50" s="4">
        <f>MAX($C$2:C50)</f>
        <v>125.5230487505948</v>
      </c>
      <c r="F50" s="5">
        <f t="shared" si="1"/>
        <v>-4.1675282008868275E-2</v>
      </c>
    </row>
    <row r="51" spans="1:6" x14ac:dyDescent="0.3">
      <c r="A51" s="2">
        <v>45727</v>
      </c>
      <c r="B51" s="1">
        <v>834.04</v>
      </c>
      <c r="C51" s="9">
        <f t="shared" si="0"/>
        <v>120.2601185240725</v>
      </c>
      <c r="E51" s="4">
        <f>MAX($C$2:C51)</f>
        <v>125.5230487505948</v>
      </c>
      <c r="F51" s="5">
        <f t="shared" si="1"/>
        <v>-4.1927998713442327E-2</v>
      </c>
    </row>
    <row r="52" spans="1:6" x14ac:dyDescent="0.3">
      <c r="A52" s="2">
        <v>45728</v>
      </c>
      <c r="B52" s="1">
        <v>848.45</v>
      </c>
      <c r="C52" s="9">
        <f t="shared" si="0"/>
        <v>122.33789453952966</v>
      </c>
      <c r="E52" s="4">
        <f>MAX($C$2:C52)</f>
        <v>125.5230487505948</v>
      </c>
      <c r="F52" s="5">
        <f t="shared" si="1"/>
        <v>-2.5375054563834043E-2</v>
      </c>
    </row>
    <row r="53" spans="1:6" x14ac:dyDescent="0.3">
      <c r="A53" s="2">
        <v>45729</v>
      </c>
      <c r="B53" s="1">
        <v>842.04</v>
      </c>
      <c r="C53" s="9">
        <f t="shared" si="0"/>
        <v>121.4136374778308</v>
      </c>
      <c r="E53" s="4">
        <f>MAX($C$2:C53)</f>
        <v>125.5230487505948</v>
      </c>
      <c r="F53" s="5">
        <f t="shared" si="1"/>
        <v>-3.2738300365290685E-2</v>
      </c>
    </row>
    <row r="54" spans="1:6" x14ac:dyDescent="0.3">
      <c r="A54" s="2">
        <v>45733</v>
      </c>
      <c r="B54" s="1">
        <v>858.03</v>
      </c>
      <c r="C54" s="9">
        <f t="shared" si="0"/>
        <v>123.71923348665523</v>
      </c>
      <c r="E54" s="4">
        <f>MAX($C$2:C54)</f>
        <v>125.5230487505948</v>
      </c>
      <c r="F54" s="5">
        <f t="shared" si="1"/>
        <v>-1.4370390791922372E-2</v>
      </c>
    </row>
    <row r="55" spans="1:6" x14ac:dyDescent="0.3">
      <c r="A55" s="2">
        <v>45734</v>
      </c>
      <c r="B55" s="1">
        <v>868.25</v>
      </c>
      <c r="C55" s="9">
        <f t="shared" si="0"/>
        <v>125.19285395008146</v>
      </c>
      <c r="E55" s="4">
        <f>MAX($C$2:C55)</f>
        <v>125.5230487505948</v>
      </c>
      <c r="F55" s="5">
        <f t="shared" si="1"/>
        <v>-2.6305511521586E-3</v>
      </c>
    </row>
    <row r="56" spans="1:6" x14ac:dyDescent="0.3">
      <c r="A56" s="2">
        <v>45735</v>
      </c>
      <c r="B56" s="1">
        <v>873.16</v>
      </c>
      <c r="C56" s="9">
        <f t="shared" si="0"/>
        <v>125.90082620795062</v>
      </c>
      <c r="E56" s="4">
        <f>MAX($C$2:C56)</f>
        <v>125.90082620795062</v>
      </c>
      <c r="F56" s="5">
        <f t="shared" si="1"/>
        <v>0</v>
      </c>
    </row>
    <row r="57" spans="1:6" x14ac:dyDescent="0.3">
      <c r="A57" s="2">
        <v>45736</v>
      </c>
      <c r="B57" s="1">
        <v>867.97</v>
      </c>
      <c r="C57" s="9">
        <f t="shared" si="0"/>
        <v>125.15248078669994</v>
      </c>
      <c r="E57" s="4">
        <f>MAX($C$2:C57)</f>
        <v>125.90082620795062</v>
      </c>
      <c r="F57" s="5">
        <f t="shared" si="1"/>
        <v>-5.9439278024644437E-3</v>
      </c>
    </row>
    <row r="58" spans="1:6" x14ac:dyDescent="0.3">
      <c r="A58" s="2">
        <v>45737</v>
      </c>
      <c r="B58" s="1">
        <v>891.61</v>
      </c>
      <c r="C58" s="9">
        <f t="shared" si="0"/>
        <v>128.56112929505574</v>
      </c>
      <c r="E58" s="4">
        <f>MAX($C$2:C58)</f>
        <v>128.56112929505574</v>
      </c>
      <c r="F58" s="5">
        <f t="shared" si="1"/>
        <v>0</v>
      </c>
    </row>
    <row r="59" spans="1:6" x14ac:dyDescent="0.3">
      <c r="A59" s="2">
        <v>45740</v>
      </c>
      <c r="B59" s="1">
        <v>909.01</v>
      </c>
      <c r="C59" s="9">
        <f t="shared" si="0"/>
        <v>131.07003301948006</v>
      </c>
      <c r="E59" s="4">
        <f>MAX($C$2:C59)</f>
        <v>131.07003301948006</v>
      </c>
      <c r="F59" s="5">
        <f t="shared" si="1"/>
        <v>0</v>
      </c>
    </row>
    <row r="60" spans="1:6" x14ac:dyDescent="0.3">
      <c r="A60" s="2">
        <v>45741</v>
      </c>
      <c r="B60" s="1">
        <v>906.72</v>
      </c>
      <c r="C60" s="9">
        <f t="shared" si="0"/>
        <v>130.73983821896675</v>
      </c>
      <c r="E60" s="4">
        <f>MAX($C$2:C60)</f>
        <v>131.07003301948006</v>
      </c>
      <c r="F60" s="5">
        <f t="shared" si="1"/>
        <v>-2.5192242109547403E-3</v>
      </c>
    </row>
    <row r="61" spans="1:6" x14ac:dyDescent="0.3">
      <c r="A61" s="2">
        <v>45742</v>
      </c>
      <c r="B61" s="1">
        <v>886.6</v>
      </c>
      <c r="C61" s="9">
        <f t="shared" si="0"/>
        <v>127.8387380502646</v>
      </c>
      <c r="E61" s="4">
        <f>MAX($C$2:C61)</f>
        <v>131.07003301948006</v>
      </c>
      <c r="F61" s="5">
        <f t="shared" si="1"/>
        <v>-2.4653194134278023E-2</v>
      </c>
    </row>
    <row r="62" spans="1:6" x14ac:dyDescent="0.3">
      <c r="A62" s="2">
        <v>45743</v>
      </c>
      <c r="B62" s="1">
        <v>900.39</v>
      </c>
      <c r="C62" s="9">
        <f t="shared" si="0"/>
        <v>129.8271163468055</v>
      </c>
      <c r="E62" s="4">
        <f>MAX($C$2:C62)</f>
        <v>131.07003301948006</v>
      </c>
      <c r="F62" s="5">
        <f t="shared" si="1"/>
        <v>-9.4828439731134972E-3</v>
      </c>
    </row>
    <row r="63" spans="1:6" x14ac:dyDescent="0.3">
      <c r="A63" s="2">
        <v>45744</v>
      </c>
      <c r="B63" s="1">
        <v>894.56</v>
      </c>
      <c r="C63" s="9">
        <f t="shared" si="0"/>
        <v>128.98648940925409</v>
      </c>
      <c r="E63" s="4">
        <f>MAX($C$2:C63)</f>
        <v>131.07003301948006</v>
      </c>
      <c r="F63" s="5">
        <f t="shared" si="1"/>
        <v>-1.5896414780915746E-2</v>
      </c>
    </row>
    <row r="64" spans="1:6" x14ac:dyDescent="0.3">
      <c r="A64" s="2">
        <v>45748</v>
      </c>
      <c r="B64" s="1">
        <v>869.82</v>
      </c>
      <c r="C64" s="9">
        <f t="shared" si="0"/>
        <v>125.41923204475655</v>
      </c>
      <c r="E64" s="4">
        <f>MAX($C$2:C64)</f>
        <v>131.07003301948006</v>
      </c>
      <c r="F64" s="5">
        <f t="shared" si="1"/>
        <v>-4.3112837042496688E-2</v>
      </c>
    </row>
    <row r="65" spans="1:6" x14ac:dyDescent="0.3">
      <c r="A65" s="2">
        <v>45749</v>
      </c>
      <c r="B65" s="1">
        <v>866.92</v>
      </c>
      <c r="C65" s="9">
        <f t="shared" si="0"/>
        <v>125.00108142401916</v>
      </c>
      <c r="E65" s="4">
        <f>MAX($C$2:C65)</f>
        <v>131.07003301948006</v>
      </c>
      <c r="F65" s="5">
        <f t="shared" si="1"/>
        <v>-4.6303120977767009E-2</v>
      </c>
    </row>
    <row r="66" spans="1:6" x14ac:dyDescent="0.3">
      <c r="A66" s="2">
        <v>45750</v>
      </c>
      <c r="B66" s="1">
        <v>859.46</v>
      </c>
      <c r="C66" s="9">
        <f t="shared" si="0"/>
        <v>123.92542499963955</v>
      </c>
      <c r="E66" s="4">
        <f>MAX($C$2:C66)</f>
        <v>131.07003301948006</v>
      </c>
      <c r="F66" s="5">
        <f t="shared" si="1"/>
        <v>-5.4509851376772445E-2</v>
      </c>
    </row>
    <row r="67" spans="1:6" x14ac:dyDescent="0.3">
      <c r="A67" s="2">
        <v>45751</v>
      </c>
      <c r="B67" s="1">
        <v>871.89</v>
      </c>
      <c r="C67" s="9">
        <f t="shared" ref="C67:C130" si="2">B67/$B$2*100</f>
        <v>125.7177050740415</v>
      </c>
      <c r="E67" s="4">
        <f>MAX($C$2:C67)</f>
        <v>131.07003301948006</v>
      </c>
      <c r="F67" s="5">
        <f t="shared" ref="F67:F130" si="3">C67/E67-1</f>
        <v>-4.0835634371459095E-2</v>
      </c>
    </row>
    <row r="68" spans="1:6" x14ac:dyDescent="0.3">
      <c r="A68" s="2">
        <v>45754</v>
      </c>
      <c r="B68" s="1">
        <v>856.8</v>
      </c>
      <c r="C68" s="9">
        <f t="shared" si="2"/>
        <v>123.54187994751489</v>
      </c>
      <c r="E68" s="4">
        <f>MAX($C$2:C68)</f>
        <v>131.07003301948006</v>
      </c>
      <c r="F68" s="5">
        <f t="shared" si="3"/>
        <v>-5.7436111813951585E-2</v>
      </c>
    </row>
    <row r="69" spans="1:6" x14ac:dyDescent="0.3">
      <c r="A69" s="2">
        <v>45755</v>
      </c>
      <c r="B69" s="1">
        <v>882.22</v>
      </c>
      <c r="C69" s="9">
        <f t="shared" si="2"/>
        <v>127.20718642308194</v>
      </c>
      <c r="E69" s="4">
        <f>MAX($C$2:C69)</f>
        <v>131.07003301948006</v>
      </c>
      <c r="F69" s="5">
        <f t="shared" si="3"/>
        <v>-2.9471622974444611E-2</v>
      </c>
    </row>
    <row r="70" spans="1:6" x14ac:dyDescent="0.3">
      <c r="A70" s="2">
        <v>45756</v>
      </c>
      <c r="B70" s="1">
        <v>873.58</v>
      </c>
      <c r="C70" s="9">
        <f t="shared" si="2"/>
        <v>125.96138595302295</v>
      </c>
      <c r="E70" s="4">
        <f>MAX($C$2:C70)</f>
        <v>131.07003301948006</v>
      </c>
      <c r="F70" s="5">
        <f t="shared" si="3"/>
        <v>-3.8976468905732586E-2</v>
      </c>
    </row>
    <row r="71" spans="1:6" x14ac:dyDescent="0.3">
      <c r="A71" s="2">
        <v>45758</v>
      </c>
      <c r="B71" s="1">
        <v>892.11</v>
      </c>
      <c r="C71" s="9">
        <f t="shared" si="2"/>
        <v>128.63322422966564</v>
      </c>
      <c r="E71" s="4">
        <f>MAX($C$2:C71)</f>
        <v>131.07003301948006</v>
      </c>
      <c r="F71" s="5">
        <f t="shared" si="3"/>
        <v>-1.8591654657264423E-2</v>
      </c>
    </row>
    <row r="72" spans="1:6" x14ac:dyDescent="0.3">
      <c r="A72" s="2">
        <v>45762</v>
      </c>
      <c r="B72" s="1">
        <v>914.1</v>
      </c>
      <c r="C72" s="9">
        <f t="shared" si="2"/>
        <v>131.80395945380877</v>
      </c>
      <c r="E72" s="4">
        <f>MAX($C$2:C72)</f>
        <v>131.80395945380877</v>
      </c>
      <c r="F72" s="5">
        <f t="shared" si="3"/>
        <v>0</v>
      </c>
    </row>
    <row r="73" spans="1:6" x14ac:dyDescent="0.3">
      <c r="A73" s="2">
        <v>45763</v>
      </c>
      <c r="B73" s="1">
        <v>905.65</v>
      </c>
      <c r="C73" s="9">
        <f t="shared" si="2"/>
        <v>130.58555505890158</v>
      </c>
      <c r="E73" s="4">
        <f>MAX($C$2:C73)</f>
        <v>131.80395945380877</v>
      </c>
      <c r="F73" s="5">
        <f t="shared" si="3"/>
        <v>-9.244065200743723E-3</v>
      </c>
    </row>
    <row r="74" spans="1:6" x14ac:dyDescent="0.3">
      <c r="A74" s="2">
        <v>45764</v>
      </c>
      <c r="B74" s="1">
        <v>916.25</v>
      </c>
      <c r="C74" s="9">
        <f t="shared" si="2"/>
        <v>132.11396767263133</v>
      </c>
      <c r="E74" s="4">
        <f>MAX($C$2:C74)</f>
        <v>132.11396767263133</v>
      </c>
      <c r="F74" s="5">
        <f t="shared" si="3"/>
        <v>0</v>
      </c>
    </row>
    <row r="75" spans="1:6" x14ac:dyDescent="0.3">
      <c r="A75" s="2">
        <v>45768</v>
      </c>
      <c r="B75" s="1">
        <v>927.35</v>
      </c>
      <c r="C75" s="9">
        <f t="shared" si="2"/>
        <v>133.71447522097097</v>
      </c>
      <c r="E75" s="4">
        <f>MAX($C$2:C75)</f>
        <v>133.71447522097097</v>
      </c>
      <c r="F75" s="5">
        <f t="shared" si="3"/>
        <v>0</v>
      </c>
    </row>
    <row r="76" spans="1:6" x14ac:dyDescent="0.3">
      <c r="A76" s="2">
        <v>45769</v>
      </c>
      <c r="B76" s="1">
        <v>926.05</v>
      </c>
      <c r="C76" s="9">
        <f t="shared" si="2"/>
        <v>133.52702839098524</v>
      </c>
      <c r="E76" s="4">
        <f>MAX($C$2:C76)</f>
        <v>133.71447522097097</v>
      </c>
      <c r="F76" s="5">
        <f t="shared" si="3"/>
        <v>-1.4018439639834623E-3</v>
      </c>
    </row>
    <row r="77" spans="1:6" x14ac:dyDescent="0.3">
      <c r="A77" s="2">
        <v>45770</v>
      </c>
      <c r="B77" s="1">
        <v>932.3</v>
      </c>
      <c r="C77" s="9">
        <f t="shared" si="2"/>
        <v>134.42821507360892</v>
      </c>
      <c r="E77" s="4">
        <f>MAX($C$2:C77)</f>
        <v>134.42821507360892</v>
      </c>
      <c r="F77" s="5">
        <f t="shared" si="3"/>
        <v>0</v>
      </c>
    </row>
    <row r="78" spans="1:6" x14ac:dyDescent="0.3">
      <c r="A78" s="2">
        <v>45771</v>
      </c>
      <c r="B78" s="1">
        <v>930.1</v>
      </c>
      <c r="C78" s="9">
        <f t="shared" si="2"/>
        <v>134.11099736132542</v>
      </c>
      <c r="E78" s="4">
        <f>MAX($C$2:C78)</f>
        <v>134.42821507360892</v>
      </c>
      <c r="F78" s="5">
        <f t="shared" si="3"/>
        <v>-2.3597554435265122E-3</v>
      </c>
    </row>
    <row r="79" spans="1:6" x14ac:dyDescent="0.3">
      <c r="A79" s="2">
        <v>45772</v>
      </c>
      <c r="B79" s="1">
        <v>911.2</v>
      </c>
      <c r="C79" s="9">
        <f t="shared" si="2"/>
        <v>131.38580883307139</v>
      </c>
      <c r="E79" s="4">
        <f>MAX($C$2:C79)</f>
        <v>134.42821507360892</v>
      </c>
      <c r="F79" s="5">
        <f t="shared" si="3"/>
        <v>-2.2632199935642916E-2</v>
      </c>
    </row>
    <row r="80" spans="1:6" x14ac:dyDescent="0.3">
      <c r="A80" s="2">
        <v>45775</v>
      </c>
      <c r="B80" s="1">
        <v>909.3</v>
      </c>
      <c r="C80" s="9">
        <f t="shared" si="2"/>
        <v>131.11184808155377</v>
      </c>
      <c r="E80" s="4">
        <f>MAX($C$2:C80)</f>
        <v>134.42821507360892</v>
      </c>
      <c r="F80" s="5">
        <f t="shared" si="3"/>
        <v>-2.4670170545961656E-2</v>
      </c>
    </row>
    <row r="81" spans="1:6" x14ac:dyDescent="0.3">
      <c r="A81" s="2">
        <v>45776</v>
      </c>
      <c r="B81" s="1">
        <v>909.3</v>
      </c>
      <c r="C81" s="9">
        <f t="shared" si="2"/>
        <v>131.11184808155377</v>
      </c>
      <c r="E81" s="4">
        <f>MAX($C$2:C81)</f>
        <v>134.42821507360892</v>
      </c>
      <c r="F81" s="5">
        <f t="shared" si="3"/>
        <v>-2.4670170545961656E-2</v>
      </c>
    </row>
    <row r="82" spans="1:6" x14ac:dyDescent="0.3">
      <c r="A82" s="2">
        <v>45777</v>
      </c>
      <c r="B82" s="1">
        <v>863.45</v>
      </c>
      <c r="C82" s="9">
        <f t="shared" si="2"/>
        <v>124.50074257782649</v>
      </c>
      <c r="E82" s="4">
        <f>MAX($C$2:C82)</f>
        <v>134.42821507360892</v>
      </c>
      <c r="F82" s="5">
        <f t="shared" si="3"/>
        <v>-7.3849619221280638E-2</v>
      </c>
    </row>
    <row r="83" spans="1:6" x14ac:dyDescent="0.3">
      <c r="A83" s="2">
        <v>45779</v>
      </c>
      <c r="B83" s="1">
        <v>886.25</v>
      </c>
      <c r="C83" s="9">
        <f t="shared" si="2"/>
        <v>127.78827159603767</v>
      </c>
      <c r="E83" s="4">
        <f>MAX($C$2:C83)</f>
        <v>134.42821507360892</v>
      </c>
      <c r="F83" s="5">
        <f t="shared" si="3"/>
        <v>-4.9393971897457756E-2</v>
      </c>
    </row>
    <row r="84" spans="1:6" x14ac:dyDescent="0.3">
      <c r="A84" s="2">
        <v>45782</v>
      </c>
      <c r="B84" s="1">
        <v>893.2</v>
      </c>
      <c r="C84" s="9">
        <f t="shared" si="2"/>
        <v>128.7903911871152</v>
      </c>
      <c r="E84" s="4">
        <f>MAX($C$2:C84)</f>
        <v>134.42821507360892</v>
      </c>
      <c r="F84" s="5">
        <f t="shared" si="3"/>
        <v>-4.193928992813456E-2</v>
      </c>
    </row>
    <row r="85" spans="1:6" x14ac:dyDescent="0.3">
      <c r="A85" s="2">
        <v>45783</v>
      </c>
      <c r="B85" s="1">
        <v>879.75</v>
      </c>
      <c r="C85" s="9">
        <f t="shared" si="2"/>
        <v>126.85103744610903</v>
      </c>
      <c r="E85" s="4">
        <f>MAX($C$2:C85)</f>
        <v>134.42821507360892</v>
      </c>
      <c r="F85" s="5">
        <f t="shared" si="3"/>
        <v>-5.6365976616968849E-2</v>
      </c>
    </row>
    <row r="86" spans="1:6" x14ac:dyDescent="0.3">
      <c r="A86" s="2">
        <v>45784</v>
      </c>
      <c r="B86" s="1">
        <v>898.65</v>
      </c>
      <c r="C86" s="9">
        <f t="shared" si="2"/>
        <v>129.57622597436304</v>
      </c>
      <c r="E86" s="4">
        <f>MAX($C$2:C86)</f>
        <v>134.42821507360892</v>
      </c>
      <c r="F86" s="5">
        <f t="shared" si="3"/>
        <v>-3.6093532124852445E-2</v>
      </c>
    </row>
    <row r="87" spans="1:6" x14ac:dyDescent="0.3">
      <c r="A87" s="2">
        <v>45785</v>
      </c>
      <c r="B87" s="1">
        <v>883.25</v>
      </c>
      <c r="C87" s="9">
        <f t="shared" si="2"/>
        <v>127.35570198837831</v>
      </c>
      <c r="E87" s="4">
        <f>MAX($C$2:C87)</f>
        <v>134.42821507360892</v>
      </c>
      <c r="F87" s="5">
        <f t="shared" si="3"/>
        <v>-5.2611820229539696E-2</v>
      </c>
    </row>
    <row r="88" spans="1:6" x14ac:dyDescent="0.3">
      <c r="A88" s="2">
        <v>45786</v>
      </c>
      <c r="B88" s="1">
        <v>864.1</v>
      </c>
      <c r="C88" s="9">
        <f t="shared" si="2"/>
        <v>124.59446599281935</v>
      </c>
      <c r="E88" s="4">
        <f>MAX($C$2:C88)</f>
        <v>134.42821507360892</v>
      </c>
      <c r="F88" s="5">
        <f t="shared" si="3"/>
        <v>-7.315241874932954E-2</v>
      </c>
    </row>
    <row r="89" spans="1:6" x14ac:dyDescent="0.3">
      <c r="A89" s="2">
        <v>45789</v>
      </c>
      <c r="B89" s="1">
        <v>901.85</v>
      </c>
      <c r="C89" s="9">
        <f t="shared" si="2"/>
        <v>130.03763355586636</v>
      </c>
      <c r="E89" s="4">
        <f>MAX($C$2:C89)</f>
        <v>134.42821507360892</v>
      </c>
      <c r="F89" s="5">
        <f t="shared" si="3"/>
        <v>-3.2661160570631731E-2</v>
      </c>
    </row>
    <row r="90" spans="1:6" x14ac:dyDescent="0.3">
      <c r="A90" s="2">
        <v>45790</v>
      </c>
      <c r="B90" s="1">
        <v>904.2</v>
      </c>
      <c r="C90" s="9">
        <f t="shared" si="2"/>
        <v>130.37647974853289</v>
      </c>
      <c r="E90" s="4">
        <f>MAX($C$2:C90)</f>
        <v>134.42821507360892</v>
      </c>
      <c r="F90" s="5">
        <f t="shared" si="3"/>
        <v>-3.0140512710500778E-2</v>
      </c>
    </row>
    <row r="91" spans="1:6" x14ac:dyDescent="0.3">
      <c r="A91" s="2">
        <v>45791</v>
      </c>
      <c r="B91" s="1">
        <v>908.1</v>
      </c>
      <c r="C91" s="9">
        <f t="shared" si="2"/>
        <v>130.93882023849005</v>
      </c>
      <c r="E91" s="4">
        <f>MAX($C$2:C91)</f>
        <v>134.42821507360892</v>
      </c>
      <c r="F91" s="5">
        <f t="shared" si="3"/>
        <v>-2.5957309878794299E-2</v>
      </c>
    </row>
    <row r="92" spans="1:6" x14ac:dyDescent="0.3">
      <c r="A92" s="2">
        <v>45792</v>
      </c>
      <c r="B92" s="1">
        <v>918.85</v>
      </c>
      <c r="C92" s="9">
        <f t="shared" si="2"/>
        <v>132.48886133260277</v>
      </c>
      <c r="E92" s="4">
        <f>MAX($C$2:C92)</f>
        <v>134.42821507360892</v>
      </c>
      <c r="F92" s="5">
        <f t="shared" si="3"/>
        <v>-1.4426686688834067E-2</v>
      </c>
    </row>
    <row r="93" spans="1:6" x14ac:dyDescent="0.3">
      <c r="A93" s="2">
        <v>45793</v>
      </c>
      <c r="B93" s="1">
        <v>916.7</v>
      </c>
      <c r="C93" s="9">
        <f t="shared" si="2"/>
        <v>132.17885311378024</v>
      </c>
      <c r="E93" s="4">
        <f>MAX($C$2:C93)</f>
        <v>134.42821507360892</v>
      </c>
      <c r="F93" s="5">
        <f t="shared" si="3"/>
        <v>-1.6732811326826025E-2</v>
      </c>
    </row>
    <row r="94" spans="1:6" x14ac:dyDescent="0.3">
      <c r="A94" s="2">
        <v>45796</v>
      </c>
      <c r="B94" s="1">
        <v>925.55</v>
      </c>
      <c r="C94" s="9">
        <f t="shared" si="2"/>
        <v>133.45493345637536</v>
      </c>
      <c r="E94" s="4">
        <f>MAX($C$2:C94)</f>
        <v>134.42821507360892</v>
      </c>
      <c r="F94" s="5">
        <f t="shared" si="3"/>
        <v>-7.240158747184311E-3</v>
      </c>
    </row>
    <row r="95" spans="1:6" x14ac:dyDescent="0.3">
      <c r="A95" s="2">
        <v>45797</v>
      </c>
      <c r="B95" s="1">
        <v>907.9</v>
      </c>
      <c r="C95" s="9">
        <f t="shared" si="2"/>
        <v>130.90998226464609</v>
      </c>
      <c r="E95" s="4">
        <f>MAX($C$2:C95)</f>
        <v>134.42821507360892</v>
      </c>
      <c r="F95" s="5">
        <f t="shared" si="3"/>
        <v>-2.6171833100933073E-2</v>
      </c>
    </row>
    <row r="96" spans="1:6" x14ac:dyDescent="0.3">
      <c r="A96" s="2">
        <v>45798</v>
      </c>
      <c r="B96" s="1">
        <v>919.75</v>
      </c>
      <c r="C96" s="9">
        <f t="shared" si="2"/>
        <v>132.61863221490057</v>
      </c>
      <c r="E96" s="4">
        <f>MAX($C$2:C96)</f>
        <v>134.42821507360892</v>
      </c>
      <c r="F96" s="5">
        <f t="shared" si="3"/>
        <v>-1.3461332189209529E-2</v>
      </c>
    </row>
    <row r="97" spans="1:6" x14ac:dyDescent="0.3">
      <c r="A97" s="2">
        <v>45799</v>
      </c>
      <c r="B97" s="1">
        <v>913.9</v>
      </c>
      <c r="C97" s="9">
        <f t="shared" si="2"/>
        <v>131.77512147996481</v>
      </c>
      <c r="E97" s="4">
        <f>MAX($C$2:C97)</f>
        <v>134.42821507360892</v>
      </c>
      <c r="F97" s="5">
        <f t="shared" si="3"/>
        <v>-1.9736136436769303E-2</v>
      </c>
    </row>
    <row r="98" spans="1:6" x14ac:dyDescent="0.3">
      <c r="A98" s="2">
        <v>45800</v>
      </c>
      <c r="B98" s="1">
        <v>924.35</v>
      </c>
      <c r="C98" s="9">
        <f t="shared" si="2"/>
        <v>133.28190561331161</v>
      </c>
      <c r="E98" s="4">
        <f>MAX($C$2:C98)</f>
        <v>134.42821507360892</v>
      </c>
      <c r="F98" s="5">
        <f t="shared" si="3"/>
        <v>-8.527298080017176E-3</v>
      </c>
    </row>
    <row r="99" spans="1:6" x14ac:dyDescent="0.3">
      <c r="A99" s="2">
        <v>45803</v>
      </c>
      <c r="B99" s="1">
        <v>926.95</v>
      </c>
      <c r="C99" s="9">
        <f t="shared" si="2"/>
        <v>133.65679927328307</v>
      </c>
      <c r="E99" s="4">
        <f>MAX($C$2:C99)</f>
        <v>134.42821507360892</v>
      </c>
      <c r="F99" s="5">
        <f t="shared" si="3"/>
        <v>-5.738496192212672E-3</v>
      </c>
    </row>
    <row r="100" spans="1:6" x14ac:dyDescent="0.3">
      <c r="A100" s="2">
        <v>45804</v>
      </c>
      <c r="B100" s="1">
        <v>917.1</v>
      </c>
      <c r="C100" s="9">
        <f t="shared" si="2"/>
        <v>132.23652906146813</v>
      </c>
      <c r="E100" s="4">
        <f>MAX($C$2:C100)</f>
        <v>134.42821507360892</v>
      </c>
      <c r="F100" s="5">
        <f t="shared" si="3"/>
        <v>-1.6303764882548588E-2</v>
      </c>
    </row>
    <row r="101" spans="1:6" x14ac:dyDescent="0.3">
      <c r="A101" s="2">
        <v>45805</v>
      </c>
      <c r="B101" s="1">
        <v>926.75</v>
      </c>
      <c r="C101" s="9">
        <f t="shared" si="2"/>
        <v>133.62796129943911</v>
      </c>
      <c r="E101" s="4">
        <f>MAX($C$2:C101)</f>
        <v>134.42821507360892</v>
      </c>
      <c r="F101" s="5">
        <f t="shared" si="3"/>
        <v>-5.9530194143515569E-3</v>
      </c>
    </row>
    <row r="102" spans="1:6" x14ac:dyDescent="0.3">
      <c r="A102" s="2">
        <v>45806</v>
      </c>
      <c r="B102" s="1">
        <v>920.4</v>
      </c>
      <c r="C102" s="9">
        <f t="shared" si="2"/>
        <v>132.71235562989347</v>
      </c>
      <c r="E102" s="4">
        <f>MAX($C$2:C102)</f>
        <v>134.42821507360892</v>
      </c>
      <c r="F102" s="5">
        <f t="shared" si="3"/>
        <v>-1.2764131717258209E-2</v>
      </c>
    </row>
    <row r="103" spans="1:6" x14ac:dyDescent="0.3">
      <c r="A103" s="2">
        <v>45807</v>
      </c>
      <c r="B103" s="1">
        <v>918.05</v>
      </c>
      <c r="C103" s="9">
        <f t="shared" si="2"/>
        <v>132.37350943722694</v>
      </c>
      <c r="E103" s="4">
        <f>MAX($C$2:C103)</f>
        <v>134.42821507360892</v>
      </c>
      <c r="F103" s="5">
        <f t="shared" si="3"/>
        <v>-1.5284779577389163E-2</v>
      </c>
    </row>
    <row r="104" spans="1:6" x14ac:dyDescent="0.3">
      <c r="A104" s="2">
        <v>45810</v>
      </c>
      <c r="B104" s="1">
        <v>911.85</v>
      </c>
      <c r="C104" s="9">
        <f t="shared" si="2"/>
        <v>131.47953224806426</v>
      </c>
      <c r="E104" s="4">
        <f>MAX($C$2:C104)</f>
        <v>134.42821507360892</v>
      </c>
      <c r="F104" s="5">
        <f t="shared" si="3"/>
        <v>-2.1934999463691818E-2</v>
      </c>
    </row>
    <row r="105" spans="1:6" x14ac:dyDescent="0.3">
      <c r="A105" s="2">
        <v>45811</v>
      </c>
      <c r="B105" s="1">
        <v>897.9</v>
      </c>
      <c r="C105" s="9">
        <f t="shared" si="2"/>
        <v>129.46808357244822</v>
      </c>
      <c r="E105" s="4">
        <f>MAX($C$2:C105)</f>
        <v>134.42821507360892</v>
      </c>
      <c r="F105" s="5">
        <f t="shared" si="3"/>
        <v>-3.6897994207872764E-2</v>
      </c>
    </row>
    <row r="106" spans="1:6" x14ac:dyDescent="0.3">
      <c r="A106" s="2">
        <v>45812</v>
      </c>
      <c r="B106" s="1">
        <v>898.7</v>
      </c>
      <c r="C106" s="9">
        <f t="shared" si="2"/>
        <v>129.58343546782405</v>
      </c>
      <c r="E106" s="4">
        <f>MAX($C$2:C106)</f>
        <v>134.42821507360892</v>
      </c>
      <c r="F106" s="5">
        <f t="shared" si="3"/>
        <v>-3.6039901319317669E-2</v>
      </c>
    </row>
    <row r="107" spans="1:6" x14ac:dyDescent="0.3">
      <c r="A107" s="2">
        <v>45813</v>
      </c>
      <c r="B107" s="1">
        <v>893.4</v>
      </c>
      <c r="C107" s="9">
        <f t="shared" si="2"/>
        <v>128.81922916095917</v>
      </c>
      <c r="E107" s="4">
        <f>MAX($C$2:C107)</f>
        <v>134.42821507360892</v>
      </c>
      <c r="F107" s="5">
        <f t="shared" si="3"/>
        <v>-4.1724766705995786E-2</v>
      </c>
    </row>
    <row r="108" spans="1:6" x14ac:dyDescent="0.3">
      <c r="A108" s="2">
        <v>45814</v>
      </c>
      <c r="B108" s="1">
        <v>937.15</v>
      </c>
      <c r="C108" s="9">
        <f t="shared" si="2"/>
        <v>135.1275359393249</v>
      </c>
      <c r="E108" s="4">
        <f>MAX($C$2:C108)</f>
        <v>135.1275359393249</v>
      </c>
      <c r="F108" s="5">
        <f t="shared" si="3"/>
        <v>0</v>
      </c>
    </row>
    <row r="109" spans="1:6" x14ac:dyDescent="0.3">
      <c r="A109" s="2">
        <v>45817</v>
      </c>
      <c r="B109" s="1">
        <v>960.75</v>
      </c>
      <c r="C109" s="9">
        <f t="shared" si="2"/>
        <v>138.53041685291191</v>
      </c>
      <c r="E109" s="4">
        <f>MAX($C$2:C109)</f>
        <v>138.53041685291191</v>
      </c>
      <c r="F109" s="5">
        <f t="shared" si="3"/>
        <v>0</v>
      </c>
    </row>
    <row r="110" spans="1:6" x14ac:dyDescent="0.3">
      <c r="A110" s="2">
        <v>45818</v>
      </c>
      <c r="B110" s="1">
        <v>949.75</v>
      </c>
      <c r="C110" s="9">
        <f t="shared" si="2"/>
        <v>136.94432829149426</v>
      </c>
      <c r="E110" s="4">
        <f>MAX($C$2:C110)</f>
        <v>138.53041685291191</v>
      </c>
      <c r="F110" s="5">
        <f t="shared" si="3"/>
        <v>-1.1449388498568691E-2</v>
      </c>
    </row>
    <row r="111" spans="1:6" x14ac:dyDescent="0.3">
      <c r="A111" s="2">
        <v>45819</v>
      </c>
      <c r="B111" s="1">
        <v>942.5</v>
      </c>
      <c r="C111" s="9">
        <f t="shared" si="2"/>
        <v>135.89895173965078</v>
      </c>
      <c r="E111" s="4">
        <f>MAX($C$2:C111)</f>
        <v>138.53041685291191</v>
      </c>
      <c r="F111" s="5">
        <f t="shared" si="3"/>
        <v>-1.89955763726255E-2</v>
      </c>
    </row>
    <row r="112" spans="1:6" x14ac:dyDescent="0.3">
      <c r="A112" s="2">
        <v>45820</v>
      </c>
      <c r="B112" s="1">
        <v>936.85</v>
      </c>
      <c r="C112" s="9">
        <f t="shared" si="2"/>
        <v>135.08427897855896</v>
      </c>
      <c r="E112" s="4">
        <f>MAX($C$2:C112)</f>
        <v>138.53041685291191</v>
      </c>
      <c r="F112" s="5">
        <f t="shared" si="3"/>
        <v>-2.4876398646890507E-2</v>
      </c>
    </row>
    <row r="113" spans="1:6" x14ac:dyDescent="0.3">
      <c r="A113" s="2">
        <v>45821</v>
      </c>
      <c r="B113" s="1">
        <v>933.1</v>
      </c>
      <c r="C113" s="9">
        <f t="shared" si="2"/>
        <v>134.54356696898478</v>
      </c>
      <c r="E113" s="4">
        <f>MAX($C$2:C113)</f>
        <v>138.53041685291191</v>
      </c>
      <c r="F113" s="5">
        <f t="shared" si="3"/>
        <v>-2.877959927140239E-2</v>
      </c>
    </row>
    <row r="114" spans="1:6" x14ac:dyDescent="0.3">
      <c r="A114" s="2">
        <v>45824</v>
      </c>
      <c r="B114" s="1">
        <v>938</v>
      </c>
      <c r="C114" s="9">
        <f t="shared" si="2"/>
        <v>135.25009732816173</v>
      </c>
      <c r="E114" s="4">
        <f>MAX($C$2:C114)</f>
        <v>138.53041685291191</v>
      </c>
      <c r="F114" s="5">
        <f t="shared" si="3"/>
        <v>-2.3679417122040025E-2</v>
      </c>
    </row>
    <row r="115" spans="1:6" x14ac:dyDescent="0.3">
      <c r="A115" s="2">
        <v>45825</v>
      </c>
      <c r="B115" s="1">
        <v>923</v>
      </c>
      <c r="C115" s="9">
        <f t="shared" si="2"/>
        <v>133.0872492898649</v>
      </c>
      <c r="E115" s="4">
        <f>MAX($C$2:C115)</f>
        <v>138.53041685291191</v>
      </c>
      <c r="F115" s="5">
        <f t="shared" si="3"/>
        <v>-3.9292219620088442E-2</v>
      </c>
    </row>
    <row r="116" spans="1:6" x14ac:dyDescent="0.3">
      <c r="A116" s="2">
        <v>45826</v>
      </c>
      <c r="B116" s="1">
        <v>919</v>
      </c>
      <c r="C116" s="9">
        <f t="shared" si="2"/>
        <v>132.51048981298575</v>
      </c>
      <c r="E116" s="4">
        <f>MAX($C$2:C116)</f>
        <v>138.53041685291191</v>
      </c>
      <c r="F116" s="5">
        <f t="shared" si="3"/>
        <v>-4.3455633619567946E-2</v>
      </c>
    </row>
    <row r="117" spans="1:6" x14ac:dyDescent="0.3">
      <c r="A117" s="2">
        <v>45827</v>
      </c>
      <c r="B117" s="1">
        <v>900.5</v>
      </c>
      <c r="C117" s="9">
        <f t="shared" si="2"/>
        <v>129.84297723241966</v>
      </c>
      <c r="E117" s="4">
        <f>MAX($C$2:C117)</f>
        <v>138.53041685291191</v>
      </c>
      <c r="F117" s="5">
        <f t="shared" si="3"/>
        <v>-6.2711423367161068E-2</v>
      </c>
    </row>
    <row r="118" spans="1:6" x14ac:dyDescent="0.3">
      <c r="A118" s="2">
        <v>45828</v>
      </c>
      <c r="B118" s="1">
        <v>905</v>
      </c>
      <c r="C118" s="9">
        <f t="shared" si="2"/>
        <v>130.49183164390868</v>
      </c>
      <c r="E118" s="4">
        <f>MAX($C$2:C118)</f>
        <v>138.53041685291191</v>
      </c>
      <c r="F118" s="5">
        <f t="shared" si="3"/>
        <v>-5.8027582617746654E-2</v>
      </c>
    </row>
    <row r="119" spans="1:6" x14ac:dyDescent="0.3">
      <c r="A119" s="2">
        <v>45831</v>
      </c>
      <c r="B119" s="1">
        <v>915.5</v>
      </c>
      <c r="C119" s="9">
        <f t="shared" si="2"/>
        <v>132.00582527071649</v>
      </c>
      <c r="E119" s="4">
        <f>MAX($C$2:C119)</f>
        <v>138.53041685291191</v>
      </c>
      <c r="F119" s="5">
        <f t="shared" si="3"/>
        <v>-4.7098620869112651E-2</v>
      </c>
    </row>
    <row r="120" spans="1:6" x14ac:dyDescent="0.3">
      <c r="A120" s="2">
        <v>45832</v>
      </c>
      <c r="B120" s="1">
        <v>916.5</v>
      </c>
      <c r="C120" s="9">
        <f t="shared" si="2"/>
        <v>132.15001513993627</v>
      </c>
      <c r="E120" s="4">
        <f>MAX($C$2:C120)</f>
        <v>138.53041685291191</v>
      </c>
      <c r="F120" s="5">
        <f t="shared" si="3"/>
        <v>-4.6057767369242719E-2</v>
      </c>
    </row>
    <row r="121" spans="1:6" x14ac:dyDescent="0.3">
      <c r="A121" s="2">
        <v>45833</v>
      </c>
      <c r="B121" s="1">
        <v>928</v>
      </c>
      <c r="C121" s="9">
        <f t="shared" si="2"/>
        <v>133.80819863596386</v>
      </c>
      <c r="E121" s="4">
        <f>MAX($C$2:C121)</f>
        <v>138.53041685291191</v>
      </c>
      <c r="F121" s="5">
        <f t="shared" si="3"/>
        <v>-3.4087952120738785E-2</v>
      </c>
    </row>
    <row r="122" spans="1:6" x14ac:dyDescent="0.3">
      <c r="A122" s="2">
        <v>45834</v>
      </c>
      <c r="B122" s="1">
        <v>951.5</v>
      </c>
      <c r="C122" s="9">
        <f t="shared" si="2"/>
        <v>137.19666056262886</v>
      </c>
      <c r="E122" s="4">
        <f>MAX($C$2:C122)</f>
        <v>138.53041685291191</v>
      </c>
      <c r="F122" s="5">
        <f t="shared" si="3"/>
        <v>-9.6278948737965608E-3</v>
      </c>
    </row>
    <row r="123" spans="1:6" x14ac:dyDescent="0.3">
      <c r="A123" s="2">
        <v>45835</v>
      </c>
      <c r="B123" s="1">
        <v>947</v>
      </c>
      <c r="C123" s="9">
        <f t="shared" si="2"/>
        <v>136.54780615113981</v>
      </c>
      <c r="E123" s="4">
        <f>MAX($C$2:C123)</f>
        <v>138.53041685291191</v>
      </c>
      <c r="F123" s="5">
        <f t="shared" si="3"/>
        <v>-1.4311735623211086E-2</v>
      </c>
    </row>
    <row r="124" spans="1:6" x14ac:dyDescent="0.3">
      <c r="A124" s="2">
        <v>45838</v>
      </c>
      <c r="B124" s="1">
        <v>936.5</v>
      </c>
      <c r="C124" s="9">
        <f t="shared" si="2"/>
        <v>135.03381252433203</v>
      </c>
      <c r="E124" s="4">
        <f>MAX($C$2:C124)</f>
        <v>138.53041685291191</v>
      </c>
      <c r="F124" s="5">
        <f t="shared" si="3"/>
        <v>-2.5240697371844978E-2</v>
      </c>
    </row>
    <row r="125" spans="1:6" x14ac:dyDescent="0.3">
      <c r="A125" s="2">
        <v>45839</v>
      </c>
      <c r="B125" s="1">
        <v>936.65</v>
      </c>
      <c r="C125" s="9">
        <f t="shared" si="2"/>
        <v>135.05544100471499</v>
      </c>
      <c r="E125" s="4">
        <f>MAX($C$2:C125)</f>
        <v>138.53041685291191</v>
      </c>
      <c r="F125" s="5">
        <f t="shared" si="3"/>
        <v>-2.5084569346864538E-2</v>
      </c>
    </row>
    <row r="126" spans="1:6" x14ac:dyDescent="0.3">
      <c r="A126" s="2">
        <v>45840</v>
      </c>
      <c r="B126" s="1">
        <v>923</v>
      </c>
      <c r="C126" s="9">
        <f t="shared" si="2"/>
        <v>133.0872492898649</v>
      </c>
      <c r="E126" s="4">
        <f>MAX($C$2:C126)</f>
        <v>138.53041685291191</v>
      </c>
      <c r="F126" s="5">
        <f t="shared" si="3"/>
        <v>-3.9292219620088442E-2</v>
      </c>
    </row>
    <row r="127" spans="1:6" x14ac:dyDescent="0.3">
      <c r="A127" s="2">
        <v>45841</v>
      </c>
      <c r="B127" s="1">
        <v>910.15</v>
      </c>
      <c r="C127" s="9">
        <f t="shared" si="2"/>
        <v>131.23440947039063</v>
      </c>
      <c r="E127" s="4">
        <f>MAX($C$2:C127)</f>
        <v>138.53041685291191</v>
      </c>
      <c r="F127" s="5">
        <f t="shared" si="3"/>
        <v>-5.2667187093416445E-2</v>
      </c>
    </row>
    <row r="128" spans="1:6" x14ac:dyDescent="0.3">
      <c r="A128" s="2">
        <v>45842</v>
      </c>
      <c r="B128" s="1">
        <v>925.3</v>
      </c>
      <c r="C128" s="9">
        <f t="shared" si="2"/>
        <v>133.41888598907042</v>
      </c>
      <c r="E128" s="4">
        <f>MAX($C$2:C128)</f>
        <v>138.53041685291191</v>
      </c>
      <c r="F128" s="5">
        <f t="shared" si="3"/>
        <v>-3.6898256570387589E-2</v>
      </c>
    </row>
    <row r="129" spans="1:6" x14ac:dyDescent="0.3">
      <c r="A129" s="2">
        <v>45845</v>
      </c>
      <c r="B129" s="1">
        <v>924.65</v>
      </c>
      <c r="C129" s="9">
        <f t="shared" si="2"/>
        <v>133.32516257407752</v>
      </c>
      <c r="E129" s="4">
        <f>MAX($C$2:C129)</f>
        <v>138.53041685291191</v>
      </c>
      <c r="F129" s="5">
        <f t="shared" si="3"/>
        <v>-3.7574811345303272E-2</v>
      </c>
    </row>
    <row r="130" spans="1:6" x14ac:dyDescent="0.3">
      <c r="A130" s="2">
        <v>45846</v>
      </c>
      <c r="B130" s="1">
        <v>927.65</v>
      </c>
      <c r="C130" s="9">
        <f t="shared" si="2"/>
        <v>133.75773218173691</v>
      </c>
      <c r="E130" s="4">
        <f>MAX($C$2:C130)</f>
        <v>138.53041685291191</v>
      </c>
      <c r="F130" s="5">
        <f t="shared" si="3"/>
        <v>-3.4452250845693477E-2</v>
      </c>
    </row>
    <row r="131" spans="1:6" x14ac:dyDescent="0.3">
      <c r="A131" s="2">
        <v>45847</v>
      </c>
      <c r="B131" s="1">
        <v>940.6</v>
      </c>
      <c r="C131" s="9">
        <f t="shared" ref="C131:C167" si="4">B131/$B$2*100</f>
        <v>135.62499098813319</v>
      </c>
      <c r="E131" s="4">
        <f>MAX($C$2:C131)</f>
        <v>138.53041685291191</v>
      </c>
      <c r="F131" s="5">
        <f t="shared" ref="F131:F167" si="5">C131/E131-1</f>
        <v>-2.0973198022378181E-2</v>
      </c>
    </row>
    <row r="132" spans="1:6" x14ac:dyDescent="0.3">
      <c r="A132" s="2">
        <v>45848</v>
      </c>
      <c r="B132" s="1">
        <v>947.65</v>
      </c>
      <c r="C132" s="9">
        <f t="shared" si="4"/>
        <v>136.6415295661327</v>
      </c>
      <c r="E132" s="4">
        <f>MAX($C$2:C132)</f>
        <v>138.53041685291191</v>
      </c>
      <c r="F132" s="5">
        <f t="shared" si="5"/>
        <v>-1.3635180848295403E-2</v>
      </c>
    </row>
    <row r="133" spans="1:6" x14ac:dyDescent="0.3">
      <c r="A133" s="2">
        <v>45849</v>
      </c>
      <c r="B133" s="1">
        <v>933.5</v>
      </c>
      <c r="C133" s="9">
        <f t="shared" si="4"/>
        <v>134.60124291667267</v>
      </c>
      <c r="E133" s="4">
        <f>MAX($C$2:C133)</f>
        <v>138.53041685291191</v>
      </c>
      <c r="F133" s="5">
        <f t="shared" si="5"/>
        <v>-2.836325787145455E-2</v>
      </c>
    </row>
    <row r="134" spans="1:6" x14ac:dyDescent="0.3">
      <c r="A134" s="2">
        <v>45852</v>
      </c>
      <c r="B134" s="1">
        <v>918.85</v>
      </c>
      <c r="C134" s="9">
        <f t="shared" si="4"/>
        <v>132.48886133260277</v>
      </c>
      <c r="E134" s="4">
        <f>MAX($C$2:C134)</f>
        <v>138.53041685291191</v>
      </c>
      <c r="F134" s="5">
        <f t="shared" si="5"/>
        <v>-4.3611761644548497E-2</v>
      </c>
    </row>
    <row r="135" spans="1:6" x14ac:dyDescent="0.3">
      <c r="A135" s="2">
        <v>45853</v>
      </c>
      <c r="B135" s="1">
        <v>928.4</v>
      </c>
      <c r="C135" s="9">
        <f t="shared" si="4"/>
        <v>133.86587458365176</v>
      </c>
      <c r="E135" s="4">
        <f>MAX($C$2:C135)</f>
        <v>138.53041685291191</v>
      </c>
      <c r="F135" s="5">
        <f t="shared" si="5"/>
        <v>-3.3671610720790945E-2</v>
      </c>
    </row>
    <row r="136" spans="1:6" x14ac:dyDescent="0.3">
      <c r="A136" s="2">
        <v>45854</v>
      </c>
      <c r="B136" s="1">
        <v>921.75</v>
      </c>
      <c r="C136" s="9">
        <f t="shared" si="4"/>
        <v>132.90701195334015</v>
      </c>
      <c r="E136" s="4">
        <f>MAX($C$2:C136)</f>
        <v>138.53041685291191</v>
      </c>
      <c r="F136" s="5">
        <f t="shared" si="5"/>
        <v>-4.0593286494925884E-2</v>
      </c>
    </row>
    <row r="137" spans="1:6" x14ac:dyDescent="0.3">
      <c r="A137" s="2">
        <v>45855</v>
      </c>
      <c r="B137" s="1">
        <v>923.3</v>
      </c>
      <c r="C137" s="9">
        <f t="shared" si="4"/>
        <v>133.13050625063084</v>
      </c>
      <c r="E137" s="4">
        <f>MAX($C$2:C137)</f>
        <v>138.53041685291191</v>
      </c>
      <c r="F137" s="5">
        <f t="shared" si="5"/>
        <v>-3.8979963570127341E-2</v>
      </c>
    </row>
    <row r="138" spans="1:6" x14ac:dyDescent="0.3">
      <c r="A138" s="2">
        <v>45856</v>
      </c>
      <c r="B138" s="1">
        <v>942</v>
      </c>
      <c r="C138" s="9">
        <f t="shared" si="4"/>
        <v>135.82685680504088</v>
      </c>
      <c r="E138" s="4">
        <f>MAX($C$2:C138)</f>
        <v>138.53041685291191</v>
      </c>
      <c r="F138" s="5">
        <f t="shared" si="5"/>
        <v>-1.9516003122560521E-2</v>
      </c>
    </row>
    <row r="139" spans="1:6" x14ac:dyDescent="0.3">
      <c r="A139" s="2">
        <v>45859</v>
      </c>
      <c r="B139" s="1">
        <v>948.45</v>
      </c>
      <c r="C139" s="9">
        <f t="shared" si="4"/>
        <v>136.75688146150853</v>
      </c>
      <c r="E139" s="4">
        <f>MAX($C$2:C139)</f>
        <v>138.53041685291191</v>
      </c>
      <c r="F139" s="5">
        <f t="shared" si="5"/>
        <v>-1.2802498048399613E-2</v>
      </c>
    </row>
    <row r="140" spans="1:6" x14ac:dyDescent="0.3">
      <c r="A140" s="2">
        <v>45860</v>
      </c>
      <c r="B140" s="1">
        <v>952.55</v>
      </c>
      <c r="C140" s="9">
        <f t="shared" si="4"/>
        <v>137.34805992530966</v>
      </c>
      <c r="E140" s="4">
        <f>MAX($C$2:C140)</f>
        <v>138.53041685291191</v>
      </c>
      <c r="F140" s="5">
        <f t="shared" si="5"/>
        <v>-8.5349986989330384E-3</v>
      </c>
    </row>
    <row r="141" spans="1:6" x14ac:dyDescent="0.3">
      <c r="A141" s="2">
        <v>45861</v>
      </c>
      <c r="B141" s="1">
        <v>968.3</v>
      </c>
      <c r="C141" s="9">
        <f t="shared" si="4"/>
        <v>139.6190503655213</v>
      </c>
      <c r="E141" s="4">
        <f>MAX($C$2:C141)</f>
        <v>139.6190503655213</v>
      </c>
      <c r="F141" s="5">
        <f t="shared" si="5"/>
        <v>0</v>
      </c>
    </row>
    <row r="142" spans="1:6" x14ac:dyDescent="0.3">
      <c r="A142" s="2">
        <v>45862</v>
      </c>
      <c r="B142" s="1">
        <v>958.95</v>
      </c>
      <c r="C142" s="9">
        <f t="shared" si="4"/>
        <v>138.2708750883163</v>
      </c>
      <c r="E142" s="4">
        <f>MAX($C$2:C142)</f>
        <v>139.6190503655213</v>
      </c>
      <c r="F142" s="5">
        <f t="shared" si="5"/>
        <v>-9.6560983166372738E-3</v>
      </c>
    </row>
    <row r="143" spans="1:6" x14ac:dyDescent="0.3">
      <c r="A143" s="2">
        <v>45863</v>
      </c>
      <c r="B143" s="1">
        <v>913.75</v>
      </c>
      <c r="C143" s="9">
        <f t="shared" si="4"/>
        <v>131.75349299958185</v>
      </c>
      <c r="E143" s="4">
        <f>MAX($C$2:C143)</f>
        <v>139.6190503655213</v>
      </c>
      <c r="F143" s="5">
        <f t="shared" si="5"/>
        <v>-5.6335846328617101E-2</v>
      </c>
    </row>
    <row r="144" spans="1:6" x14ac:dyDescent="0.3">
      <c r="A144" s="2">
        <v>45866</v>
      </c>
      <c r="B144" s="1">
        <v>880.5</v>
      </c>
      <c r="C144" s="9">
        <f t="shared" si="4"/>
        <v>126.95917984802388</v>
      </c>
      <c r="E144" s="4">
        <f>MAX($C$2:C144)</f>
        <v>139.6190503655213</v>
      </c>
      <c r="F144" s="5">
        <f t="shared" si="5"/>
        <v>-9.0674377775482706E-2</v>
      </c>
    </row>
    <row r="145" spans="1:6" x14ac:dyDescent="0.3">
      <c r="A145" s="2">
        <v>45867</v>
      </c>
      <c r="B145" s="1">
        <v>886.55</v>
      </c>
      <c r="C145" s="9">
        <f t="shared" si="4"/>
        <v>127.83152855680359</v>
      </c>
      <c r="E145" s="4">
        <f>MAX($C$2:C145)</f>
        <v>139.6190503655213</v>
      </c>
      <c r="F145" s="5">
        <f t="shared" si="5"/>
        <v>-8.4426314158835059E-2</v>
      </c>
    </row>
    <row r="146" spans="1:6" x14ac:dyDescent="0.3">
      <c r="A146" s="2">
        <v>45868</v>
      </c>
      <c r="B146" s="1">
        <v>884.85</v>
      </c>
      <c r="C146" s="9">
        <f t="shared" si="4"/>
        <v>127.58640577912996</v>
      </c>
      <c r="E146" s="4">
        <f>MAX($C$2:C146)</f>
        <v>139.6190503655213</v>
      </c>
      <c r="F146" s="5">
        <f t="shared" si="5"/>
        <v>-8.6181968398223563E-2</v>
      </c>
    </row>
    <row r="147" spans="1:6" x14ac:dyDescent="0.3">
      <c r="A147" s="2">
        <v>45869</v>
      </c>
      <c r="B147" s="1">
        <v>881.2</v>
      </c>
      <c r="C147" s="9">
        <f t="shared" si="4"/>
        <v>127.06011275647775</v>
      </c>
      <c r="E147" s="4">
        <f>MAX($C$2:C147)</f>
        <v>139.6190503655213</v>
      </c>
      <c r="F147" s="5">
        <f t="shared" si="5"/>
        <v>-8.9951461323969584E-2</v>
      </c>
    </row>
    <row r="148" spans="1:6" x14ac:dyDescent="0.3">
      <c r="A148" s="2">
        <v>45870</v>
      </c>
      <c r="B148" s="1">
        <v>875.6</v>
      </c>
      <c r="C148" s="9">
        <f t="shared" si="4"/>
        <v>126.25264948884691</v>
      </c>
      <c r="E148" s="4">
        <f>MAX($C$2:C148)</f>
        <v>139.6190503655213</v>
      </c>
      <c r="F148" s="5">
        <f t="shared" si="5"/>
        <v>-9.5734792936073454E-2</v>
      </c>
    </row>
    <row r="149" spans="1:6" x14ac:dyDescent="0.3">
      <c r="A149" s="2">
        <v>45873</v>
      </c>
      <c r="B149" s="1">
        <v>885.3</v>
      </c>
      <c r="C149" s="9">
        <f t="shared" si="4"/>
        <v>127.65129122027885</v>
      </c>
      <c r="E149" s="4">
        <f>MAX($C$2:C149)</f>
        <v>139.6190503655213</v>
      </c>
      <c r="F149" s="5">
        <f t="shared" si="5"/>
        <v>-8.5717236393679674E-2</v>
      </c>
    </row>
    <row r="150" spans="1:6" x14ac:dyDescent="0.3">
      <c r="A150" s="2">
        <v>45874</v>
      </c>
      <c r="B150" s="1">
        <v>891.9</v>
      </c>
      <c r="C150" s="9">
        <f t="shared" si="4"/>
        <v>128.60294435712947</v>
      </c>
      <c r="E150" s="4">
        <f>MAX($C$2:C150)</f>
        <v>139.6190503655213</v>
      </c>
      <c r="F150" s="5">
        <f t="shared" si="5"/>
        <v>-7.89011669937002E-2</v>
      </c>
    </row>
    <row r="151" spans="1:6" x14ac:dyDescent="0.3">
      <c r="A151" s="2">
        <v>45875</v>
      </c>
      <c r="B151" s="1">
        <v>876.65</v>
      </c>
      <c r="C151" s="9">
        <f t="shared" si="4"/>
        <v>126.40404885152769</v>
      </c>
      <c r="E151" s="4">
        <f>MAX($C$2:C151)</f>
        <v>139.6190503655213</v>
      </c>
      <c r="F151" s="5">
        <f t="shared" si="5"/>
        <v>-9.4650418258804048E-2</v>
      </c>
    </row>
    <row r="152" spans="1:6" x14ac:dyDescent="0.3">
      <c r="A152" s="2">
        <v>45876</v>
      </c>
      <c r="B152" s="1">
        <v>879.1</v>
      </c>
      <c r="C152" s="9">
        <f t="shared" si="4"/>
        <v>126.75731403111618</v>
      </c>
      <c r="E152" s="4">
        <f>MAX($C$2:C152)</f>
        <v>139.6190503655213</v>
      </c>
      <c r="F152" s="5">
        <f t="shared" si="5"/>
        <v>-9.2120210678508618E-2</v>
      </c>
    </row>
    <row r="153" spans="1:6" x14ac:dyDescent="0.3">
      <c r="A153" s="2">
        <v>45877</v>
      </c>
      <c r="B153" s="1">
        <v>877.15</v>
      </c>
      <c r="C153" s="9">
        <f t="shared" si="4"/>
        <v>126.47614378613758</v>
      </c>
      <c r="E153" s="4">
        <f>MAX($C$2:C153)</f>
        <v>139.6190503655213</v>
      </c>
      <c r="F153" s="5">
        <f t="shared" si="5"/>
        <v>-9.4134049364866135E-2</v>
      </c>
    </row>
    <row r="154" spans="1:6" x14ac:dyDescent="0.3">
      <c r="A154" s="2">
        <v>45880</v>
      </c>
      <c r="B154" s="1">
        <v>877.8</v>
      </c>
      <c r="C154" s="9">
        <f t="shared" si="4"/>
        <v>126.56986720113044</v>
      </c>
      <c r="E154" s="4">
        <f>MAX($C$2:C154)</f>
        <v>139.6190503655213</v>
      </c>
      <c r="F154" s="5">
        <f t="shared" si="5"/>
        <v>-9.3462769802747037E-2</v>
      </c>
    </row>
    <row r="155" spans="1:6" x14ac:dyDescent="0.3">
      <c r="A155" s="2">
        <v>45881</v>
      </c>
      <c r="B155" s="1">
        <v>853</v>
      </c>
      <c r="C155" s="9">
        <f t="shared" si="4"/>
        <v>122.99395844447969</v>
      </c>
      <c r="E155" s="4">
        <f>MAX($C$2:C155)</f>
        <v>139.6190503655213</v>
      </c>
      <c r="F155" s="5">
        <f t="shared" si="5"/>
        <v>-0.11907466694206337</v>
      </c>
    </row>
    <row r="156" spans="1:6" x14ac:dyDescent="0.3">
      <c r="A156" s="2">
        <v>45882</v>
      </c>
      <c r="B156" s="1">
        <v>860</v>
      </c>
      <c r="C156" s="9">
        <f t="shared" si="4"/>
        <v>124.00328752901821</v>
      </c>
      <c r="E156" s="4">
        <f>MAX($C$2:C156)</f>
        <v>139.6190503655213</v>
      </c>
      <c r="F156" s="5">
        <f t="shared" si="5"/>
        <v>-0.1118455024269337</v>
      </c>
    </row>
    <row r="157" spans="1:6" x14ac:dyDescent="0.3">
      <c r="A157" s="2">
        <v>45883</v>
      </c>
      <c r="B157" s="1">
        <v>861.45</v>
      </c>
      <c r="C157" s="9">
        <f t="shared" si="4"/>
        <v>124.21236283938693</v>
      </c>
      <c r="E157" s="4">
        <f>MAX($C$2:C157)</f>
        <v>139.6190503655213</v>
      </c>
      <c r="F157" s="5">
        <f t="shared" si="5"/>
        <v>-0.11034803263451387</v>
      </c>
    </row>
    <row r="158" spans="1:6" x14ac:dyDescent="0.3">
      <c r="A158" s="2">
        <v>45887</v>
      </c>
      <c r="B158" s="1">
        <v>905.2</v>
      </c>
      <c r="C158" s="9">
        <f t="shared" si="4"/>
        <v>130.52066961775267</v>
      </c>
      <c r="E158" s="4">
        <f>MAX($C$2:C158)</f>
        <v>139.6190503655213</v>
      </c>
      <c r="F158" s="5">
        <f t="shared" si="5"/>
        <v>-6.5165754414953869E-2</v>
      </c>
    </row>
    <row r="159" spans="1:6" x14ac:dyDescent="0.3">
      <c r="A159" s="2">
        <v>45888</v>
      </c>
      <c r="B159" s="1">
        <v>902.3</v>
      </c>
      <c r="C159" s="9">
        <f t="shared" si="4"/>
        <v>130.10251899701527</v>
      </c>
      <c r="E159" s="4">
        <f>MAX($C$2:C159)</f>
        <v>139.6190503655213</v>
      </c>
      <c r="F159" s="5">
        <f t="shared" si="5"/>
        <v>-6.8160693999793409E-2</v>
      </c>
    </row>
    <row r="160" spans="1:6" x14ac:dyDescent="0.3">
      <c r="A160" s="2">
        <v>45889</v>
      </c>
      <c r="B160" s="1">
        <v>887.8</v>
      </c>
      <c r="C160" s="9">
        <f t="shared" si="4"/>
        <v>128.01176589332835</v>
      </c>
      <c r="E160" s="4">
        <f>MAX($C$2:C160)</f>
        <v>139.6190503655213</v>
      </c>
      <c r="F160" s="5">
        <f t="shared" si="5"/>
        <v>-8.3135391923990332E-2</v>
      </c>
    </row>
    <row r="161" spans="1:6" x14ac:dyDescent="0.3">
      <c r="A161" s="2">
        <v>45890</v>
      </c>
      <c r="B161" s="1">
        <v>895.6</v>
      </c>
      <c r="C161" s="9">
        <f t="shared" si="4"/>
        <v>129.1364468732427</v>
      </c>
      <c r="E161" s="4">
        <f>MAX($C$2:C161)</f>
        <v>139.6190503655213</v>
      </c>
      <c r="F161" s="5">
        <f t="shared" si="5"/>
        <v>-7.5080037178560155E-2</v>
      </c>
    </row>
    <row r="162" spans="1:6" x14ac:dyDescent="0.3">
      <c r="A162" s="2">
        <v>45891</v>
      </c>
      <c r="B162" s="1">
        <v>894.5</v>
      </c>
      <c r="C162" s="9">
        <f t="shared" si="4"/>
        <v>128.97783801710091</v>
      </c>
      <c r="E162" s="4">
        <f>MAX($C$2:C162)</f>
        <v>139.6190503655213</v>
      </c>
      <c r="F162" s="5">
        <f t="shared" si="5"/>
        <v>-7.6216048745223586E-2</v>
      </c>
    </row>
    <row r="163" spans="1:6" x14ac:dyDescent="0.3">
      <c r="A163" s="2">
        <v>45894</v>
      </c>
      <c r="B163" s="1">
        <v>900.8</v>
      </c>
      <c r="C163" s="9">
        <f t="shared" si="4"/>
        <v>129.8862341931856</v>
      </c>
      <c r="E163" s="4">
        <f>MAX($C$2:C163)</f>
        <v>139.6190503655213</v>
      </c>
      <c r="F163" s="5">
        <f t="shared" si="5"/>
        <v>-6.9709800681606704E-2</v>
      </c>
    </row>
    <row r="164" spans="1:6" x14ac:dyDescent="0.3">
      <c r="A164" s="2">
        <v>45895</v>
      </c>
      <c r="B164" s="1">
        <v>876.25</v>
      </c>
      <c r="C164" s="9">
        <f t="shared" si="4"/>
        <v>126.34637290383979</v>
      </c>
      <c r="E164" s="4">
        <f>MAX($C$2:C164)</f>
        <v>139.6190503655213</v>
      </c>
      <c r="F164" s="5">
        <f t="shared" si="5"/>
        <v>-9.5063513373954134E-2</v>
      </c>
    </row>
    <row r="165" spans="1:6" x14ac:dyDescent="0.3">
      <c r="A165" s="2">
        <v>45897</v>
      </c>
      <c r="B165" s="1">
        <v>876.85</v>
      </c>
      <c r="C165" s="9">
        <f t="shared" si="4"/>
        <v>126.43288682537165</v>
      </c>
      <c r="E165" s="4">
        <f>MAX($C$2:C165)</f>
        <v>139.6190503655213</v>
      </c>
      <c r="F165" s="5">
        <f t="shared" si="5"/>
        <v>-9.4443870701228838E-2</v>
      </c>
    </row>
    <row r="166" spans="1:6" x14ac:dyDescent="0.3">
      <c r="A166" s="2">
        <v>45898</v>
      </c>
      <c r="B166" s="1">
        <v>877.85</v>
      </c>
      <c r="C166" s="9">
        <f t="shared" si="4"/>
        <v>126.57707669459144</v>
      </c>
      <c r="E166" s="4">
        <f>MAX($C$2:C166)</f>
        <v>139.6190503655213</v>
      </c>
      <c r="F166" s="5">
        <f t="shared" si="5"/>
        <v>-9.3411132913353234E-2</v>
      </c>
    </row>
    <row r="167" spans="1:6" x14ac:dyDescent="0.3">
      <c r="A167" s="2">
        <v>45901</v>
      </c>
      <c r="B167" s="1">
        <v>889.35</v>
      </c>
      <c r="C167" s="9">
        <f t="shared" si="4"/>
        <v>128.23526019061902</v>
      </c>
      <c r="E167" s="4">
        <f>MAX($C$2:C167)</f>
        <v>139.6190503655213</v>
      </c>
      <c r="F167" s="5">
        <f t="shared" si="5"/>
        <v>-8.1534648352783012E-2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4241-3725-48B9-8228-9720F2969592}">
  <dimension ref="A1:F1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4" t="s">
        <v>0</v>
      </c>
      <c r="B1" s="21" t="s">
        <v>77</v>
      </c>
      <c r="C1" s="21" t="s">
        <v>15</v>
      </c>
    </row>
    <row r="2" spans="1:3" x14ac:dyDescent="0.3">
      <c r="A2" s="2">
        <v>45658</v>
      </c>
      <c r="B2" s="4">
        <v>100</v>
      </c>
      <c r="C2" s="9">
        <v>100</v>
      </c>
    </row>
    <row r="3" spans="1:3" x14ac:dyDescent="0.3">
      <c r="A3" s="2">
        <v>45659</v>
      </c>
      <c r="B3" s="4">
        <v>102.27570779063562</v>
      </c>
      <c r="C3" s="9">
        <v>106.54477816388621</v>
      </c>
    </row>
    <row r="4" spans="1:3" x14ac:dyDescent="0.3">
      <c r="A4" s="2">
        <v>45660</v>
      </c>
      <c r="B4" s="4">
        <v>101.89595519777401</v>
      </c>
      <c r="C4" s="9">
        <v>106.80431992848183</v>
      </c>
    </row>
    <row r="5" spans="1:3" x14ac:dyDescent="0.3">
      <c r="A5" s="2">
        <v>45663</v>
      </c>
      <c r="B5" s="4">
        <v>100.12243930933198</v>
      </c>
      <c r="C5" s="9">
        <v>105.96946058569925</v>
      </c>
    </row>
    <row r="6" spans="1:3" x14ac:dyDescent="0.3">
      <c r="A6" s="2">
        <v>45664</v>
      </c>
      <c r="B6" s="4">
        <v>100.47834074413942</v>
      </c>
      <c r="C6" s="9">
        <v>106.03722982423255</v>
      </c>
    </row>
    <row r="7" spans="1:3" x14ac:dyDescent="0.3">
      <c r="A7" s="2">
        <v>45665</v>
      </c>
      <c r="B7" s="4">
        <v>100.26648551311381</v>
      </c>
      <c r="C7" s="9">
        <v>106.05741640592332</v>
      </c>
    </row>
    <row r="8" spans="1:3" x14ac:dyDescent="0.3">
      <c r="A8" s="2">
        <v>45666</v>
      </c>
      <c r="B8" s="4">
        <v>99.604174078026844</v>
      </c>
      <c r="C8" s="9">
        <v>104.93273542600899</v>
      </c>
    </row>
    <row r="9" spans="1:3" x14ac:dyDescent="0.3">
      <c r="A9" s="2">
        <v>45667</v>
      </c>
      <c r="B9" s="4">
        <v>98.825808165956246</v>
      </c>
      <c r="C9" s="9">
        <v>105.08557668738194</v>
      </c>
    </row>
    <row r="10" spans="1:3" x14ac:dyDescent="0.3">
      <c r="A10" s="2">
        <v>45670</v>
      </c>
      <c r="B10" s="4">
        <v>96.857484295060587</v>
      </c>
      <c r="C10" s="9">
        <v>103.10873358037864</v>
      </c>
    </row>
    <row r="11" spans="1:3" x14ac:dyDescent="0.3">
      <c r="A11" s="2">
        <v>45671</v>
      </c>
      <c r="B11" s="4">
        <v>97.632483938302002</v>
      </c>
      <c r="C11" s="9">
        <v>105.76326907271496</v>
      </c>
    </row>
    <row r="12" spans="1:3" x14ac:dyDescent="0.3">
      <c r="A12" s="2">
        <v>45672</v>
      </c>
      <c r="B12" s="4">
        <v>97.75977819749032</v>
      </c>
      <c r="C12" s="9">
        <v>103.49083673381109</v>
      </c>
    </row>
    <row r="13" spans="1:3" x14ac:dyDescent="0.3">
      <c r="A13" s="2">
        <v>45673</v>
      </c>
      <c r="B13" s="4">
        <v>98.30502850554285</v>
      </c>
      <c r="C13" s="9">
        <v>104.67751935748994</v>
      </c>
    </row>
    <row r="14" spans="1:3" x14ac:dyDescent="0.3">
      <c r="A14" s="2">
        <v>45674</v>
      </c>
      <c r="B14" s="4">
        <v>98.421701862968206</v>
      </c>
      <c r="C14" s="9">
        <v>103.55860597234438</v>
      </c>
    </row>
    <row r="15" spans="1:3" x14ac:dyDescent="0.3">
      <c r="A15" s="2">
        <v>45677</v>
      </c>
      <c r="B15" s="4">
        <v>98.843090661267269</v>
      </c>
      <c r="C15" s="9">
        <v>107.27870459821493</v>
      </c>
    </row>
    <row r="16" spans="1:3" x14ac:dyDescent="0.3">
      <c r="A16" s="2">
        <v>45678</v>
      </c>
      <c r="B16" s="4">
        <v>97.374382689409273</v>
      </c>
      <c r="C16" s="9">
        <v>105.13748504030107</v>
      </c>
    </row>
    <row r="17" spans="1:6" x14ac:dyDescent="0.3">
      <c r="A17" s="2">
        <v>45679</v>
      </c>
      <c r="B17" s="4">
        <v>97.649028159314526</v>
      </c>
      <c r="C17" s="9">
        <v>106.66013005926204</v>
      </c>
      <c r="F17" t="s">
        <v>86</v>
      </c>
    </row>
    <row r="18" spans="1:6" x14ac:dyDescent="0.3">
      <c r="A18" s="2">
        <v>45680</v>
      </c>
      <c r="B18" s="4">
        <v>98.210166035693547</v>
      </c>
      <c r="C18" s="9">
        <v>107.32484535636526</v>
      </c>
    </row>
    <row r="19" spans="1:6" x14ac:dyDescent="0.3">
      <c r="A19" s="2">
        <v>45681</v>
      </c>
      <c r="B19" s="4">
        <v>97.523569085240112</v>
      </c>
      <c r="C19" s="9">
        <v>107.25707611783197</v>
      </c>
    </row>
    <row r="20" spans="1:6" x14ac:dyDescent="0.3">
      <c r="A20" s="2">
        <v>45684</v>
      </c>
      <c r="B20" s="4">
        <v>95.966688487278887</v>
      </c>
      <c r="C20" s="9">
        <v>105.19227719060457</v>
      </c>
    </row>
    <row r="21" spans="1:6" x14ac:dyDescent="0.3">
      <c r="A21" s="2">
        <v>45685</v>
      </c>
      <c r="B21" s="4">
        <v>96.121721445971602</v>
      </c>
      <c r="C21" s="9">
        <v>109.67946592072441</v>
      </c>
    </row>
    <row r="22" spans="1:6" x14ac:dyDescent="0.3">
      <c r="A22" s="2">
        <v>45686</v>
      </c>
      <c r="B22" s="4">
        <v>97.538931309906303</v>
      </c>
      <c r="C22" s="9">
        <v>111.88701281847939</v>
      </c>
    </row>
    <row r="23" spans="1:6" x14ac:dyDescent="0.3">
      <c r="A23" s="2">
        <v>45687</v>
      </c>
      <c r="B23" s="4">
        <v>97.852004770646118</v>
      </c>
      <c r="C23" s="9">
        <v>113.93306706270818</v>
      </c>
    </row>
    <row r="24" spans="1:6" x14ac:dyDescent="0.3">
      <c r="A24" s="2">
        <v>45688</v>
      </c>
      <c r="B24" s="4">
        <v>99.373964387941399</v>
      </c>
      <c r="C24" s="9">
        <v>113.69515377849552</v>
      </c>
    </row>
    <row r="25" spans="1:6" x14ac:dyDescent="0.3">
      <c r="A25" s="2">
        <v>45689</v>
      </c>
      <c r="B25" s="4">
        <v>99.41937217556783</v>
      </c>
      <c r="C25" s="9">
        <v>115.3533372745231</v>
      </c>
    </row>
    <row r="26" spans="1:6" x14ac:dyDescent="0.3">
      <c r="A26" s="2">
        <v>45691</v>
      </c>
      <c r="B26" s="4">
        <v>98.941729987861081</v>
      </c>
      <c r="C26" s="9">
        <v>121.4915000072095</v>
      </c>
    </row>
    <row r="27" spans="1:6" x14ac:dyDescent="0.3">
      <c r="A27" s="2">
        <v>45692</v>
      </c>
      <c r="B27" s="4">
        <v>100.19949615418228</v>
      </c>
      <c r="C27" s="9">
        <v>122.20523985984745</v>
      </c>
    </row>
    <row r="28" spans="1:6" x14ac:dyDescent="0.3">
      <c r="A28" s="2">
        <v>45693</v>
      </c>
      <c r="B28" s="4">
        <v>100.10187402961645</v>
      </c>
      <c r="C28" s="9">
        <v>122.69836921257912</v>
      </c>
    </row>
    <row r="29" spans="1:6" x14ac:dyDescent="0.3">
      <c r="A29" s="2">
        <v>45694</v>
      </c>
      <c r="B29" s="4">
        <v>99.506661817125845</v>
      </c>
      <c r="C29" s="9">
        <v>122.66664744135079</v>
      </c>
    </row>
    <row r="30" spans="1:6" x14ac:dyDescent="0.3">
      <c r="A30" s="2">
        <v>45695</v>
      </c>
      <c r="B30" s="4">
        <v>99.728010384013558</v>
      </c>
      <c r="C30" s="9">
        <v>122.18937897423328</v>
      </c>
    </row>
    <row r="31" spans="1:6" x14ac:dyDescent="0.3">
      <c r="A31" s="2">
        <v>45698</v>
      </c>
      <c r="B31" s="4">
        <v>98.714129837737389</v>
      </c>
      <c r="C31" s="9">
        <v>119.48726082505443</v>
      </c>
    </row>
    <row r="32" spans="1:6" x14ac:dyDescent="0.3">
      <c r="A32" s="2">
        <v>45699</v>
      </c>
      <c r="B32" s="4">
        <v>96.934759160000283</v>
      </c>
      <c r="C32" s="9">
        <v>118.10880567531325</v>
      </c>
    </row>
    <row r="33" spans="1:3" x14ac:dyDescent="0.3">
      <c r="A33" s="2">
        <v>45700</v>
      </c>
      <c r="B33" s="4">
        <v>96.86673694312617</v>
      </c>
      <c r="C33" s="9">
        <v>118.43900047582656</v>
      </c>
    </row>
    <row r="34" spans="1:3" x14ac:dyDescent="0.3">
      <c r="A34" s="2">
        <v>45701</v>
      </c>
      <c r="B34" s="4">
        <v>97.112162992042371</v>
      </c>
      <c r="C34" s="9">
        <v>121.24926102692024</v>
      </c>
    </row>
    <row r="35" spans="1:3" x14ac:dyDescent="0.3">
      <c r="A35" s="2">
        <v>45702</v>
      </c>
      <c r="B35" s="4">
        <v>96.148962974982766</v>
      </c>
      <c r="C35" s="9">
        <v>121.00846394532321</v>
      </c>
    </row>
    <row r="36" spans="1:3" x14ac:dyDescent="0.3">
      <c r="A36" s="2">
        <v>45705</v>
      </c>
      <c r="B36" s="4">
        <v>96.573696193852854</v>
      </c>
      <c r="C36" s="9">
        <v>121.50303519674708</v>
      </c>
    </row>
    <row r="37" spans="1:3" x14ac:dyDescent="0.3">
      <c r="A37" s="2">
        <v>45706</v>
      </c>
      <c r="B37" s="4">
        <v>96.586727863634508</v>
      </c>
      <c r="C37" s="9">
        <v>122.06970138278086</v>
      </c>
    </row>
    <row r="38" spans="1:3" x14ac:dyDescent="0.3">
      <c r="A38" s="2">
        <v>45707</v>
      </c>
      <c r="B38" s="4">
        <v>96.738488592483407</v>
      </c>
      <c r="C38" s="9">
        <v>121.6890401280406</v>
      </c>
    </row>
    <row r="39" spans="1:3" x14ac:dyDescent="0.3">
      <c r="A39" s="2">
        <v>45708</v>
      </c>
      <c r="B39" s="4">
        <v>97.169001780204738</v>
      </c>
      <c r="C39" s="9">
        <v>121.11228065116147</v>
      </c>
    </row>
    <row r="40" spans="1:3" x14ac:dyDescent="0.3">
      <c r="A40" s="2">
        <v>45709</v>
      </c>
      <c r="B40" s="4">
        <v>96.697326439506469</v>
      </c>
      <c r="C40" s="9">
        <v>121.07190748777992</v>
      </c>
    </row>
    <row r="41" spans="1:3" x14ac:dyDescent="0.3">
      <c r="A41" s="2">
        <v>45712</v>
      </c>
      <c r="B41" s="4">
        <v>95.753620955599928</v>
      </c>
      <c r="C41" s="9">
        <v>120.46919383444119</v>
      </c>
    </row>
    <row r="42" spans="1:3" x14ac:dyDescent="0.3">
      <c r="A42" s="2">
        <v>45713</v>
      </c>
      <c r="B42" s="4">
        <v>95.522561726894722</v>
      </c>
      <c r="C42" s="9">
        <v>122.39989618329416</v>
      </c>
    </row>
    <row r="43" spans="1:3" x14ac:dyDescent="0.3">
      <c r="A43" s="2">
        <v>45715</v>
      </c>
      <c r="B43" s="4">
        <v>95.460255977402952</v>
      </c>
      <c r="C43" s="9">
        <v>125.5230487505948</v>
      </c>
    </row>
    <row r="44" spans="1:3" x14ac:dyDescent="0.3">
      <c r="A44" s="2">
        <v>45716</v>
      </c>
      <c r="B44" s="4">
        <v>93.110438505054944</v>
      </c>
      <c r="C44" s="9">
        <v>122.99828414055629</v>
      </c>
    </row>
    <row r="45" spans="1:3" x14ac:dyDescent="0.3">
      <c r="A45" s="2">
        <v>45719</v>
      </c>
      <c r="B45" s="4">
        <v>93.316289568325899</v>
      </c>
      <c r="C45" s="9">
        <v>124.40413536544924</v>
      </c>
    </row>
    <row r="46" spans="1:3" x14ac:dyDescent="0.3">
      <c r="A46" s="2">
        <v>45720</v>
      </c>
      <c r="B46" s="4">
        <v>93.088108775665518</v>
      </c>
      <c r="C46" s="9">
        <v>123.79997981341833</v>
      </c>
    </row>
    <row r="47" spans="1:3" x14ac:dyDescent="0.3">
      <c r="A47" s="2">
        <v>45721</v>
      </c>
      <c r="B47" s="4">
        <v>94.533516432327446</v>
      </c>
      <c r="C47" s="9">
        <v>119.65884676942598</v>
      </c>
    </row>
    <row r="48" spans="1:3" x14ac:dyDescent="0.3">
      <c r="A48" s="2">
        <v>45722</v>
      </c>
      <c r="B48" s="4">
        <v>95.56547709296774</v>
      </c>
      <c r="C48" s="9">
        <v>121.27665710207202</v>
      </c>
    </row>
    <row r="49" spans="1:3" x14ac:dyDescent="0.3">
      <c r="A49" s="2">
        <v>45723</v>
      </c>
      <c r="B49" s="4">
        <v>95.42745712954374</v>
      </c>
      <c r="C49" s="9">
        <v>121.18437558577135</v>
      </c>
    </row>
    <row r="50" spans="1:3" x14ac:dyDescent="0.3">
      <c r="A50" s="2">
        <v>45726</v>
      </c>
      <c r="B50" s="4">
        <v>94.759042827025525</v>
      </c>
      <c r="C50" s="9">
        <v>120.29184029530084</v>
      </c>
    </row>
    <row r="51" spans="1:3" x14ac:dyDescent="0.3">
      <c r="A51" s="2">
        <v>45727</v>
      </c>
      <c r="B51" s="4">
        <v>94.508327537800923</v>
      </c>
      <c r="C51" s="9">
        <v>120.2601185240725</v>
      </c>
    </row>
    <row r="52" spans="1:3" x14ac:dyDescent="0.3">
      <c r="A52" s="2">
        <v>45728</v>
      </c>
      <c r="B52" s="4">
        <v>94.289790020283377</v>
      </c>
      <c r="C52" s="9">
        <v>122.33789453952966</v>
      </c>
    </row>
    <row r="53" spans="1:3" x14ac:dyDescent="0.3">
      <c r="A53" s="2">
        <v>45729</v>
      </c>
      <c r="B53" s="4">
        <v>93.784755498062651</v>
      </c>
      <c r="C53" s="9">
        <v>121.4136374778308</v>
      </c>
    </row>
    <row r="54" spans="1:3" x14ac:dyDescent="0.3">
      <c r="A54" s="2">
        <v>45733</v>
      </c>
      <c r="B54" s="4">
        <v>94.438914901124392</v>
      </c>
      <c r="C54" s="9">
        <v>123.71923348665523</v>
      </c>
    </row>
    <row r="55" spans="1:3" x14ac:dyDescent="0.3">
      <c r="A55" s="2">
        <v>45734</v>
      </c>
      <c r="B55" s="4">
        <v>95.897713425062904</v>
      </c>
      <c r="C55" s="9">
        <v>125.19285395008146</v>
      </c>
    </row>
    <row r="56" spans="1:3" x14ac:dyDescent="0.3">
      <c r="A56" s="2">
        <v>45735</v>
      </c>
      <c r="B56" s="4">
        <v>96.526673772566085</v>
      </c>
      <c r="C56" s="9">
        <v>125.90082620795062</v>
      </c>
    </row>
    <row r="57" spans="1:3" x14ac:dyDescent="0.3">
      <c r="A57" s="2">
        <v>45736</v>
      </c>
      <c r="B57" s="4">
        <v>97.561282690200386</v>
      </c>
      <c r="C57" s="9">
        <v>125.15248078669994</v>
      </c>
    </row>
    <row r="58" spans="1:3" x14ac:dyDescent="0.3">
      <c r="A58" s="2">
        <v>45737</v>
      </c>
      <c r="B58" s="4">
        <v>98.296729106332805</v>
      </c>
      <c r="C58" s="9">
        <v>128.56112929505574</v>
      </c>
    </row>
    <row r="59" spans="1:3" x14ac:dyDescent="0.3">
      <c r="A59" s="2">
        <v>45740</v>
      </c>
      <c r="B59" s="4">
        <v>99.375066240948769</v>
      </c>
      <c r="C59" s="9">
        <v>131.07003301948006</v>
      </c>
    </row>
    <row r="60" spans="1:3" x14ac:dyDescent="0.3">
      <c r="A60" s="2">
        <v>45741</v>
      </c>
      <c r="B60" s="4">
        <v>99.096354664279247</v>
      </c>
      <c r="C60" s="9">
        <v>130.73983821896675</v>
      </c>
    </row>
    <row r="61" spans="1:3" x14ac:dyDescent="0.3">
      <c r="A61" s="2">
        <v>45742</v>
      </c>
      <c r="B61" s="4">
        <v>98.355813534461092</v>
      </c>
      <c r="C61" s="9">
        <v>127.8387380502646</v>
      </c>
    </row>
    <row r="62" spans="1:3" x14ac:dyDescent="0.3">
      <c r="A62" s="2">
        <v>45743</v>
      </c>
      <c r="B62" s="4">
        <v>98.927716943658737</v>
      </c>
      <c r="C62" s="9">
        <v>129.8271163468055</v>
      </c>
    </row>
    <row r="63" spans="1:3" x14ac:dyDescent="0.3">
      <c r="A63" s="2">
        <v>45744</v>
      </c>
      <c r="B63" s="4">
        <v>98.475275651156139</v>
      </c>
      <c r="C63" s="9">
        <v>128.98648940925409</v>
      </c>
    </row>
    <row r="64" spans="1:3" x14ac:dyDescent="0.3">
      <c r="A64" s="2">
        <v>45748</v>
      </c>
      <c r="B64" s="4">
        <v>97.619193789811931</v>
      </c>
      <c r="C64" s="9">
        <v>125.41923204475655</v>
      </c>
    </row>
    <row r="65" spans="1:3" x14ac:dyDescent="0.3">
      <c r="A65" s="2">
        <v>45749</v>
      </c>
      <c r="B65" s="4">
        <v>98.255459583933529</v>
      </c>
      <c r="C65" s="9">
        <v>125.00108142401916</v>
      </c>
    </row>
    <row r="66" spans="1:3" x14ac:dyDescent="0.3">
      <c r="A66" s="2">
        <v>45750</v>
      </c>
      <c r="B66" s="4">
        <v>98.142240452246284</v>
      </c>
      <c r="C66" s="9">
        <v>123.92542499963955</v>
      </c>
    </row>
    <row r="67" spans="1:3" x14ac:dyDescent="0.3">
      <c r="A67" s="2">
        <v>45751</v>
      </c>
      <c r="B67" s="4">
        <v>96.070620974803433</v>
      </c>
      <c r="C67" s="9">
        <v>125.7177050740415</v>
      </c>
    </row>
    <row r="68" spans="1:3" x14ac:dyDescent="0.3">
      <c r="A68" s="2">
        <v>45754</v>
      </c>
      <c r="B68" s="4">
        <v>92.963013295252736</v>
      </c>
      <c r="C68" s="9">
        <v>123.54187994751489</v>
      </c>
    </row>
    <row r="69" spans="1:3" x14ac:dyDescent="0.3">
      <c r="A69" s="2">
        <v>45755</v>
      </c>
      <c r="B69" s="4">
        <v>94.826900999712308</v>
      </c>
      <c r="C69" s="9">
        <v>127.20718642308194</v>
      </c>
    </row>
    <row r="70" spans="1:3" x14ac:dyDescent="0.3">
      <c r="A70" s="2">
        <v>45756</v>
      </c>
      <c r="B70" s="4">
        <v>94.284043733374418</v>
      </c>
      <c r="C70" s="9">
        <v>125.96138595302295</v>
      </c>
    </row>
    <row r="71" spans="1:3" x14ac:dyDescent="0.3">
      <c r="A71" s="2">
        <v>45758</v>
      </c>
      <c r="B71" s="4">
        <v>96.266731457401747</v>
      </c>
      <c r="C71" s="9">
        <v>128.63322422966564</v>
      </c>
    </row>
    <row r="72" spans="1:3" x14ac:dyDescent="0.3">
      <c r="A72" s="2">
        <v>45762</v>
      </c>
      <c r="B72" s="4">
        <v>98.338035777642304</v>
      </c>
      <c r="C72" s="9">
        <v>131.80395945380877</v>
      </c>
    </row>
    <row r="73" spans="1:3" x14ac:dyDescent="0.3">
      <c r="A73" s="2">
        <v>45763</v>
      </c>
      <c r="B73" s="4">
        <v>98.91383590011867</v>
      </c>
      <c r="C73" s="9">
        <v>130.58555505890158</v>
      </c>
    </row>
    <row r="74" spans="1:3" x14ac:dyDescent="0.3">
      <c r="A74" s="2">
        <v>45764</v>
      </c>
      <c r="B74" s="4">
        <v>100.23743764101656</v>
      </c>
      <c r="C74" s="9">
        <v>132.11396767263133</v>
      </c>
    </row>
    <row r="75" spans="1:3" x14ac:dyDescent="0.3">
      <c r="A75" s="2">
        <v>45768</v>
      </c>
      <c r="B75" s="4">
        <v>101.49214900467621</v>
      </c>
      <c r="C75" s="9">
        <v>133.71447522097097</v>
      </c>
    </row>
    <row r="76" spans="1:3" x14ac:dyDescent="0.3">
      <c r="A76" s="2">
        <v>45769</v>
      </c>
      <c r="B76" s="4">
        <v>101.35223476429205</v>
      </c>
      <c r="C76" s="9">
        <v>133.52702839098524</v>
      </c>
    </row>
    <row r="77" spans="1:3" x14ac:dyDescent="0.3">
      <c r="A77" s="2">
        <v>45770</v>
      </c>
      <c r="B77" s="4">
        <v>102.32057087474359</v>
      </c>
      <c r="C77" s="9">
        <v>134.42821507360892</v>
      </c>
    </row>
    <row r="78" spans="1:3" x14ac:dyDescent="0.3">
      <c r="A78" s="2">
        <v>45771</v>
      </c>
      <c r="B78" s="4">
        <v>102.25857193697007</v>
      </c>
      <c r="C78" s="9">
        <v>134.11099736132542</v>
      </c>
    </row>
    <row r="79" spans="1:3" x14ac:dyDescent="0.3">
      <c r="A79" s="2">
        <v>45772</v>
      </c>
      <c r="B79" s="4">
        <v>101.01086788076914</v>
      </c>
      <c r="C79" s="9">
        <v>131.38580883307139</v>
      </c>
    </row>
    <row r="80" spans="1:3" x14ac:dyDescent="0.3">
      <c r="A80" s="2">
        <v>45775</v>
      </c>
      <c r="B80" s="4">
        <v>101.93620697920365</v>
      </c>
      <c r="C80" s="9">
        <v>131.11184808155377</v>
      </c>
    </row>
    <row r="81" spans="1:3" x14ac:dyDescent="0.3">
      <c r="A81" s="2">
        <v>45776</v>
      </c>
      <c r="B81" s="4">
        <v>101.77656484958666</v>
      </c>
      <c r="C81" s="9">
        <v>131.11184808155377</v>
      </c>
    </row>
    <row r="82" spans="1:3" x14ac:dyDescent="0.3">
      <c r="A82" s="2">
        <v>45777</v>
      </c>
      <c r="B82" s="4">
        <v>101.55003011540515</v>
      </c>
      <c r="C82" s="9">
        <v>124.50074257782649</v>
      </c>
    </row>
    <row r="83" spans="1:3" x14ac:dyDescent="0.3">
      <c r="A83" s="2">
        <v>45779</v>
      </c>
      <c r="B83" s="4">
        <v>101.2474459854932</v>
      </c>
      <c r="C83" s="9">
        <v>127.78827159603767</v>
      </c>
    </row>
    <row r="84" spans="1:3" x14ac:dyDescent="0.3">
      <c r="A84" s="2">
        <v>45782</v>
      </c>
      <c r="B84" s="4">
        <v>101.87558205359637</v>
      </c>
      <c r="C84" s="9">
        <v>128.7903911871152</v>
      </c>
    </row>
    <row r="85" spans="1:3" x14ac:dyDescent="0.3">
      <c r="A85" s="2">
        <v>45783</v>
      </c>
      <c r="B85" s="4">
        <v>101.36204846492195</v>
      </c>
      <c r="C85" s="9">
        <v>126.85103744610903</v>
      </c>
    </row>
    <row r="86" spans="1:3" x14ac:dyDescent="0.3">
      <c r="A86" s="2">
        <v>45784</v>
      </c>
      <c r="B86" s="4">
        <v>101.59315222559484</v>
      </c>
      <c r="C86" s="9">
        <v>129.57622597436304</v>
      </c>
    </row>
    <row r="87" spans="1:3" x14ac:dyDescent="0.3">
      <c r="A87" s="2">
        <v>45785</v>
      </c>
      <c r="B87" s="4">
        <v>100.70119301035103</v>
      </c>
      <c r="C87" s="9">
        <v>127.35570198837831</v>
      </c>
    </row>
    <row r="88" spans="1:3" x14ac:dyDescent="0.3">
      <c r="A88" s="2">
        <v>45786</v>
      </c>
      <c r="B88" s="4">
        <v>99.997212172517351</v>
      </c>
      <c r="C88" s="9">
        <v>124.59446599281935</v>
      </c>
    </row>
    <row r="89" spans="1:3" x14ac:dyDescent="0.3">
      <c r="A89" s="2">
        <v>45789</v>
      </c>
      <c r="B89" s="4">
        <v>103.57369775811848</v>
      </c>
      <c r="C89" s="9">
        <v>130.03763355586636</v>
      </c>
    </row>
    <row r="90" spans="1:3" x14ac:dyDescent="0.3">
      <c r="A90" s="2">
        <v>45790</v>
      </c>
      <c r="B90" s="4">
        <v>102.53106398755992</v>
      </c>
      <c r="C90" s="9">
        <v>130.37647974853289</v>
      </c>
    </row>
    <row r="91" spans="1:3" x14ac:dyDescent="0.3">
      <c r="A91" s="2">
        <v>45791</v>
      </c>
      <c r="B91" s="4">
        <v>103.14133610855514</v>
      </c>
      <c r="C91" s="9">
        <v>130.93882023849005</v>
      </c>
    </row>
    <row r="92" spans="1:3" x14ac:dyDescent="0.3">
      <c r="A92" s="2">
        <v>45792</v>
      </c>
      <c r="B92" s="4">
        <v>104.99053230529039</v>
      </c>
      <c r="C92" s="9">
        <v>132.48886133260277</v>
      </c>
    </row>
    <row r="93" spans="1:3" x14ac:dyDescent="0.3">
      <c r="A93" s="2">
        <v>45793</v>
      </c>
      <c r="B93" s="4">
        <v>104.95614487960437</v>
      </c>
      <c r="C93" s="9">
        <v>132.17885311378024</v>
      </c>
    </row>
    <row r="94" spans="1:3" x14ac:dyDescent="0.3">
      <c r="A94" s="2">
        <v>45796</v>
      </c>
      <c r="B94" s="4">
        <v>104.76865066577695</v>
      </c>
      <c r="C94" s="9">
        <v>133.45493345637536</v>
      </c>
    </row>
    <row r="95" spans="1:3" x14ac:dyDescent="0.3">
      <c r="A95" s="2">
        <v>45797</v>
      </c>
      <c r="B95" s="4">
        <v>103.54836145569325</v>
      </c>
      <c r="C95" s="9">
        <v>130.90998226464609</v>
      </c>
    </row>
    <row r="96" spans="1:3" x14ac:dyDescent="0.3">
      <c r="A96" s="2">
        <v>45798</v>
      </c>
      <c r="B96" s="4">
        <v>104.17145489097777</v>
      </c>
      <c r="C96" s="9">
        <v>132.61863221490057</v>
      </c>
    </row>
    <row r="97" spans="1:3" x14ac:dyDescent="0.3">
      <c r="A97" s="2">
        <v>45799</v>
      </c>
      <c r="B97" s="4">
        <v>103.28753334141101</v>
      </c>
      <c r="C97" s="9">
        <v>131.77512147996481</v>
      </c>
    </row>
    <row r="98" spans="1:3" x14ac:dyDescent="0.3">
      <c r="A98" s="2">
        <v>45800</v>
      </c>
      <c r="B98" s="4">
        <v>104.37874342136659</v>
      </c>
      <c r="C98" s="9">
        <v>133.28190561331161</v>
      </c>
    </row>
    <row r="99" spans="1:3" x14ac:dyDescent="0.3">
      <c r="A99" s="2">
        <v>45803</v>
      </c>
      <c r="B99" s="4">
        <v>104.98201192753463</v>
      </c>
      <c r="C99" s="9">
        <v>133.65679927328307</v>
      </c>
    </row>
    <row r="100" spans="1:3" x14ac:dyDescent="0.3">
      <c r="A100" s="2">
        <v>45804</v>
      </c>
      <c r="B100" s="4">
        <v>104.44396945080648</v>
      </c>
      <c r="C100" s="9">
        <v>132.23652906146813</v>
      </c>
    </row>
    <row r="101" spans="1:3" x14ac:dyDescent="0.3">
      <c r="A101" s="2">
        <v>45805</v>
      </c>
      <c r="B101" s="4">
        <v>103.98948417493187</v>
      </c>
      <c r="C101" s="9">
        <v>133.62796129943911</v>
      </c>
    </row>
    <row r="102" spans="1:3" x14ac:dyDescent="0.3">
      <c r="A102" s="2">
        <v>45806</v>
      </c>
      <c r="B102" s="4">
        <v>104.31424828523581</v>
      </c>
      <c r="C102" s="9">
        <v>132.71235562989347</v>
      </c>
    </row>
    <row r="103" spans="1:3" x14ac:dyDescent="0.3">
      <c r="A103" s="2">
        <v>45807</v>
      </c>
      <c r="B103" s="4">
        <v>103.61909371799889</v>
      </c>
      <c r="C103" s="9">
        <v>132.37350943722694</v>
      </c>
    </row>
    <row r="104" spans="1:3" x14ac:dyDescent="0.3">
      <c r="A104" s="2">
        <v>45810</v>
      </c>
      <c r="B104" s="4">
        <v>103.51874120861426</v>
      </c>
      <c r="C104" s="9">
        <v>131.47953224806426</v>
      </c>
    </row>
    <row r="105" spans="1:3" x14ac:dyDescent="0.3">
      <c r="A105" s="2">
        <v>45811</v>
      </c>
      <c r="B105" s="4">
        <v>102.76799554251707</v>
      </c>
      <c r="C105" s="9">
        <v>129.46808357244822</v>
      </c>
    </row>
    <row r="106" spans="1:3" x14ac:dyDescent="0.3">
      <c r="A106" s="2">
        <v>45812</v>
      </c>
      <c r="B106" s="4">
        <v>102.9802333929446</v>
      </c>
      <c r="C106" s="9">
        <v>129.58343546782405</v>
      </c>
    </row>
    <row r="107" spans="1:3" x14ac:dyDescent="0.3">
      <c r="A107" s="2">
        <v>45813</v>
      </c>
      <c r="B107" s="4">
        <v>103.37390702999552</v>
      </c>
      <c r="C107" s="9">
        <v>128.81922916095917</v>
      </c>
    </row>
    <row r="108" spans="1:3" x14ac:dyDescent="0.3">
      <c r="A108" s="2">
        <v>45814</v>
      </c>
      <c r="B108" s="4">
        <v>104.60348011051795</v>
      </c>
      <c r="C108" s="9">
        <v>135.1275359393249</v>
      </c>
    </row>
    <row r="109" spans="1:3" x14ac:dyDescent="0.3">
      <c r="A109" s="2">
        <v>45817</v>
      </c>
      <c r="B109" s="4">
        <v>105.29046628030039</v>
      </c>
      <c r="C109" s="9">
        <v>138.53041685291191</v>
      </c>
    </row>
    <row r="110" spans="1:3" x14ac:dyDescent="0.3">
      <c r="A110" s="2">
        <v>45818</v>
      </c>
      <c r="B110" s="4">
        <v>105.51735073715621</v>
      </c>
      <c r="C110" s="9">
        <v>136.94432829149426</v>
      </c>
    </row>
    <row r="111" spans="1:3" x14ac:dyDescent="0.3">
      <c r="A111" s="2">
        <v>45819</v>
      </c>
      <c r="B111" s="4">
        <v>105.60461254493249</v>
      </c>
      <c r="C111" s="9">
        <v>135.89895173965078</v>
      </c>
    </row>
    <row r="112" spans="1:3" x14ac:dyDescent="0.3">
      <c r="A112" s="2">
        <v>45820</v>
      </c>
      <c r="B112" s="4">
        <v>104.42342127532574</v>
      </c>
      <c r="C112" s="9">
        <v>135.08427897855896</v>
      </c>
    </row>
    <row r="113" spans="1:3" x14ac:dyDescent="0.3">
      <c r="A113" s="2">
        <v>45821</v>
      </c>
      <c r="B113" s="4">
        <v>103.8859080217194</v>
      </c>
      <c r="C113" s="9">
        <v>134.54356696898478</v>
      </c>
    </row>
    <row r="114" spans="1:3" x14ac:dyDescent="0.3">
      <c r="A114" s="2">
        <v>45824</v>
      </c>
      <c r="B114" s="4">
        <v>104.89787289574566</v>
      </c>
      <c r="C114" s="9">
        <v>135.25009732816173</v>
      </c>
    </row>
    <row r="115" spans="1:3" x14ac:dyDescent="0.3">
      <c r="A115" s="2">
        <v>45825</v>
      </c>
      <c r="B115" s="4">
        <v>104.28849743611781</v>
      </c>
      <c r="C115" s="9">
        <v>133.0872492898649</v>
      </c>
    </row>
    <row r="116" spans="1:3" x14ac:dyDescent="0.3">
      <c r="A116" s="2">
        <v>45826</v>
      </c>
      <c r="B116" s="4">
        <v>104.1342043344381</v>
      </c>
      <c r="C116" s="9">
        <v>132.51048981298575</v>
      </c>
    </row>
    <row r="117" spans="1:3" x14ac:dyDescent="0.3">
      <c r="A117" s="2">
        <v>45827</v>
      </c>
      <c r="B117" s="4">
        <v>104.00625204133651</v>
      </c>
      <c r="C117" s="9">
        <v>129.84297723241966</v>
      </c>
    </row>
    <row r="118" spans="1:3" x14ac:dyDescent="0.3">
      <c r="A118" s="2">
        <v>45828</v>
      </c>
      <c r="B118" s="4">
        <v>105.13683000177301</v>
      </c>
      <c r="C118" s="9">
        <v>130.49183164390868</v>
      </c>
    </row>
    <row r="119" spans="1:3" x14ac:dyDescent="0.3">
      <c r="A119" s="2">
        <v>45831</v>
      </c>
      <c r="B119" s="4">
        <v>104.89860640513935</v>
      </c>
      <c r="C119" s="9">
        <v>132.00582527071649</v>
      </c>
    </row>
    <row r="120" spans="1:3" x14ac:dyDescent="0.3">
      <c r="A120" s="2">
        <v>45832</v>
      </c>
      <c r="B120" s="4">
        <v>105.33244647416298</v>
      </c>
      <c r="C120" s="9">
        <v>132.15001513993627</v>
      </c>
    </row>
    <row r="121" spans="1:3" x14ac:dyDescent="0.3">
      <c r="A121" s="2">
        <v>45833</v>
      </c>
      <c r="B121" s="4">
        <v>106.02144030077835</v>
      </c>
      <c r="C121" s="9">
        <v>133.80819863596386</v>
      </c>
    </row>
    <row r="122" spans="1:3" x14ac:dyDescent="0.3">
      <c r="A122" s="2">
        <v>45834</v>
      </c>
      <c r="B122" s="4">
        <v>107.20305850091769</v>
      </c>
      <c r="C122" s="9">
        <v>137.19666056262886</v>
      </c>
    </row>
    <row r="123" spans="1:3" x14ac:dyDescent="0.3">
      <c r="A123" s="2">
        <v>45835</v>
      </c>
      <c r="B123" s="4">
        <v>107.52616710415199</v>
      </c>
      <c r="C123" s="9">
        <v>136.54780615113981</v>
      </c>
    </row>
    <row r="124" spans="1:3" x14ac:dyDescent="0.3">
      <c r="A124" s="2">
        <v>45838</v>
      </c>
      <c r="B124" s="4">
        <v>107.26277211061743</v>
      </c>
      <c r="C124" s="9">
        <v>135.03381252433203</v>
      </c>
    </row>
    <row r="125" spans="1:3" x14ac:dyDescent="0.3">
      <c r="A125" s="2">
        <v>45839</v>
      </c>
      <c r="B125" s="4">
        <v>107.32735029485963</v>
      </c>
      <c r="C125" s="9">
        <v>135.05544100471499</v>
      </c>
    </row>
    <row r="126" spans="1:3" x14ac:dyDescent="0.3">
      <c r="A126" s="2">
        <v>45840</v>
      </c>
      <c r="B126" s="4">
        <v>107.10783892127634</v>
      </c>
      <c r="C126" s="9">
        <v>133.0872492898649</v>
      </c>
    </row>
    <row r="127" spans="1:3" x14ac:dyDescent="0.3">
      <c r="A127" s="2">
        <v>45841</v>
      </c>
      <c r="B127" s="4">
        <v>106.88063080014443</v>
      </c>
      <c r="C127" s="9">
        <v>131.23440947039063</v>
      </c>
    </row>
    <row r="128" spans="1:3" x14ac:dyDescent="0.3">
      <c r="A128" s="2">
        <v>45842</v>
      </c>
      <c r="B128" s="4">
        <v>106.83181859886781</v>
      </c>
      <c r="C128" s="9">
        <v>133.41888598907042</v>
      </c>
    </row>
    <row r="129" spans="1:3" x14ac:dyDescent="0.3">
      <c r="A129" s="2">
        <v>45845</v>
      </c>
      <c r="B129" s="4">
        <v>106.79530273661402</v>
      </c>
      <c r="C129" s="9">
        <v>133.32516257407752</v>
      </c>
    </row>
    <row r="130" spans="1:3" x14ac:dyDescent="0.3">
      <c r="A130" s="2">
        <v>45846</v>
      </c>
      <c r="B130" s="4">
        <v>106.8823410220235</v>
      </c>
      <c r="C130" s="9">
        <v>133.75773218173691</v>
      </c>
    </row>
    <row r="131" spans="1:3" x14ac:dyDescent="0.3">
      <c r="A131" s="2">
        <v>45847</v>
      </c>
      <c r="B131" s="4">
        <v>106.73591240645467</v>
      </c>
      <c r="C131" s="9">
        <v>135.62499098813319</v>
      </c>
    </row>
    <row r="132" spans="1:3" x14ac:dyDescent="0.3">
      <c r="A132" s="2">
        <v>45848</v>
      </c>
      <c r="B132" s="4">
        <v>106.26082094840412</v>
      </c>
      <c r="C132" s="9">
        <v>136.6415295661327</v>
      </c>
    </row>
    <row r="133" spans="1:3" x14ac:dyDescent="0.3">
      <c r="A133" s="2">
        <v>45849</v>
      </c>
      <c r="B133" s="4">
        <v>105.51192766234756</v>
      </c>
      <c r="C133" s="9">
        <v>134.60124291667267</v>
      </c>
    </row>
    <row r="134" spans="1:3" x14ac:dyDescent="0.3">
      <c r="A134" s="2">
        <v>45852</v>
      </c>
      <c r="B134" s="4">
        <v>105.3254966595819</v>
      </c>
      <c r="C134" s="9">
        <v>132.48886133260277</v>
      </c>
    </row>
    <row r="135" spans="1:3" x14ac:dyDescent="0.3">
      <c r="A135" s="2">
        <v>45853</v>
      </c>
      <c r="B135" s="4">
        <v>105.86900714095042</v>
      </c>
      <c r="C135" s="9">
        <v>133.86587458365176</v>
      </c>
    </row>
    <row r="136" spans="1:3" x14ac:dyDescent="0.3">
      <c r="A136" s="2">
        <v>45854</v>
      </c>
      <c r="B136" s="4">
        <v>105.82506527280829</v>
      </c>
      <c r="C136" s="9">
        <v>132.90701195334015</v>
      </c>
    </row>
    <row r="137" spans="1:3" x14ac:dyDescent="0.3">
      <c r="A137" s="2">
        <v>45855</v>
      </c>
      <c r="B137" s="4">
        <v>105.61752622469618</v>
      </c>
      <c r="C137" s="9">
        <v>133.13050625063084</v>
      </c>
    </row>
    <row r="138" spans="1:3" x14ac:dyDescent="0.3">
      <c r="A138" s="2">
        <v>45856</v>
      </c>
      <c r="B138" s="4">
        <v>105.12237381768192</v>
      </c>
      <c r="C138" s="9">
        <v>135.82685680504088</v>
      </c>
    </row>
    <row r="139" spans="1:3" x14ac:dyDescent="0.3">
      <c r="A139" s="2">
        <v>45859</v>
      </c>
      <c r="B139" s="4">
        <v>105.46640653774266</v>
      </c>
      <c r="C139" s="9">
        <v>136.75688146150853</v>
      </c>
    </row>
    <row r="140" spans="1:3" x14ac:dyDescent="0.3">
      <c r="A140" s="2">
        <v>45860</v>
      </c>
      <c r="B140" s="4">
        <v>105.24296209918947</v>
      </c>
      <c r="C140" s="9">
        <v>137.34805992530966</v>
      </c>
    </row>
    <row r="141" spans="1:3" x14ac:dyDescent="0.3">
      <c r="A141" s="2">
        <v>45861</v>
      </c>
      <c r="B141" s="4">
        <v>105.72946656342586</v>
      </c>
      <c r="C141" s="9">
        <v>139.6190503655213</v>
      </c>
    </row>
    <row r="142" spans="1:3" x14ac:dyDescent="0.3">
      <c r="A142" s="2">
        <v>45862</v>
      </c>
      <c r="B142" s="4">
        <v>105.13968082159543</v>
      </c>
      <c r="C142" s="9">
        <v>138.2708750883163</v>
      </c>
    </row>
    <row r="143" spans="1:3" x14ac:dyDescent="0.3">
      <c r="A143" s="2">
        <v>45863</v>
      </c>
      <c r="B143" s="4">
        <v>104.1041000383409</v>
      </c>
      <c r="C143" s="9">
        <v>131.75349299958185</v>
      </c>
    </row>
    <row r="144" spans="1:3" x14ac:dyDescent="0.3">
      <c r="A144" s="2">
        <v>45866</v>
      </c>
      <c r="B144" s="4">
        <v>103.41687212394406</v>
      </c>
      <c r="C144" s="9">
        <v>126.95917984802388</v>
      </c>
    </row>
    <row r="145" spans="1:3" x14ac:dyDescent="0.3">
      <c r="A145" s="2">
        <v>45867</v>
      </c>
      <c r="B145" s="4">
        <v>103.98757370726759</v>
      </c>
      <c r="C145" s="9">
        <v>127.83152855680359</v>
      </c>
    </row>
    <row r="146" spans="1:3" x14ac:dyDescent="0.3">
      <c r="A146" s="2">
        <v>45868</v>
      </c>
      <c r="B146" s="4">
        <v>103.95860109539321</v>
      </c>
      <c r="C146" s="9">
        <v>127.58640577912996</v>
      </c>
    </row>
    <row r="147" spans="1:3" x14ac:dyDescent="0.3">
      <c r="A147" s="2">
        <v>45869</v>
      </c>
      <c r="B147" s="4">
        <v>103.71246353465328</v>
      </c>
      <c r="C147" s="9">
        <v>127.06011275647775</v>
      </c>
    </row>
    <row r="148" spans="1:3" x14ac:dyDescent="0.3">
      <c r="A148" s="2">
        <v>45870</v>
      </c>
      <c r="B148" s="4">
        <v>102.63190476228424</v>
      </c>
      <c r="C148" s="9">
        <v>126.25264948884691</v>
      </c>
    </row>
    <row r="149" spans="1:3" x14ac:dyDescent="0.3">
      <c r="A149" s="2">
        <v>45873</v>
      </c>
      <c r="B149" s="4">
        <v>103.80304303010672</v>
      </c>
      <c r="C149" s="9">
        <v>127.65129122027885</v>
      </c>
    </row>
    <row r="150" spans="1:3" x14ac:dyDescent="0.3">
      <c r="A150" s="2">
        <v>45874</v>
      </c>
      <c r="B150" s="4">
        <v>103.8372457388701</v>
      </c>
      <c r="C150" s="9">
        <v>128.60294435712947</v>
      </c>
    </row>
    <row r="151" spans="1:3" x14ac:dyDescent="0.3">
      <c r="A151" s="2">
        <v>45875</v>
      </c>
      <c r="B151" s="4">
        <v>103.358289027822</v>
      </c>
      <c r="C151" s="9">
        <v>126.40404885152769</v>
      </c>
    </row>
    <row r="152" spans="1:3" x14ac:dyDescent="0.3">
      <c r="A152" s="2">
        <v>45876</v>
      </c>
      <c r="B152" s="4">
        <v>103.53999160730827</v>
      </c>
      <c r="C152" s="9">
        <v>126.75731403111618</v>
      </c>
    </row>
    <row r="153" spans="1:3" x14ac:dyDescent="0.3">
      <c r="A153" s="2">
        <v>45877</v>
      </c>
      <c r="B153" s="4">
        <v>102.66546838231689</v>
      </c>
      <c r="C153" s="9">
        <v>126.47614378613758</v>
      </c>
    </row>
    <row r="154" spans="1:3" x14ac:dyDescent="0.3">
      <c r="A154" s="2">
        <v>45880</v>
      </c>
      <c r="B154" s="4">
        <v>103.54501841004836</v>
      </c>
      <c r="C154" s="9">
        <v>126.56986720113044</v>
      </c>
    </row>
    <row r="155" spans="1:3" x14ac:dyDescent="0.3">
      <c r="A155" s="2">
        <v>45881</v>
      </c>
      <c r="B155" s="4">
        <v>103.35324945036508</v>
      </c>
      <c r="C155" s="9">
        <v>122.99395844447969</v>
      </c>
    </row>
    <row r="156" spans="1:3" x14ac:dyDescent="0.3">
      <c r="A156" s="2">
        <v>45882</v>
      </c>
      <c r="B156" s="4">
        <v>104.26312202875503</v>
      </c>
      <c r="C156" s="9">
        <v>124.00328752901821</v>
      </c>
    </row>
    <row r="157" spans="1:3" x14ac:dyDescent="0.3">
      <c r="A157" s="2">
        <v>45883</v>
      </c>
      <c r="B157" s="4">
        <v>104.15735366555126</v>
      </c>
      <c r="C157" s="9">
        <v>124.21236283938693</v>
      </c>
    </row>
    <row r="158" spans="1:3" x14ac:dyDescent="0.3">
      <c r="A158" s="2">
        <v>45887</v>
      </c>
      <c r="B158" s="4">
        <v>105.83030290256895</v>
      </c>
      <c r="C158" s="9">
        <v>130.52066961775267</v>
      </c>
    </row>
    <row r="159" spans="1:3" x14ac:dyDescent="0.3">
      <c r="A159" s="2">
        <v>45888</v>
      </c>
      <c r="B159" s="4">
        <v>106.23885582321873</v>
      </c>
      <c r="C159" s="9">
        <v>130.10251899701527</v>
      </c>
    </row>
    <row r="160" spans="1:3" x14ac:dyDescent="0.3">
      <c r="A160" s="2">
        <v>45889</v>
      </c>
      <c r="B160" s="4">
        <v>106.53685737010987</v>
      </c>
      <c r="C160" s="9">
        <v>128.01176589332835</v>
      </c>
    </row>
    <row r="161" spans="1:3" x14ac:dyDescent="0.3">
      <c r="A161" s="2">
        <v>45890</v>
      </c>
      <c r="B161" s="4">
        <v>104.84715593464706</v>
      </c>
      <c r="C161" s="9">
        <v>129.1364468732427</v>
      </c>
    </row>
    <row r="162" spans="1:3" x14ac:dyDescent="0.3">
      <c r="A162" s="2">
        <v>45891</v>
      </c>
      <c r="B162" s="4">
        <v>105.64142053748726</v>
      </c>
      <c r="C162" s="9">
        <v>128.97783801710091</v>
      </c>
    </row>
    <row r="163" spans="1:3" x14ac:dyDescent="0.3">
      <c r="A163" s="2">
        <v>45894</v>
      </c>
      <c r="B163" s="4">
        <v>106.06490416357373</v>
      </c>
      <c r="C163" s="9">
        <v>129.8862341931856</v>
      </c>
    </row>
    <row r="164" spans="1:3" x14ac:dyDescent="0.3">
      <c r="A164" s="2">
        <v>45895</v>
      </c>
      <c r="B164" s="4">
        <v>104.98483864873319</v>
      </c>
      <c r="C164" s="9">
        <v>126.34637290383979</v>
      </c>
    </row>
    <row r="165" spans="1:3" x14ac:dyDescent="0.3">
      <c r="A165" s="2">
        <v>45897</v>
      </c>
      <c r="B165" s="4">
        <v>104.28812853190421</v>
      </c>
      <c r="C165" s="9">
        <v>126.43288682537165</v>
      </c>
    </row>
    <row r="166" spans="1:3" x14ac:dyDescent="0.3">
      <c r="A166" s="2">
        <v>45898</v>
      </c>
      <c r="B166" s="4">
        <v>104.19498598453028</v>
      </c>
      <c r="C166" s="9">
        <v>126.57707669459144</v>
      </c>
    </row>
    <row r="167" spans="1:3" x14ac:dyDescent="0.3">
      <c r="A167" s="2">
        <v>45901</v>
      </c>
      <c r="B167" s="4">
        <v>105.44246625268502</v>
      </c>
      <c r="C167" s="9">
        <v>128.23526019061902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236C-2ABF-443A-841A-BBAF01971A0E}">
  <dimension ref="A1:BN946"/>
  <sheetViews>
    <sheetView topLeftCell="A3" workbookViewId="0">
      <pane ySplit="10" topLeftCell="A13" activePane="bottomLeft" state="frozen"/>
      <selection activeCell="A3" sqref="A3"/>
      <selection pane="bottomLeft" activeCell="D19" sqref="D19"/>
    </sheetView>
  </sheetViews>
  <sheetFormatPr defaultColWidth="12.6640625" defaultRowHeight="15" customHeight="1" x14ac:dyDescent="0.3"/>
  <cols>
    <col min="1" max="1" width="30.109375" bestFit="1" customWidth="1"/>
    <col min="2" max="2" width="13.44140625" bestFit="1" customWidth="1"/>
    <col min="3" max="4" width="12" bestFit="1" customWidth="1"/>
    <col min="5" max="50" width="8.6640625" customWidth="1"/>
    <col min="51" max="51" width="15.109375" customWidth="1"/>
  </cols>
  <sheetData>
    <row r="1" spans="1:52" ht="15" customHeight="1" x14ac:dyDescent="0.3">
      <c r="A1" s="16" t="s">
        <v>69</v>
      </c>
      <c r="B1" s="19">
        <v>1000000</v>
      </c>
      <c r="C1" s="36" t="s">
        <v>57</v>
      </c>
      <c r="D1" s="36"/>
      <c r="E1" s="17">
        <f>B1/50</f>
        <v>20000</v>
      </c>
      <c r="F1" s="17" t="s">
        <v>70</v>
      </c>
    </row>
    <row r="2" spans="1:52" ht="14.25" customHeight="1" x14ac:dyDescent="0.3">
      <c r="A2" s="17" t="s">
        <v>58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</row>
    <row r="3" spans="1:52" ht="14.25" customHeight="1" x14ac:dyDescent="0.3">
      <c r="A3" s="18" t="s">
        <v>67</v>
      </c>
      <c r="B3" s="1">
        <v>1221.25</v>
      </c>
      <c r="C3" s="1">
        <v>891.38</v>
      </c>
      <c r="D3" s="1">
        <v>1595.7</v>
      </c>
      <c r="E3" s="1">
        <v>4112.45</v>
      </c>
      <c r="F3" s="1">
        <v>1283.6500000000001</v>
      </c>
      <c r="G3" s="1">
        <v>793.2</v>
      </c>
      <c r="H3" s="1">
        <v>1882.5</v>
      </c>
      <c r="I3" s="1">
        <v>2322.1</v>
      </c>
      <c r="J3" s="1">
        <v>693.53</v>
      </c>
      <c r="K3" s="1">
        <v>457.82</v>
      </c>
      <c r="L3" s="1">
        <v>3667.5</v>
      </c>
      <c r="M3" s="1">
        <v>11208.3</v>
      </c>
      <c r="N3" s="1">
        <v>3082</v>
      </c>
      <c r="O3" s="1">
        <v>1788.4</v>
      </c>
      <c r="P3" s="1">
        <v>1911.95</v>
      </c>
      <c r="Q3" s="1">
        <v>1889.95</v>
      </c>
      <c r="R3" s="1">
        <v>11447</v>
      </c>
      <c r="S3" s="1">
        <v>1071.8</v>
      </c>
      <c r="T3" s="1">
        <v>1576.4</v>
      </c>
      <c r="U3" s="1">
        <v>3253.85</v>
      </c>
      <c r="V3" s="1">
        <v>333.65</v>
      </c>
      <c r="W3" s="1">
        <v>276.5</v>
      </c>
      <c r="X3" s="1">
        <v>1218.7</v>
      </c>
      <c r="Y3" s="1">
        <v>236.95</v>
      </c>
      <c r="Z3" s="1">
        <v>293.89999999999998</v>
      </c>
      <c r="AA3" s="1">
        <v>905.45</v>
      </c>
      <c r="AB3" s="1">
        <v>300.3</v>
      </c>
      <c r="AC3" s="1">
        <v>310.39999999999998</v>
      </c>
      <c r="AD3" s="1">
        <v>749.25</v>
      </c>
      <c r="AE3" s="1">
        <v>8740.5499999999993</v>
      </c>
      <c r="AF3" s="1">
        <v>2304.65</v>
      </c>
      <c r="AG3" s="1">
        <v>386.4</v>
      </c>
      <c r="AH3" s="1">
        <v>1084.6199999999999</v>
      </c>
      <c r="AI3" s="1">
        <v>136.74</v>
      </c>
      <c r="AJ3" s="1">
        <v>304.45</v>
      </c>
      <c r="AK3" s="1">
        <v>2442.15</v>
      </c>
      <c r="AL3" s="1">
        <v>4885.3</v>
      </c>
      <c r="AM3" s="1">
        <v>7068.05</v>
      </c>
      <c r="AN3" s="1">
        <v>1400.4</v>
      </c>
      <c r="AO3" s="1">
        <v>617.20000000000005</v>
      </c>
      <c r="AP3" s="1">
        <v>592.95000000000005</v>
      </c>
      <c r="AQ3" s="1">
        <v>1703.85</v>
      </c>
      <c r="AR3" s="1">
        <v>1529.1</v>
      </c>
      <c r="AS3" s="1">
        <v>7369.65</v>
      </c>
      <c r="AT3" s="1">
        <v>583.73</v>
      </c>
      <c r="AU3" s="1">
        <v>920.3</v>
      </c>
      <c r="AV3" s="1">
        <v>1369</v>
      </c>
      <c r="AW3" s="1">
        <v>4184.3500000000004</v>
      </c>
      <c r="AX3" s="1">
        <v>969.4</v>
      </c>
    </row>
    <row r="4" spans="1:52" ht="14.25" customHeight="1" x14ac:dyDescent="0.3">
      <c r="A4" s="17" t="s">
        <v>68</v>
      </c>
      <c r="B4" s="4">
        <f>$E$1/B3</f>
        <v>16.376663254861821</v>
      </c>
      <c r="C4" s="4">
        <f t="shared" ref="C4:AX4" si="0">$E$1/C3</f>
        <v>22.437119971280488</v>
      </c>
      <c r="D4" s="4">
        <f t="shared" si="0"/>
        <v>12.533684276493075</v>
      </c>
      <c r="E4" s="4">
        <f t="shared" si="0"/>
        <v>4.8632810125351069</v>
      </c>
      <c r="F4" s="4">
        <f t="shared" si="0"/>
        <v>15.580571027928173</v>
      </c>
      <c r="G4" s="4">
        <f t="shared" si="0"/>
        <v>25.214321734745333</v>
      </c>
      <c r="H4" s="4">
        <f t="shared" si="0"/>
        <v>10.624169986719787</v>
      </c>
      <c r="I4" s="4">
        <f t="shared" si="0"/>
        <v>8.612893501571854</v>
      </c>
      <c r="J4" s="4">
        <f t="shared" si="0"/>
        <v>28.837973843957723</v>
      </c>
      <c r="K4" s="4">
        <f t="shared" si="0"/>
        <v>43.685291162465596</v>
      </c>
      <c r="L4" s="4">
        <f t="shared" si="0"/>
        <v>5.4533060668029991</v>
      </c>
      <c r="M4" s="4">
        <f t="shared" si="0"/>
        <v>1.7843919238421528</v>
      </c>
      <c r="N4" s="4">
        <f t="shared" si="0"/>
        <v>6.4892926670992859</v>
      </c>
      <c r="O4" s="4">
        <f t="shared" si="0"/>
        <v>11.183180496533213</v>
      </c>
      <c r="P4" s="4">
        <f t="shared" si="0"/>
        <v>10.460524595308454</v>
      </c>
      <c r="Q4" s="4">
        <f t="shared" si="0"/>
        <v>10.582290536786687</v>
      </c>
      <c r="R4" s="4">
        <f t="shared" si="0"/>
        <v>1.7471826679479339</v>
      </c>
      <c r="S4" s="4">
        <f t="shared" si="0"/>
        <v>18.660197798096661</v>
      </c>
      <c r="T4" s="4">
        <f t="shared" si="0"/>
        <v>12.687135244861709</v>
      </c>
      <c r="U4" s="4">
        <f t="shared" si="0"/>
        <v>6.1465648385758413</v>
      </c>
      <c r="V4" s="4">
        <f t="shared" si="0"/>
        <v>59.943054098606325</v>
      </c>
      <c r="W4" s="4">
        <f t="shared" si="0"/>
        <v>72.332730560578668</v>
      </c>
      <c r="X4" s="4">
        <f t="shared" si="0"/>
        <v>16.410929679166323</v>
      </c>
      <c r="Y4" s="4">
        <f t="shared" si="0"/>
        <v>84.405992825490614</v>
      </c>
      <c r="Z4" s="4">
        <f t="shared" si="0"/>
        <v>68.050357264375648</v>
      </c>
      <c r="AA4" s="4">
        <f t="shared" si="0"/>
        <v>22.088464299519575</v>
      </c>
      <c r="AB4" s="4">
        <f t="shared" si="0"/>
        <v>66.600066600066597</v>
      </c>
      <c r="AC4" s="4">
        <f t="shared" si="0"/>
        <v>64.432989690721655</v>
      </c>
      <c r="AD4" s="4">
        <f t="shared" si="0"/>
        <v>26.693360026693359</v>
      </c>
      <c r="AE4" s="4">
        <f t="shared" si="0"/>
        <v>2.2881855260824548</v>
      </c>
      <c r="AF4" s="4">
        <f t="shared" si="0"/>
        <v>8.6781073047968231</v>
      </c>
      <c r="AG4" s="4">
        <f t="shared" si="0"/>
        <v>51.759834368530022</v>
      </c>
      <c r="AH4" s="4">
        <f t="shared" si="0"/>
        <v>18.439637845512717</v>
      </c>
      <c r="AI4" s="4">
        <f t="shared" si="0"/>
        <v>146.2629808395495</v>
      </c>
      <c r="AJ4" s="4">
        <f t="shared" si="0"/>
        <v>65.692231893578594</v>
      </c>
      <c r="AK4" s="4">
        <f t="shared" si="0"/>
        <v>8.189505149151362</v>
      </c>
      <c r="AL4" s="4">
        <f t="shared" si="0"/>
        <v>4.093914396249974</v>
      </c>
      <c r="AM4" s="4">
        <f t="shared" si="0"/>
        <v>2.8296347648927216</v>
      </c>
      <c r="AN4" s="4">
        <f t="shared" si="0"/>
        <v>14.281633818908881</v>
      </c>
      <c r="AO4" s="4">
        <f t="shared" si="0"/>
        <v>32.404406999351906</v>
      </c>
      <c r="AP4" s="4">
        <f t="shared" si="0"/>
        <v>33.729656800742049</v>
      </c>
      <c r="AQ4" s="4">
        <f t="shared" si="0"/>
        <v>11.738122487308155</v>
      </c>
      <c r="AR4" s="4">
        <f t="shared" si="0"/>
        <v>13.079589300895952</v>
      </c>
      <c r="AS4" s="4">
        <f t="shared" si="0"/>
        <v>2.7138330856960642</v>
      </c>
      <c r="AT4" s="4">
        <f t="shared" si="0"/>
        <v>34.262415842941081</v>
      </c>
      <c r="AU4" s="4">
        <f t="shared" si="0"/>
        <v>21.732043898728676</v>
      </c>
      <c r="AV4" s="4">
        <f t="shared" si="0"/>
        <v>14.609203798392988</v>
      </c>
      <c r="AW4" s="4">
        <f t="shared" si="0"/>
        <v>4.7797148900068107</v>
      </c>
      <c r="AX4" s="4">
        <f t="shared" si="0"/>
        <v>20.631318341242007</v>
      </c>
    </row>
    <row r="5" spans="1:52" ht="14.25" customHeight="1" x14ac:dyDescent="0.3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2" ht="14.25" customHeight="1" x14ac:dyDescent="0.3"/>
    <row r="7" spans="1:52" ht="14.25" customHeight="1" x14ac:dyDescent="0.3">
      <c r="A7" s="30" t="s">
        <v>3</v>
      </c>
      <c r="B7" s="28">
        <f t="shared" ref="B7:AG7" si="1">AVERAGE(B13:B178)</f>
        <v>22020.806254701514</v>
      </c>
      <c r="C7" s="28">
        <f t="shared" si="1"/>
        <v>20832.219812409465</v>
      </c>
      <c r="D7" s="28">
        <f t="shared" si="1"/>
        <v>22477.56961291303</v>
      </c>
      <c r="E7" s="28">
        <f t="shared" si="1"/>
        <v>17171.773575597006</v>
      </c>
      <c r="F7" s="28">
        <f t="shared" si="1"/>
        <v>21227.129528514077</v>
      </c>
      <c r="G7" s="28">
        <f t="shared" si="1"/>
        <v>19696.228180498081</v>
      </c>
      <c r="H7" s="28">
        <f t="shared" si="1"/>
        <v>17343.743099889594</v>
      </c>
      <c r="I7" s="28">
        <f t="shared" si="1"/>
        <v>20423.422296913432</v>
      </c>
      <c r="J7" s="28">
        <f t="shared" si="1"/>
        <v>25135.612309228552</v>
      </c>
      <c r="K7" s="28">
        <f t="shared" si="1"/>
        <v>18387.525901956527</v>
      </c>
      <c r="L7" s="28">
        <f t="shared" si="1"/>
        <v>18937.761680669522</v>
      </c>
      <c r="M7" s="28">
        <f t="shared" si="1"/>
        <v>22112.839355602337</v>
      </c>
      <c r="N7" s="28">
        <f t="shared" si="1"/>
        <v>19495.275716754102</v>
      </c>
      <c r="O7" s="28">
        <f t="shared" si="1"/>
        <v>22785.780788104334</v>
      </c>
      <c r="P7" s="28">
        <f t="shared" si="1"/>
        <v>17027.916052399658</v>
      </c>
      <c r="Q7" s="28">
        <f t="shared" si="1"/>
        <v>17950.768124483431</v>
      </c>
      <c r="R7" s="28">
        <f t="shared" si="1"/>
        <v>20299.853384008653</v>
      </c>
      <c r="S7" s="28">
        <f t="shared" si="1"/>
        <v>20573.340197888025</v>
      </c>
      <c r="T7" s="28">
        <f t="shared" si="1"/>
        <v>24368.944950061599</v>
      </c>
      <c r="U7" s="28">
        <f t="shared" si="1"/>
        <v>20829.658508336099</v>
      </c>
      <c r="V7" s="28">
        <f t="shared" si="1"/>
        <v>20091.539543457817</v>
      </c>
      <c r="W7" s="28">
        <f t="shared" si="1"/>
        <v>17949.493453016406</v>
      </c>
      <c r="X7" s="28">
        <f t="shared" si="1"/>
        <v>20853.422716878842</v>
      </c>
      <c r="Y7" s="28">
        <f t="shared" si="1"/>
        <v>20515.090113566734</v>
      </c>
      <c r="Z7" s="28">
        <f t="shared" si="1"/>
        <v>22711.413192750591</v>
      </c>
      <c r="AA7" s="28">
        <f t="shared" si="1"/>
        <v>22079.8018957491</v>
      </c>
      <c r="AB7" s="28">
        <f t="shared" si="1"/>
        <v>17844.199976730102</v>
      </c>
      <c r="AC7" s="28">
        <f t="shared" si="1"/>
        <v>18684.247298472248</v>
      </c>
      <c r="AD7" s="28">
        <f t="shared" si="1"/>
        <v>18395.222531768715</v>
      </c>
      <c r="AE7" s="28">
        <f t="shared" si="1"/>
        <v>19059.81971717062</v>
      </c>
      <c r="AF7" s="28">
        <f t="shared" si="1"/>
        <v>20294.789031813343</v>
      </c>
      <c r="AG7" s="28">
        <f t="shared" si="1"/>
        <v>19936.828057571904</v>
      </c>
      <c r="AH7" s="28">
        <f t="shared" ref="AH7:AX7" si="2">AVERAGE(AH13:AH178)</f>
        <v>21266.45876530408</v>
      </c>
      <c r="AI7" s="28">
        <f t="shared" si="2"/>
        <v>21713.699907131817</v>
      </c>
      <c r="AJ7" s="28">
        <f t="shared" si="2"/>
        <v>18006.537564282426</v>
      </c>
      <c r="AK7" s="28">
        <f t="shared" si="2"/>
        <v>21441.372639998001</v>
      </c>
      <c r="AL7" s="28">
        <f t="shared" si="2"/>
        <v>22048.478851849381</v>
      </c>
      <c r="AM7" s="28">
        <f t="shared" si="2"/>
        <v>15550.914973481127</v>
      </c>
      <c r="AN7" s="28">
        <f t="shared" si="2"/>
        <v>23642.827522601106</v>
      </c>
      <c r="AO7" s="28">
        <f t="shared" si="2"/>
        <v>22926.55716840141</v>
      </c>
      <c r="AP7" s="28">
        <f t="shared" si="2"/>
        <v>21853.94245842463</v>
      </c>
      <c r="AQ7" s="28">
        <f t="shared" si="2"/>
        <v>18287.47156952486</v>
      </c>
      <c r="AR7" s="28">
        <f t="shared" si="2"/>
        <v>19488.288646049772</v>
      </c>
      <c r="AS7" s="28">
        <f t="shared" si="2"/>
        <v>18907.750846254094</v>
      </c>
      <c r="AT7" s="28">
        <f t="shared" si="2"/>
        <v>21426.170995461463</v>
      </c>
      <c r="AU7" s="28">
        <f t="shared" si="2"/>
        <v>22930.978504913928</v>
      </c>
      <c r="AV7" s="28">
        <f t="shared" si="2"/>
        <v>18009.042745122195</v>
      </c>
      <c r="AW7" s="28">
        <f t="shared" si="2"/>
        <v>19840.049432617605</v>
      </c>
      <c r="AX7" s="28">
        <f t="shared" si="2"/>
        <v>17557.612335042661</v>
      </c>
      <c r="AZ7" t="s">
        <v>84</v>
      </c>
    </row>
    <row r="8" spans="1:52" ht="14.25" customHeight="1" x14ac:dyDescent="0.3">
      <c r="A8" s="30" t="s">
        <v>83</v>
      </c>
      <c r="B8" s="29">
        <f t="shared" ref="B8:AG8" si="3">STDEV(B13:B178)</f>
        <v>1666.0547031586634</v>
      </c>
      <c r="C8" s="29">
        <f t="shared" si="3"/>
        <v>1441.2414696201226</v>
      </c>
      <c r="D8" s="29">
        <f t="shared" si="3"/>
        <v>1650.8458747325167</v>
      </c>
      <c r="E8" s="29">
        <f t="shared" si="3"/>
        <v>1666.6096833379102</v>
      </c>
      <c r="F8" s="29">
        <f t="shared" si="3"/>
        <v>1424.5080608785552</v>
      </c>
      <c r="G8" s="29">
        <f t="shared" si="3"/>
        <v>847.27312089192685</v>
      </c>
      <c r="H8" s="29">
        <f t="shared" si="3"/>
        <v>1668.5609660451316</v>
      </c>
      <c r="I8" s="29">
        <f t="shared" si="3"/>
        <v>959.09521874228153</v>
      </c>
      <c r="J8" s="29">
        <f t="shared" si="3"/>
        <v>1830.167326676212</v>
      </c>
      <c r="K8" s="29">
        <f t="shared" si="3"/>
        <v>631.24231924696653</v>
      </c>
      <c r="L8" s="29">
        <f t="shared" si="3"/>
        <v>903.65659103982523</v>
      </c>
      <c r="M8" s="29">
        <f t="shared" si="3"/>
        <v>1236.0664806464329</v>
      </c>
      <c r="N8" s="29">
        <f t="shared" si="3"/>
        <v>1402.4815713232213</v>
      </c>
      <c r="O8" s="29">
        <f t="shared" si="3"/>
        <v>1403.0923016566892</v>
      </c>
      <c r="P8" s="29">
        <f t="shared" si="3"/>
        <v>1358.7726961105673</v>
      </c>
      <c r="Q8" s="29">
        <f t="shared" si="3"/>
        <v>1496.6005725268471</v>
      </c>
      <c r="R8" s="29">
        <f t="shared" si="3"/>
        <v>1118.5058577110092</v>
      </c>
      <c r="S8" s="29">
        <f t="shared" si="3"/>
        <v>1505.3048663683628</v>
      </c>
      <c r="T8" s="29">
        <f t="shared" si="3"/>
        <v>1476.4981569525112</v>
      </c>
      <c r="U8" s="29">
        <f t="shared" si="3"/>
        <v>1128.2887286635048</v>
      </c>
      <c r="V8" s="29">
        <f t="shared" si="3"/>
        <v>845.26183451825966</v>
      </c>
      <c r="W8" s="29">
        <f t="shared" si="3"/>
        <v>2407.0156142599039</v>
      </c>
      <c r="X8" s="29">
        <f t="shared" si="3"/>
        <v>2203.2594362172604</v>
      </c>
      <c r="Y8" s="29">
        <f t="shared" si="3"/>
        <v>841.0661233450968</v>
      </c>
      <c r="Z8" s="29">
        <f t="shared" si="3"/>
        <v>3942.4592596801253</v>
      </c>
      <c r="AA8" s="29">
        <f t="shared" si="3"/>
        <v>1059.7466539568352</v>
      </c>
      <c r="AB8" s="29">
        <f t="shared" si="3"/>
        <v>1615.3073018426139</v>
      </c>
      <c r="AC8" s="29">
        <f t="shared" si="3"/>
        <v>933.09276326819611</v>
      </c>
      <c r="AD8" s="29">
        <f t="shared" si="3"/>
        <v>1104.3971833545334</v>
      </c>
      <c r="AE8" s="29">
        <f t="shared" si="3"/>
        <v>926.93037488475852</v>
      </c>
      <c r="AF8" s="29">
        <f t="shared" si="3"/>
        <v>838.26682497489264</v>
      </c>
      <c r="AG8" s="29">
        <f t="shared" si="3"/>
        <v>601.16668501289166</v>
      </c>
      <c r="AH8" s="29">
        <f t="shared" ref="AH8:AX8" si="4">STDEV(AH13:AH178)</f>
        <v>849.65047504052779</v>
      </c>
      <c r="AI8" s="29">
        <f t="shared" si="4"/>
        <v>1759.1318924961813</v>
      </c>
      <c r="AJ8" s="29">
        <f t="shared" si="4"/>
        <v>2562.4219281848682</v>
      </c>
      <c r="AK8" s="29">
        <f t="shared" si="4"/>
        <v>1298.8538391085876</v>
      </c>
      <c r="AL8" s="29">
        <f t="shared" si="4"/>
        <v>1247.9578552777109</v>
      </c>
      <c r="AM8" s="29">
        <f t="shared" si="4"/>
        <v>1361.796316477345</v>
      </c>
      <c r="AN8" s="29">
        <f t="shared" si="4"/>
        <v>2405.8455635269652</v>
      </c>
      <c r="AO8" s="29">
        <f t="shared" si="4"/>
        <v>2161.4344413075382</v>
      </c>
      <c r="AP8" s="29">
        <f t="shared" si="4"/>
        <v>1366.7328960995471</v>
      </c>
      <c r="AQ8" s="29">
        <f t="shared" si="4"/>
        <v>1299.9770698372067</v>
      </c>
      <c r="AR8" s="29">
        <f t="shared" si="4"/>
        <v>558.47017299271158</v>
      </c>
      <c r="AS8" s="29">
        <f t="shared" si="4"/>
        <v>1171.7663115663634</v>
      </c>
      <c r="AT8" s="29">
        <f t="shared" si="4"/>
        <v>1713.6334841480545</v>
      </c>
      <c r="AU8" s="29">
        <f t="shared" si="4"/>
        <v>1464.1481321062734</v>
      </c>
      <c r="AV8" s="29">
        <f t="shared" si="4"/>
        <v>1030.8845951820856</v>
      </c>
      <c r="AW8" s="29">
        <f t="shared" si="4"/>
        <v>1792.530644280527</v>
      </c>
      <c r="AX8" s="29">
        <f t="shared" si="4"/>
        <v>2262.7875117170997</v>
      </c>
      <c r="AZ8" t="s">
        <v>84</v>
      </c>
    </row>
    <row r="9" spans="1:52" ht="14.25" customHeight="1" x14ac:dyDescent="0.3">
      <c r="A9" s="30" t="s">
        <v>56</v>
      </c>
      <c r="B9" s="29">
        <f>(B8/B7)*100</f>
        <v>7.5658206329432431</v>
      </c>
      <c r="C9" s="29">
        <f t="shared" ref="C9:AX9" si="5">(C8/C7)*100</f>
        <v>6.9183288319643932</v>
      </c>
      <c r="D9" s="29">
        <f t="shared" si="5"/>
        <v>7.3444144681199433</v>
      </c>
      <c r="E9" s="29">
        <f t="shared" si="5"/>
        <v>9.7055186291668054</v>
      </c>
      <c r="F9" s="29">
        <f t="shared" si="5"/>
        <v>6.7107898831306203</v>
      </c>
      <c r="G9" s="29">
        <f t="shared" si="5"/>
        <v>4.3017024027516158</v>
      </c>
      <c r="H9" s="29">
        <f t="shared" si="5"/>
        <v>9.6205355235903678</v>
      </c>
      <c r="I9" s="29">
        <f t="shared" si="5"/>
        <v>4.6960553662312927</v>
      </c>
      <c r="J9" s="29">
        <f t="shared" si="5"/>
        <v>7.2811726412738516</v>
      </c>
      <c r="K9" s="29">
        <f t="shared" si="5"/>
        <v>3.4329921415898546</v>
      </c>
      <c r="L9" s="29">
        <f t="shared" si="5"/>
        <v>4.7717180429101145</v>
      </c>
      <c r="M9" s="29">
        <f t="shared" si="5"/>
        <v>5.5898135050362621</v>
      </c>
      <c r="N9" s="29">
        <f t="shared" si="5"/>
        <v>7.1939560727419636</v>
      </c>
      <c r="O9" s="29">
        <f t="shared" si="5"/>
        <v>6.1577538847788578</v>
      </c>
      <c r="P9" s="29">
        <f t="shared" si="5"/>
        <v>7.9796769723860734</v>
      </c>
      <c r="Q9" s="29">
        <f t="shared" si="5"/>
        <v>8.3372508749951599</v>
      </c>
      <c r="R9" s="29">
        <f t="shared" si="5"/>
        <v>5.5099208676655751</v>
      </c>
      <c r="S9" s="29">
        <f t="shared" si="5"/>
        <v>7.3167742908508915</v>
      </c>
      <c r="T9" s="29">
        <f t="shared" si="5"/>
        <v>6.0589334498405476</v>
      </c>
      <c r="U9" s="29">
        <f t="shared" si="5"/>
        <v>5.4167413652603091</v>
      </c>
      <c r="V9" s="29">
        <f t="shared" si="5"/>
        <v>4.2070535843705059</v>
      </c>
      <c r="W9" s="29">
        <f t="shared" si="5"/>
        <v>13.409936166501712</v>
      </c>
      <c r="X9" s="29">
        <f t="shared" si="5"/>
        <v>10.565457124858133</v>
      </c>
      <c r="Y9" s="29">
        <f t="shared" si="5"/>
        <v>4.0997437432112251</v>
      </c>
      <c r="Z9" s="29">
        <f t="shared" si="5"/>
        <v>17.35893414566798</v>
      </c>
      <c r="AA9" s="29">
        <f t="shared" si="5"/>
        <v>4.7996202998581348</v>
      </c>
      <c r="AB9" s="29">
        <f t="shared" si="5"/>
        <v>9.052281996105572</v>
      </c>
      <c r="AC9" s="29">
        <f t="shared" si="5"/>
        <v>4.99400777758113</v>
      </c>
      <c r="AD9" s="29">
        <f t="shared" si="5"/>
        <v>6.0037174404779803</v>
      </c>
      <c r="AE9" s="29">
        <f t="shared" si="5"/>
        <v>4.8632693731604659</v>
      </c>
      <c r="AF9" s="29">
        <f t="shared" si="5"/>
        <v>4.1304535053843487</v>
      </c>
      <c r="AG9" s="29">
        <f t="shared" si="5"/>
        <v>3.0153577252955825</v>
      </c>
      <c r="AH9" s="29">
        <f t="shared" si="5"/>
        <v>3.9952607268433438</v>
      </c>
      <c r="AI9" s="29">
        <f t="shared" si="5"/>
        <v>8.1014838559060962</v>
      </c>
      <c r="AJ9" s="29">
        <f t="shared" si="5"/>
        <v>14.230508886215087</v>
      </c>
      <c r="AK9" s="29">
        <f t="shared" si="5"/>
        <v>6.0576991077783378</v>
      </c>
      <c r="AL9" s="29">
        <f t="shared" si="5"/>
        <v>5.6600632799347732</v>
      </c>
      <c r="AM9" s="29">
        <f t="shared" si="5"/>
        <v>8.7570173124835886</v>
      </c>
      <c r="AN9" s="29">
        <f t="shared" si="5"/>
        <v>10.175794588135124</v>
      </c>
      <c r="AO9" s="29">
        <f t="shared" si="5"/>
        <v>9.4276450905002918</v>
      </c>
      <c r="AP9" s="29">
        <f t="shared" si="5"/>
        <v>6.253942045924421</v>
      </c>
      <c r="AQ9" s="29">
        <f t="shared" si="5"/>
        <v>7.1085664570686324</v>
      </c>
      <c r="AR9" s="29">
        <f t="shared" si="5"/>
        <v>2.8656706760442616</v>
      </c>
      <c r="AS9" s="29">
        <f t="shared" si="5"/>
        <v>6.1972802640273192</v>
      </c>
      <c r="AT9" s="29">
        <f t="shared" si="5"/>
        <v>7.9978521804527745</v>
      </c>
      <c r="AU9" s="29">
        <f t="shared" si="5"/>
        <v>6.3850224786199936</v>
      </c>
      <c r="AV9" s="29">
        <f t="shared" si="5"/>
        <v>5.7242609158740763</v>
      </c>
      <c r="AW9" s="29">
        <f t="shared" si="5"/>
        <v>9.0349101718141664</v>
      </c>
      <c r="AX9" s="29">
        <f t="shared" si="5"/>
        <v>12.887786041390587</v>
      </c>
      <c r="AZ9" t="s">
        <v>84</v>
      </c>
    </row>
    <row r="10" spans="1:52" ht="14.25" customHeight="1" x14ac:dyDescent="0.3">
      <c r="A10" s="30" t="s">
        <v>79</v>
      </c>
      <c r="B10" s="29">
        <f t="shared" ref="B10:AG10" si="6">CORREL(B13:B178,$AZ$13:$AZ$178)</f>
        <v>0.92579131766396705</v>
      </c>
      <c r="C10" s="29">
        <f t="shared" si="6"/>
        <v>0.87530475259818963</v>
      </c>
      <c r="D10" s="29">
        <f t="shared" si="6"/>
        <v>0.86884479462983211</v>
      </c>
      <c r="E10" s="29">
        <f t="shared" si="6"/>
        <v>-0.50561027525523738</v>
      </c>
      <c r="F10" s="29">
        <f t="shared" si="6"/>
        <v>0.86394718682485727</v>
      </c>
      <c r="G10" s="29">
        <f t="shared" si="6"/>
        <v>0.89908835797268571</v>
      </c>
      <c r="H10" s="29">
        <f t="shared" si="6"/>
        <v>-0.394040105661905</v>
      </c>
      <c r="I10" s="29">
        <f t="shared" si="6"/>
        <v>0.57675057761321136</v>
      </c>
      <c r="J10" s="29">
        <f t="shared" si="6"/>
        <v>0.59554536311421524</v>
      </c>
      <c r="K10" s="29">
        <f t="shared" si="6"/>
        <v>6.3028935631135305E-2</v>
      </c>
      <c r="L10" s="29">
        <f t="shared" si="6"/>
        <v>0.7789714556662346</v>
      </c>
      <c r="M10" s="29">
        <f t="shared" si="6"/>
        <v>0.56079909061067845</v>
      </c>
      <c r="N10" s="29">
        <f t="shared" si="6"/>
        <v>0.8143965633855379</v>
      </c>
      <c r="O10" s="29">
        <f t="shared" si="6"/>
        <v>0.50417266950636708</v>
      </c>
      <c r="P10" s="29">
        <f t="shared" si="6"/>
        <v>-3.4416219477116899E-2</v>
      </c>
      <c r="Q10" s="29">
        <f t="shared" si="6"/>
        <v>-0.13138008775606505</v>
      </c>
      <c r="R10" s="29">
        <f t="shared" si="6"/>
        <v>0.76870171330795078</v>
      </c>
      <c r="S10" s="29">
        <f t="shared" si="6"/>
        <v>0.68879110749726713</v>
      </c>
      <c r="T10" s="29">
        <f t="shared" si="6"/>
        <v>0.64160697887243179</v>
      </c>
      <c r="U10" s="29">
        <f t="shared" si="6"/>
        <v>0.82539404894438462</v>
      </c>
      <c r="V10" s="29">
        <f t="shared" si="6"/>
        <v>0.28653950421086932</v>
      </c>
      <c r="W10" s="29">
        <f t="shared" si="6"/>
        <v>0.68405622314515713</v>
      </c>
      <c r="X10" s="29">
        <f t="shared" si="6"/>
        <v>0.91342944666624781</v>
      </c>
      <c r="Y10" s="29">
        <f t="shared" si="6"/>
        <v>0.19731975314636266</v>
      </c>
      <c r="Z10" s="29">
        <f t="shared" si="6"/>
        <v>0.91909156621214794</v>
      </c>
      <c r="AA10" s="29">
        <f t="shared" si="6"/>
        <v>0.50176958515354753</v>
      </c>
      <c r="AB10" s="29">
        <f t="shared" si="6"/>
        <v>-0.478613585563396</v>
      </c>
      <c r="AC10" s="29">
        <f t="shared" si="6"/>
        <v>0.4827062914926929</v>
      </c>
      <c r="AD10" s="29">
        <f t="shared" si="6"/>
        <v>0.17888922897458148</v>
      </c>
      <c r="AE10" s="29">
        <f t="shared" si="6"/>
        <v>0.41765289520166349</v>
      </c>
      <c r="AF10" s="29">
        <f t="shared" si="6"/>
        <v>0.52561724280605326</v>
      </c>
      <c r="AG10" s="29">
        <f t="shared" si="6"/>
        <v>0.45183288011026151</v>
      </c>
      <c r="AH10" s="29">
        <f t="shared" ref="AH10:AX10" si="7">CORREL(AH13:AH178,$AZ$13:$AZ$178)</f>
        <v>0.71220434173441427</v>
      </c>
      <c r="AI10" s="29">
        <f t="shared" si="7"/>
        <v>0.70570336201797201</v>
      </c>
      <c r="AJ10" s="29">
        <f t="shared" si="7"/>
        <v>0.88555429894493909</v>
      </c>
      <c r="AK10" s="29">
        <f t="shared" si="7"/>
        <v>0.8354057447347536</v>
      </c>
      <c r="AL10" s="29">
        <f t="shared" si="7"/>
        <v>0.77068721039182864</v>
      </c>
      <c r="AM10" s="29">
        <f t="shared" si="7"/>
        <v>0.28205483132253961</v>
      </c>
      <c r="AN10" s="29">
        <f t="shared" si="7"/>
        <v>0.91176840139092696</v>
      </c>
      <c r="AO10" s="29">
        <f t="shared" si="7"/>
        <v>0.8834108578370633</v>
      </c>
      <c r="AP10" s="29">
        <f t="shared" si="7"/>
        <v>0.50397489062412515</v>
      </c>
      <c r="AQ10" s="29">
        <f t="shared" si="7"/>
        <v>0.215477730193506</v>
      </c>
      <c r="AR10" s="29">
        <f t="shared" si="7"/>
        <v>0.62115058475815377</v>
      </c>
      <c r="AS10" s="29">
        <f t="shared" si="7"/>
        <v>0.81841782942938679</v>
      </c>
      <c r="AT10" s="29">
        <f t="shared" si="7"/>
        <v>0.50893535186666528</v>
      </c>
      <c r="AU10" s="29">
        <f t="shared" si="7"/>
        <v>0.67069642014769371</v>
      </c>
      <c r="AV10" s="29">
        <f t="shared" si="7"/>
        <v>0.61565268900544223</v>
      </c>
      <c r="AW10" s="29">
        <f t="shared" si="7"/>
        <v>0.74923998054180774</v>
      </c>
      <c r="AX10" s="29">
        <f t="shared" si="7"/>
        <v>-0.22251051560486199</v>
      </c>
      <c r="AZ10" t="s">
        <v>84</v>
      </c>
    </row>
    <row r="11" spans="1:52" ht="14.25" customHeight="1" x14ac:dyDescent="0.3">
      <c r="A11" s="3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</row>
    <row r="12" spans="1:52" ht="14.25" customHeight="1" x14ac:dyDescent="0.3">
      <c r="A12" s="13" t="s">
        <v>0</v>
      </c>
      <c r="B12" s="13" t="s">
        <v>7</v>
      </c>
      <c r="C12" s="13" t="s">
        <v>8</v>
      </c>
      <c r="D12" s="13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3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13" t="s">
        <v>19</v>
      </c>
      <c r="O12" s="13" t="s">
        <v>20</v>
      </c>
      <c r="P12" s="13" t="s">
        <v>21</v>
      </c>
      <c r="Q12" s="13" t="s">
        <v>22</v>
      </c>
      <c r="R12" s="13" t="s">
        <v>23</v>
      </c>
      <c r="S12" s="13" t="s">
        <v>24</v>
      </c>
      <c r="T12" s="13" t="s">
        <v>25</v>
      </c>
      <c r="U12" s="13" t="s">
        <v>26</v>
      </c>
      <c r="V12" s="13" t="s">
        <v>27</v>
      </c>
      <c r="W12" s="13" t="s">
        <v>28</v>
      </c>
      <c r="X12" s="13" t="s">
        <v>29</v>
      </c>
      <c r="Y12" s="13" t="s">
        <v>30</v>
      </c>
      <c r="Z12" s="13" t="s">
        <v>31</v>
      </c>
      <c r="AA12" s="13" t="s">
        <v>32</v>
      </c>
      <c r="AB12" s="13" t="s">
        <v>33</v>
      </c>
      <c r="AC12" s="13" t="s">
        <v>34</v>
      </c>
      <c r="AD12" s="13" t="s">
        <v>35</v>
      </c>
      <c r="AE12" s="13" t="s">
        <v>36</v>
      </c>
      <c r="AF12" s="13" t="s">
        <v>37</v>
      </c>
      <c r="AG12" s="13" t="s">
        <v>38</v>
      </c>
      <c r="AH12" s="13" t="s">
        <v>39</v>
      </c>
      <c r="AI12" s="13" t="s">
        <v>40</v>
      </c>
      <c r="AJ12" s="13" t="s">
        <v>41</v>
      </c>
      <c r="AK12" s="13" t="s">
        <v>42</v>
      </c>
      <c r="AL12" s="13" t="s">
        <v>43</v>
      </c>
      <c r="AM12" s="13" t="s">
        <v>44</v>
      </c>
      <c r="AN12" s="13" t="s">
        <v>45</v>
      </c>
      <c r="AO12" s="13" t="s">
        <v>46</v>
      </c>
      <c r="AP12" s="13" t="s">
        <v>47</v>
      </c>
      <c r="AQ12" s="13" t="s">
        <v>48</v>
      </c>
      <c r="AR12" s="13" t="s">
        <v>49</v>
      </c>
      <c r="AS12" s="13" t="s">
        <v>50</v>
      </c>
      <c r="AT12" s="13" t="s">
        <v>51</v>
      </c>
      <c r="AU12" s="13" t="s">
        <v>52</v>
      </c>
      <c r="AV12" s="13" t="s">
        <v>53</v>
      </c>
      <c r="AW12" s="13" t="s">
        <v>54</v>
      </c>
      <c r="AX12" s="13" t="s">
        <v>55</v>
      </c>
      <c r="AY12" s="20" t="s">
        <v>71</v>
      </c>
      <c r="AZ12" s="10" t="s">
        <v>72</v>
      </c>
    </row>
    <row r="13" spans="1:52" ht="14.25" customHeight="1" x14ac:dyDescent="0.3">
      <c r="A13" s="2">
        <v>45658</v>
      </c>
      <c r="B13" s="4">
        <f>$B$4*'NIFTY MEMBS'!C2</f>
        <v>20000</v>
      </c>
      <c r="C13" s="4">
        <f>$C$4*'NIFTY MEMBS'!D2</f>
        <v>20000</v>
      </c>
      <c r="D13" s="4">
        <f>$D$4*'NIFTY MEMBS'!E2</f>
        <v>20000</v>
      </c>
      <c r="E13" s="4">
        <f>$E$4*'NIFTY MEMBS'!F2</f>
        <v>20000</v>
      </c>
      <c r="F13" s="4">
        <f>$F$4*'NIFTY MEMBS'!G2</f>
        <v>20000</v>
      </c>
      <c r="G13" s="4">
        <f>$G$4*'NIFTY MEMBS'!H2</f>
        <v>20000</v>
      </c>
      <c r="H13" s="4">
        <f>$H$4*'NIFTY MEMBS'!I2</f>
        <v>20000</v>
      </c>
      <c r="I13" s="4">
        <f>$I$4*'NIFTY MEMBS'!J2</f>
        <v>20000</v>
      </c>
      <c r="J13" s="4">
        <f>$J$4*'NIFTY MEMBS'!K2</f>
        <v>20000</v>
      </c>
      <c r="K13" s="4">
        <f>$K$4*'NIFTY MEMBS'!L2</f>
        <v>20000</v>
      </c>
      <c r="L13" s="4">
        <f>$L$4*'NIFTY MEMBS'!M2</f>
        <v>20000</v>
      </c>
      <c r="M13" s="4">
        <f>$M$4*'NIFTY MEMBS'!N2</f>
        <v>20000</v>
      </c>
      <c r="N13" s="4">
        <f>$N$4*'NIFTY MEMBS'!O2</f>
        <v>20000</v>
      </c>
      <c r="O13" s="4">
        <f>$O$4*'NIFTY MEMBS'!P2</f>
        <v>20000</v>
      </c>
      <c r="P13" s="4">
        <f>$P$4*'NIFTY MEMBS'!Q2</f>
        <v>20000</v>
      </c>
      <c r="Q13" s="4">
        <f>$Q$4*'NIFTY MEMBS'!R2</f>
        <v>20000</v>
      </c>
      <c r="R13" s="4">
        <f>$R$4*'NIFTY MEMBS'!S2</f>
        <v>20000</v>
      </c>
      <c r="S13" s="4">
        <f>$S$4*'NIFTY MEMBS'!T2</f>
        <v>20000</v>
      </c>
      <c r="T13" s="4">
        <f>$T$4*'NIFTY MEMBS'!U2</f>
        <v>20000</v>
      </c>
      <c r="U13" s="4">
        <f>$U$4*'NIFTY MEMBS'!V2</f>
        <v>20000</v>
      </c>
      <c r="V13" s="4">
        <f>$V$4*'NIFTY MEMBS'!W2</f>
        <v>20000</v>
      </c>
      <c r="W13" s="4">
        <f>$W$4*'NIFTY MEMBS'!X2</f>
        <v>20000</v>
      </c>
      <c r="X13" s="4">
        <f>$X$4*'NIFTY MEMBS'!Y2</f>
        <v>19999.999999999996</v>
      </c>
      <c r="Y13" s="4">
        <f>$Y$4*'NIFTY MEMBS'!Z2</f>
        <v>20000</v>
      </c>
      <c r="Z13" s="4">
        <f>$Z$4*'NIFTY MEMBS'!AA2</f>
        <v>20000</v>
      </c>
      <c r="AA13" s="4">
        <f>$AA$4*'NIFTY MEMBS'!AB2</f>
        <v>20000</v>
      </c>
      <c r="AB13" s="4">
        <f>$AB$4*'NIFTY MEMBS'!AC2</f>
        <v>20000</v>
      </c>
      <c r="AC13" s="4">
        <f>$AC$4*'NIFTY MEMBS'!AD2</f>
        <v>20000</v>
      </c>
      <c r="AD13" s="4">
        <f>$AD$4*'NIFTY MEMBS'!AE2</f>
        <v>20000</v>
      </c>
      <c r="AE13" s="4">
        <f>$AE$4*'NIFTY MEMBS'!AF2</f>
        <v>20000</v>
      </c>
      <c r="AF13" s="4">
        <f>$AF$4*'NIFTY MEMBS'!AG2</f>
        <v>20000</v>
      </c>
      <c r="AG13" s="4">
        <f>$AG$4*'NIFTY MEMBS'!AH2</f>
        <v>20000</v>
      </c>
      <c r="AH13" s="4">
        <f>$AH$4*'NIFTY MEMBS'!AI2</f>
        <v>20000</v>
      </c>
      <c r="AI13" s="4">
        <f>$AI$4*'NIFTY MEMBS'!AJ2</f>
        <v>20000</v>
      </c>
      <c r="AJ13" s="4">
        <f>$AJ$4*'NIFTY MEMBS'!AK2</f>
        <v>20000.000000000004</v>
      </c>
      <c r="AK13" s="4">
        <f>$AK$4*'NIFTY MEMBS'!AL2</f>
        <v>20000</v>
      </c>
      <c r="AL13" s="4">
        <f>$AL$4*'NIFTY MEMBS'!AM2</f>
        <v>20000</v>
      </c>
      <c r="AM13" s="4">
        <f>$AM$4*'NIFTY MEMBS'!AN2</f>
        <v>20000</v>
      </c>
      <c r="AN13" s="4">
        <f>$AN$4*'NIFTY MEMBS'!AO2</f>
        <v>20000</v>
      </c>
      <c r="AO13" s="4">
        <f>$AO$4*'NIFTY MEMBS'!AP2</f>
        <v>19999.999999999996</v>
      </c>
      <c r="AP13" s="4">
        <f>$AP$4*'NIFTY MEMBS'!AQ2</f>
        <v>20000</v>
      </c>
      <c r="AQ13" s="4">
        <f>$AQ$4*'NIFTY MEMBS'!AR2</f>
        <v>20000</v>
      </c>
      <c r="AR13" s="4">
        <f>$AR$4*'NIFTY MEMBS'!AS2</f>
        <v>20000</v>
      </c>
      <c r="AS13" s="4">
        <f>$AS$4*'NIFTY MEMBS'!AT2</f>
        <v>20000</v>
      </c>
      <c r="AT13" s="4">
        <f>$AT$4*'NIFTY MEMBS'!AU2</f>
        <v>19999.999999999996</v>
      </c>
      <c r="AU13" s="4">
        <f>$AU$4*'NIFTY MEMBS'!AV2</f>
        <v>20000</v>
      </c>
      <c r="AV13" s="4">
        <f>$AV$4*'NIFTY MEMBS'!AW2</f>
        <v>20000</v>
      </c>
      <c r="AW13" s="4">
        <f>$AW$4*'NIFTY MEMBS'!AX2</f>
        <v>20000</v>
      </c>
      <c r="AX13" s="4">
        <f>$AX$4*'NIFTY MEMBS'!AY2</f>
        <v>20000</v>
      </c>
      <c r="AY13" s="4">
        <f>SUM(B13:AX13)</f>
        <v>980000</v>
      </c>
      <c r="AZ13" s="4">
        <f>AY13/$AY$13*100</f>
        <v>100</v>
      </c>
    </row>
    <row r="14" spans="1:52" ht="14.25" customHeight="1" x14ac:dyDescent="0.3">
      <c r="A14" s="2">
        <v>45659</v>
      </c>
      <c r="B14" s="4">
        <f>$B$4*'NIFTY MEMBS'!C3</f>
        <v>20336.540429887409</v>
      </c>
      <c r="C14" s="4">
        <f>$C$4*'NIFTY MEMBS'!D3</f>
        <v>20123.404159842044</v>
      </c>
      <c r="D14" s="4">
        <f>$D$4*'NIFTY MEMBS'!E3</f>
        <v>20175.471579870904</v>
      </c>
      <c r="E14" s="4">
        <f>$E$4*'NIFTY MEMBS'!F3</f>
        <v>20307.845688093472</v>
      </c>
      <c r="F14" s="4">
        <f>$F$4*'NIFTY MEMBS'!G3</f>
        <v>20108.284968644097</v>
      </c>
      <c r="G14" s="4">
        <f>$G$4*'NIFTY MEMBS'!H3</f>
        <v>20201.714573877962</v>
      </c>
      <c r="H14" s="4">
        <f>$H$4*'NIFTY MEMBS'!I3</f>
        <v>20800.531208499335</v>
      </c>
      <c r="I14" s="4">
        <f>$I$4*'NIFTY MEMBS'!J3</f>
        <v>20412.557598725292</v>
      </c>
      <c r="J14" s="4">
        <f>$J$4*'NIFTY MEMBS'!K3</f>
        <v>21308.955632777241</v>
      </c>
      <c r="K14" s="4">
        <f>$K$4*'NIFTY MEMBS'!L3</f>
        <v>20210.999956314707</v>
      </c>
      <c r="L14" s="4">
        <f>$L$4*'NIFTY MEMBS'!M3</f>
        <v>20250.852079072938</v>
      </c>
      <c r="M14" s="4">
        <f>$M$4*'NIFTY MEMBS'!N3</f>
        <v>21129.520087792083</v>
      </c>
      <c r="N14" s="4">
        <f>$N$4*'NIFTY MEMBS'!O3</f>
        <v>20837.767683322516</v>
      </c>
      <c r="O14" s="4">
        <f>$O$4*'NIFTY MEMBS'!P3</f>
        <v>20545.180049205992</v>
      </c>
      <c r="P14" s="4">
        <f>$P$4*'NIFTY MEMBS'!Q3</f>
        <v>20630.246606867335</v>
      </c>
      <c r="Q14" s="4">
        <f>$Q$4*'NIFTY MEMBS'!R3</f>
        <v>19873.541628085397</v>
      </c>
      <c r="R14" s="4">
        <f>$R$4*'NIFTY MEMBS'!S3</f>
        <v>20612.736961649342</v>
      </c>
      <c r="S14" s="4">
        <f>$S$4*'NIFTY MEMBS'!T3</f>
        <v>20276.170927411829</v>
      </c>
      <c r="T14" s="4">
        <f>$T$4*'NIFTY MEMBS'!U3</f>
        <v>21576.376554174069</v>
      </c>
      <c r="U14" s="4">
        <f>$U$4*'NIFTY MEMBS'!V3</f>
        <v>20830.400909691598</v>
      </c>
      <c r="V14" s="4">
        <f>$V$4*'NIFTY MEMBS'!W3</f>
        <v>20260.752285328937</v>
      </c>
      <c r="W14" s="4">
        <f>$W$4*'NIFTY MEMBS'!X3</f>
        <v>20585.895117540691</v>
      </c>
      <c r="X14" s="4">
        <f>$X$4*'NIFTY MEMBS'!Y3</f>
        <v>20119.79978665791</v>
      </c>
      <c r="Y14" s="4">
        <f>$Y$4*'NIFTY MEMBS'!Z3</f>
        <v>20769.782654568477</v>
      </c>
      <c r="Z14" s="4">
        <f>$Z$4*'NIFTY MEMBS'!AA3</f>
        <v>20197.346036066694</v>
      </c>
      <c r="AA14" s="4">
        <f>$AA$4*'NIFTY MEMBS'!AB3</f>
        <v>20155.723673311611</v>
      </c>
      <c r="AB14" s="4">
        <f>$AB$4*'NIFTY MEMBS'!AC3</f>
        <v>20233.100233100235</v>
      </c>
      <c r="AC14" s="4">
        <f>$AC$4*'NIFTY MEMBS'!AD3</f>
        <v>20306.056701030928</v>
      </c>
      <c r="AD14" s="4">
        <f>$AD$4*'NIFTY MEMBS'!AE3</f>
        <v>20421.755088421753</v>
      </c>
      <c r="AE14" s="4">
        <f>$AE$4*'NIFTY MEMBS'!AF3</f>
        <v>20775.580484065649</v>
      </c>
      <c r="AF14" s="4">
        <f>$AF$4*'NIFTY MEMBS'!AG3</f>
        <v>20334.974941965156</v>
      </c>
      <c r="AG14" s="4">
        <f>$AG$4*'NIFTY MEMBS'!AH3</f>
        <v>20339.026915113871</v>
      </c>
      <c r="AH14" s="4">
        <f>$AH$4*'NIFTY MEMBS'!AI3</f>
        <v>20285.445593848537</v>
      </c>
      <c r="AI14" s="4">
        <f>$AI$4*'NIFTY MEMBS'!AJ3</f>
        <v>20210.618692408952</v>
      </c>
      <c r="AJ14" s="4">
        <f>$AJ$4*'NIFTY MEMBS'!AK3</f>
        <v>20016.423057973396</v>
      </c>
      <c r="AK14" s="4">
        <f>$AK$4*'NIFTY MEMBS'!AL3</f>
        <v>20833.691624183604</v>
      </c>
      <c r="AL14" s="4">
        <f>$AL$4*'NIFTY MEMBS'!AM3</f>
        <v>21730.907006734487</v>
      </c>
      <c r="AM14" s="4">
        <f>$AM$4*'NIFTY MEMBS'!AN3</f>
        <v>20715.756113779615</v>
      </c>
      <c r="AN14" s="4">
        <f>$AN$4*'NIFTY MEMBS'!AO3</f>
        <v>20312.053698943157</v>
      </c>
      <c r="AO14" s="4">
        <f>$AO$4*'NIFTY MEMBS'!AP3</f>
        <v>20095.593000648085</v>
      </c>
      <c r="AP14" s="4">
        <f>$AP$4*'NIFTY MEMBS'!AQ3</f>
        <v>20204.064423644486</v>
      </c>
      <c r="AQ14" s="4">
        <f>$AQ$4*'NIFTY MEMBS'!AR3</f>
        <v>20271.150629456821</v>
      </c>
      <c r="AR14" s="4">
        <f>$AR$4*'NIFTY MEMBS'!AS3</f>
        <v>20115.100385847887</v>
      </c>
      <c r="AS14" s="4">
        <f>$AS$4*'NIFTY MEMBS'!AT3</f>
        <v>20141.119320456193</v>
      </c>
      <c r="AT14" s="4">
        <f>$AT$4*'NIFTY MEMBS'!AU3</f>
        <v>20968.941120038369</v>
      </c>
      <c r="AU14" s="4">
        <f>$AU$4*'NIFTY MEMBS'!AV3</f>
        <v>20203.194610453113</v>
      </c>
      <c r="AV14" s="4">
        <f>$AV$4*'NIFTY MEMBS'!AW3</f>
        <v>20088.385682980279</v>
      </c>
      <c r="AW14" s="4">
        <f>$AW$4*'NIFTY MEMBS'!AX3</f>
        <v>20607.740748264365</v>
      </c>
      <c r="AX14" s="4">
        <f>$AX$4*'NIFTY MEMBS'!AY3</f>
        <v>20452.857437590264</v>
      </c>
      <c r="AY14" s="4">
        <f t="shared" ref="AY14:AY77" si="8">SUM(B14:AX14)</f>
        <v>1002301.9363482291</v>
      </c>
      <c r="AZ14" s="4">
        <f t="shared" ref="AZ14:AZ77" si="9">AY14/$AY$13*100</f>
        <v>102.27570779063562</v>
      </c>
    </row>
    <row r="15" spans="1:52" ht="14.25" customHeight="1" x14ac:dyDescent="0.3">
      <c r="A15" s="2">
        <v>45660</v>
      </c>
      <c r="B15" s="4">
        <f>$B$4*'NIFTY MEMBS'!C4</f>
        <v>20489.66223132037</v>
      </c>
      <c r="C15" s="4">
        <f>$C$4*'NIFTY MEMBS'!D4</f>
        <v>19623.505126881915</v>
      </c>
      <c r="D15" s="4">
        <f>$D$4*'NIFTY MEMBS'!E4</f>
        <v>20039.48110547095</v>
      </c>
      <c r="E15" s="4">
        <f>$E$4*'NIFTY MEMBS'!F4</f>
        <v>19938.965823292681</v>
      </c>
      <c r="F15" s="4">
        <f>$F$4*'NIFTY MEMBS'!G4</f>
        <v>19710.201378880534</v>
      </c>
      <c r="G15" s="4">
        <f>$G$4*'NIFTY MEMBS'!H4</f>
        <v>20005.042864346946</v>
      </c>
      <c r="H15" s="4">
        <f>$H$4*'NIFTY MEMBS'!I4</f>
        <v>20597.609561752986</v>
      </c>
      <c r="I15" s="4">
        <f>$I$4*'NIFTY MEMBS'!J4</f>
        <v>20724.774988157274</v>
      </c>
      <c r="J15" s="4">
        <f>$J$4*'NIFTY MEMBS'!K4</f>
        <v>21360.863985696364</v>
      </c>
      <c r="K15" s="4">
        <f>$K$4*'NIFTY MEMBS'!L4</f>
        <v>19903.018653619325</v>
      </c>
      <c r="L15" s="4">
        <f>$L$4*'NIFTY MEMBS'!M4</f>
        <v>19958.554873892295</v>
      </c>
      <c r="M15" s="4">
        <f>$M$4*'NIFTY MEMBS'!N4</f>
        <v>21295.379317113213</v>
      </c>
      <c r="N15" s="4">
        <f>$N$4*'NIFTY MEMBS'!O4</f>
        <v>20704.412719013628</v>
      </c>
      <c r="O15" s="4">
        <f>$O$4*'NIFTY MEMBS'!P4</f>
        <v>20561.954819950792</v>
      </c>
      <c r="P15" s="4">
        <f>$P$4*'NIFTY MEMBS'!Q4</f>
        <v>20362.980203457202</v>
      </c>
      <c r="Q15" s="4">
        <f>$Q$4*'NIFTY MEMBS'!R4</f>
        <v>19573.533691367495</v>
      </c>
      <c r="R15" s="4">
        <f>$R$4*'NIFTY MEMBS'!S4</f>
        <v>20592.294924434347</v>
      </c>
      <c r="S15" s="4">
        <f>$S$4*'NIFTY MEMBS'!T4</f>
        <v>20244.448591155069</v>
      </c>
      <c r="T15" s="4">
        <f>$T$4*'NIFTY MEMBS'!U4</f>
        <v>21582.085765034251</v>
      </c>
      <c r="U15" s="4">
        <f>$U$4*'NIFTY MEMBS'!V4</f>
        <v>21215.790525070304</v>
      </c>
      <c r="V15" s="4">
        <f>$V$4*'NIFTY MEMBS'!W4</f>
        <v>20371.646935411361</v>
      </c>
      <c r="W15" s="4">
        <f>$W$4*'NIFTY MEMBS'!X4</f>
        <v>19735.985533453892</v>
      </c>
      <c r="X15" s="4">
        <f>$X$4*'NIFTY MEMBS'!Y4</f>
        <v>19685.730696643961</v>
      </c>
      <c r="Y15" s="4">
        <f>$Y$4*'NIFTY MEMBS'!Z4</f>
        <v>21851.867482591264</v>
      </c>
      <c r="Z15" s="4">
        <f>$Z$4*'NIFTY MEMBS'!AA4</f>
        <v>19867.301803334471</v>
      </c>
      <c r="AA15" s="4">
        <f>$AA$4*'NIFTY MEMBS'!AB4</f>
        <v>20212.049257275386</v>
      </c>
      <c r="AB15" s="4">
        <f>$AB$4*'NIFTY MEMBS'!AC4</f>
        <v>19610.389610389608</v>
      </c>
      <c r="AC15" s="4">
        <f>$AC$4*'NIFTY MEMBS'!AD4</f>
        <v>20364.046391752581</v>
      </c>
      <c r="AD15" s="4">
        <f>$AD$4*'NIFTY MEMBS'!AE4</f>
        <v>21098.43176509843</v>
      </c>
      <c r="AE15" s="4">
        <f>$AE$4*'NIFTY MEMBS'!AF4</f>
        <v>20515.184971197468</v>
      </c>
      <c r="AF15" s="4">
        <f>$AF$4*'NIFTY MEMBS'!AG4</f>
        <v>20271.624758640137</v>
      </c>
      <c r="AG15" s="4">
        <f>$AG$4*'NIFTY MEMBS'!AH4</f>
        <v>20375.258799171843</v>
      </c>
      <c r="AH15" s="4">
        <f>$AH$4*'NIFTY MEMBS'!AI4</f>
        <v>20585.089708838121</v>
      </c>
      <c r="AI15" s="4">
        <f>$AI$4*'NIFTY MEMBS'!AJ4</f>
        <v>20236.946028960072</v>
      </c>
      <c r="AJ15" s="4">
        <f>$AJ$4*'NIFTY MEMBS'!AK4</f>
        <v>20197.076695680738</v>
      </c>
      <c r="AK15" s="4">
        <f>$AK$4*'NIFTY MEMBS'!AL4</f>
        <v>20555.65792436992</v>
      </c>
      <c r="AL15" s="4">
        <f>$AL$4*'NIFTY MEMBS'!AM4</f>
        <v>21741.755879884549</v>
      </c>
      <c r="AM15" s="4">
        <f>$AM$4*'NIFTY MEMBS'!AN4</f>
        <v>20678.121971406541</v>
      </c>
      <c r="AN15" s="4">
        <f>$AN$4*'NIFTY MEMBS'!AO4</f>
        <v>20675.521279634388</v>
      </c>
      <c r="AO15" s="4">
        <f>$AO$4*'NIFTY MEMBS'!AP4</f>
        <v>20187.945560596236</v>
      </c>
      <c r="AP15" s="4">
        <f>$AP$4*'NIFTY MEMBS'!AQ4</f>
        <v>19939.286617758662</v>
      </c>
      <c r="AQ15" s="4">
        <f>$AQ$4*'NIFTY MEMBS'!AR4</f>
        <v>19830.971036182764</v>
      </c>
      <c r="AR15" s="4">
        <f>$AR$4*'NIFTY MEMBS'!AS4</f>
        <v>19766.529330979007</v>
      </c>
      <c r="AS15" s="4">
        <f>$AS$4*'NIFTY MEMBS'!AT4</f>
        <v>19806.50370098987</v>
      </c>
      <c r="AT15" s="4">
        <f>$AT$4*'NIFTY MEMBS'!AU4</f>
        <v>20888.767066965887</v>
      </c>
      <c r="AU15" s="4">
        <f>$AU$4*'NIFTY MEMBS'!AV4</f>
        <v>20416.168640660657</v>
      </c>
      <c r="AV15" s="4">
        <f>$AV$4*'NIFTY MEMBS'!AW4</f>
        <v>19761.139517896278</v>
      </c>
      <c r="AW15" s="4">
        <f>$AW$4*'NIFTY MEMBS'!AX4</f>
        <v>20280.8082497879</v>
      </c>
      <c r="AX15" s="4">
        <f>$AX$4*'NIFTY MEMBS'!AY4</f>
        <v>20587.992572725398</v>
      </c>
      <c r="AY15" s="4">
        <f t="shared" si="8"/>
        <v>998580.36093818536</v>
      </c>
      <c r="AZ15" s="4">
        <f t="shared" si="9"/>
        <v>101.89595519777401</v>
      </c>
    </row>
    <row r="16" spans="1:52" ht="14.25" customHeight="1" x14ac:dyDescent="0.3">
      <c r="A16" s="2">
        <v>45663</v>
      </c>
      <c r="B16" s="4">
        <f>$B$4*'NIFTY MEMBS'!C5</f>
        <v>19946.7758444217</v>
      </c>
      <c r="C16" s="4">
        <f>$C$4*'NIFTY MEMBS'!D5</f>
        <v>19189.346855437638</v>
      </c>
      <c r="D16" s="4">
        <f>$D$4*'NIFTY MEMBS'!E5</f>
        <v>19909.130788995426</v>
      </c>
      <c r="E16" s="4">
        <f>$E$4*'NIFTY MEMBS'!F5</f>
        <v>19915.135746331263</v>
      </c>
      <c r="F16" s="4">
        <f>$F$4*'NIFTY MEMBS'!G5</f>
        <v>19695.399836404002</v>
      </c>
      <c r="G16" s="4">
        <f>$G$4*'NIFTY MEMBS'!H5</f>
        <v>19576.399394856275</v>
      </c>
      <c r="H16" s="4">
        <f>$H$4*'NIFTY MEMBS'!I5</f>
        <v>20588.047808764939</v>
      </c>
      <c r="I16" s="4">
        <f>$I$4*'NIFTY MEMBS'!J5</f>
        <v>20465.957538435039</v>
      </c>
      <c r="J16" s="4">
        <f>$J$4*'NIFTY MEMBS'!K5</f>
        <v>21193.892117139847</v>
      </c>
      <c r="K16" s="4">
        <f>$K$4*'NIFTY MEMBS'!L5</f>
        <v>19337.294133065396</v>
      </c>
      <c r="L16" s="4">
        <f>$L$4*'NIFTY MEMBS'!M5</f>
        <v>19649.352419904564</v>
      </c>
      <c r="M16" s="4">
        <f>$M$4*'NIFTY MEMBS'!N5</f>
        <v>20976.686919515003</v>
      </c>
      <c r="N16" s="4">
        <f>$N$4*'NIFTY MEMBS'!O5</f>
        <v>20153.796236210252</v>
      </c>
      <c r="O16" s="4">
        <f>$O$4*'NIFTY MEMBS'!P5</f>
        <v>19902.147170655335</v>
      </c>
      <c r="P16" s="4">
        <f>$P$4*'NIFTY MEMBS'!Q5</f>
        <v>20429.927560867178</v>
      </c>
      <c r="Q16" s="4">
        <f>$Q$4*'NIFTY MEMBS'!R5</f>
        <v>19549.723537659727</v>
      </c>
      <c r="R16" s="4">
        <f>$R$4*'NIFTY MEMBS'!S5</f>
        <v>20098.890539005853</v>
      </c>
      <c r="S16" s="4">
        <f>$S$4*'NIFTY MEMBS'!T5</f>
        <v>19843.25433849599</v>
      </c>
      <c r="T16" s="4">
        <f>$T$4*'NIFTY MEMBS'!U5</f>
        <v>21372.748033494034</v>
      </c>
      <c r="U16" s="4">
        <f>$U$4*'NIFTY MEMBS'!V5</f>
        <v>21331.038615793601</v>
      </c>
      <c r="V16" s="4">
        <f>$V$4*'NIFTY MEMBS'!W5</f>
        <v>19631.350217293573</v>
      </c>
      <c r="W16" s="4">
        <f>$W$4*'NIFTY MEMBS'!X5</f>
        <v>19157.323688969263</v>
      </c>
      <c r="X16" s="4">
        <f>$X$4*'NIFTY MEMBS'!Y5</f>
        <v>19086.73176335439</v>
      </c>
      <c r="Y16" s="4">
        <f>$Y$4*'NIFTY MEMBS'!Z5</f>
        <v>21469.508335091792</v>
      </c>
      <c r="Z16" s="4">
        <f>$Z$4*'NIFTY MEMBS'!AA5</f>
        <v>19200.408302143587</v>
      </c>
      <c r="AA16" s="4">
        <f>$AA$4*'NIFTY MEMBS'!AB5</f>
        <v>19899.497487437184</v>
      </c>
      <c r="AB16" s="4">
        <f>$AB$4*'NIFTY MEMBS'!AC5</f>
        <v>19600.3996003996</v>
      </c>
      <c r="AC16" s="4">
        <f>$AC$4*'NIFTY MEMBS'!AD5</f>
        <v>19716.494845360827</v>
      </c>
      <c r="AD16" s="4">
        <f>$AD$4*'NIFTY MEMBS'!AE5</f>
        <v>20720.720720720721</v>
      </c>
      <c r="AE16" s="4">
        <f>$AE$4*'NIFTY MEMBS'!AF5</f>
        <v>20190.605854322672</v>
      </c>
      <c r="AF16" s="4">
        <f>$AF$4*'NIFTY MEMBS'!AG5</f>
        <v>19674.570976070117</v>
      </c>
      <c r="AG16" s="4">
        <f>$AG$4*'NIFTY MEMBS'!AH5</f>
        <v>19604.037267080745</v>
      </c>
      <c r="AH16" s="4">
        <f>$AH$4*'NIFTY MEMBS'!AI5</f>
        <v>20145.304346222645</v>
      </c>
      <c r="AI16" s="4">
        <f>$AI$4*'NIFTY MEMBS'!AJ5</f>
        <v>19333.040807371654</v>
      </c>
      <c r="AJ16" s="4">
        <f>$AJ$4*'NIFTY MEMBS'!AK5</f>
        <v>19490.885202824767</v>
      </c>
      <c r="AK16" s="4">
        <f>$AK$4*'NIFTY MEMBS'!AL5</f>
        <v>20150.686894744384</v>
      </c>
      <c r="AL16" s="4">
        <f>$AL$4*'NIFTY MEMBS'!AM5</f>
        <v>21493.459971751989</v>
      </c>
      <c r="AM16" s="4">
        <f>$AM$4*'NIFTY MEMBS'!AN5</f>
        <v>19802.774456886978</v>
      </c>
      <c r="AN16" s="4">
        <f>$AN$4*'NIFTY MEMBS'!AO5</f>
        <v>20489.145958297628</v>
      </c>
      <c r="AO16" s="4">
        <f>$AO$4*'NIFTY MEMBS'!AP5</f>
        <v>19635.45042125729</v>
      </c>
      <c r="AP16" s="4">
        <f>$AP$4*'NIFTY MEMBS'!AQ5</f>
        <v>19364.195969306013</v>
      </c>
      <c r="AQ16" s="4">
        <f>$AQ$4*'NIFTY MEMBS'!AR5</f>
        <v>19793.99595034774</v>
      </c>
      <c r="AR16" s="4">
        <f>$AR$4*'NIFTY MEMBS'!AS5</f>
        <v>19506.899483356225</v>
      </c>
      <c r="AS16" s="4">
        <f>$AS$4*'NIFTY MEMBS'!AT5</f>
        <v>20161.473068598913</v>
      </c>
      <c r="AT16" s="4">
        <f>$AT$4*'NIFTY MEMBS'!AU5</f>
        <v>20348.791393281135</v>
      </c>
      <c r="AU16" s="4">
        <f>$AU$4*'NIFTY MEMBS'!AV5</f>
        <v>20578.072367706183</v>
      </c>
      <c r="AV16" s="4">
        <f>$AV$4*'NIFTY MEMBS'!AW5</f>
        <v>19727.538349159971</v>
      </c>
      <c r="AW16" s="4">
        <f>$AW$4*'NIFTY MEMBS'!AX5</f>
        <v>20088.185739720626</v>
      </c>
      <c r="AX16" s="4">
        <f>$AX$4*'NIFTY MEMBS'!AY5</f>
        <v>20013.41035692181</v>
      </c>
      <c r="AY16" s="4">
        <f t="shared" si="8"/>
        <v>981199.90523145348</v>
      </c>
      <c r="AZ16" s="4">
        <f t="shared" si="9"/>
        <v>100.12243930933198</v>
      </c>
    </row>
    <row r="17" spans="1:52" ht="14.25" customHeight="1" x14ac:dyDescent="0.3">
      <c r="A17" s="2">
        <v>45664</v>
      </c>
      <c r="B17" s="4">
        <f>$B$4*'NIFTY MEMBS'!C6</f>
        <v>20320.98259979529</v>
      </c>
      <c r="C17" s="4">
        <f>$C$4*'NIFTY MEMBS'!D6</f>
        <v>19221.880679395996</v>
      </c>
      <c r="D17" s="4">
        <f>$D$4*'NIFTY MEMBS'!E6</f>
        <v>19939.211631259008</v>
      </c>
      <c r="E17" s="4">
        <f>$E$4*'NIFTY MEMBS'!F6</f>
        <v>19590.754902795172</v>
      </c>
      <c r="F17" s="4">
        <f>$F$4*'NIFTY MEMBS'!G6</f>
        <v>19931.445487477115</v>
      </c>
      <c r="G17" s="4">
        <f>$G$4*'NIFTY MEMBS'!H6</f>
        <v>19635.653050932928</v>
      </c>
      <c r="H17" s="4">
        <f>$H$4*'NIFTY MEMBS'!I6</f>
        <v>20513.678618857899</v>
      </c>
      <c r="I17" s="4">
        <f>$I$4*'NIFTY MEMBS'!J6</f>
        <v>20591.705783557991</v>
      </c>
      <c r="J17" s="4">
        <f>$J$4*'NIFTY MEMBS'!K6</f>
        <v>21207.445964846509</v>
      </c>
      <c r="K17" s="4">
        <f>$K$4*'NIFTY MEMBS'!L6</f>
        <v>19269.581931763576</v>
      </c>
      <c r="L17" s="4">
        <f>$L$4*'NIFTY MEMBS'!M6</f>
        <v>19868.029993183369</v>
      </c>
      <c r="M17" s="4">
        <f>$M$4*'NIFTY MEMBS'!N6</f>
        <v>20915.393056931025</v>
      </c>
      <c r="N17" s="4">
        <f>$N$4*'NIFTY MEMBS'!O6</f>
        <v>20174.237508111615</v>
      </c>
      <c r="O17" s="4">
        <f>$O$4*'NIFTY MEMBS'!P6</f>
        <v>19817.154998881681</v>
      </c>
      <c r="P17" s="4">
        <f>$P$4*'NIFTY MEMBS'!Q6</f>
        <v>20041.319072151469</v>
      </c>
      <c r="Q17" s="4">
        <f>$Q$4*'NIFTY MEMBS'!R6</f>
        <v>19613.217280880446</v>
      </c>
      <c r="R17" s="4">
        <f>$R$4*'NIFTY MEMBS'!S6</f>
        <v>20299.729186686465</v>
      </c>
      <c r="S17" s="4">
        <f>$S$4*'NIFTY MEMBS'!T6</f>
        <v>19919.761149468184</v>
      </c>
      <c r="T17" s="4">
        <f>$T$4*'NIFTY MEMBS'!U6</f>
        <v>21349.276833291042</v>
      </c>
      <c r="U17" s="4">
        <f>$U$4*'NIFTY MEMBS'!V6</f>
        <v>21544.324415692179</v>
      </c>
      <c r="V17" s="4">
        <f>$V$4*'NIFTY MEMBS'!W6</f>
        <v>19697.287576802039</v>
      </c>
      <c r="W17" s="4">
        <f>$W$4*'NIFTY MEMBS'!X6</f>
        <v>18260.397830018082</v>
      </c>
      <c r="X17" s="4">
        <f>$X$4*'NIFTY MEMBS'!Y6</f>
        <v>19266.431443341262</v>
      </c>
      <c r="Y17" s="4">
        <f>$Y$4*'NIFTY MEMBS'!Z6</f>
        <v>22240.135049588524</v>
      </c>
      <c r="Z17" s="4">
        <f>$Z$4*'NIFTY MEMBS'!AA6</f>
        <v>19530.452534875811</v>
      </c>
      <c r="AA17" s="4">
        <f>$AA$4*'NIFTY MEMBS'!AB6</f>
        <v>20140.261748301949</v>
      </c>
      <c r="AB17" s="4">
        <f>$AB$4*'NIFTY MEMBS'!AC6</f>
        <v>19583.749583749584</v>
      </c>
      <c r="AC17" s="4">
        <f>$AC$4*'NIFTY MEMBS'!AD6</f>
        <v>19655.283505154643</v>
      </c>
      <c r="AD17" s="4">
        <f>$AD$4*'NIFTY MEMBS'!AE6</f>
        <v>21174.507841174505</v>
      </c>
      <c r="AE17" s="4">
        <f>$AE$4*'NIFTY MEMBS'!AF6</f>
        <v>20159.600940444252</v>
      </c>
      <c r="AF17" s="4">
        <f>$AF$4*'NIFTY MEMBS'!AG6</f>
        <v>19895.428806977197</v>
      </c>
      <c r="AG17" s="4">
        <f>$AG$4*'NIFTY MEMBS'!AH6</f>
        <v>19658.385093167704</v>
      </c>
      <c r="AH17" s="4">
        <f>$AH$4*'NIFTY MEMBS'!AI6</f>
        <v>20400.140141247626</v>
      </c>
      <c r="AI17" s="4">
        <f>$AI$4*'NIFTY MEMBS'!AJ6</f>
        <v>19508.556384379113</v>
      </c>
      <c r="AJ17" s="4">
        <f>$AJ$4*'NIFTY MEMBS'!AK6</f>
        <v>19651.831170964037</v>
      </c>
      <c r="AK17" s="4">
        <f>$AK$4*'NIFTY MEMBS'!AL6</f>
        <v>20205.556579243697</v>
      </c>
      <c r="AL17" s="4">
        <f>$AL$4*'NIFTY MEMBS'!AM6</f>
        <v>21195.423003704993</v>
      </c>
      <c r="AM17" s="4">
        <f>$AM$4*'NIFTY MEMBS'!AN6</f>
        <v>19451.758264302036</v>
      </c>
      <c r="AN17" s="4">
        <f>$AN$4*'NIFTY MEMBS'!AO6</f>
        <v>21104.684375892601</v>
      </c>
      <c r="AO17" s="4">
        <f>$AO$4*'NIFTY MEMBS'!AP6</f>
        <v>20085.871678548279</v>
      </c>
      <c r="AP17" s="4">
        <f>$AP$4*'NIFTY MEMBS'!AQ6</f>
        <v>19714.984400033729</v>
      </c>
      <c r="AQ17" s="4">
        <f>$AQ$4*'NIFTY MEMBS'!AR6</f>
        <v>19616.163394665025</v>
      </c>
      <c r="AR17" s="4">
        <f>$AR$4*'NIFTY MEMBS'!AS6</f>
        <v>19586.030998626644</v>
      </c>
      <c r="AS17" s="4">
        <f>$AS$4*'NIFTY MEMBS'!AT6</f>
        <v>20182.098200050204</v>
      </c>
      <c r="AT17" s="4">
        <f>$AT$4*'NIFTY MEMBS'!AU6</f>
        <v>20272.386205951378</v>
      </c>
      <c r="AU17" s="4">
        <f>$AU$4*'NIFTY MEMBS'!AV6</f>
        <v>20754.101923285885</v>
      </c>
      <c r="AV17" s="4">
        <f>$AV$4*'NIFTY MEMBS'!AW6</f>
        <v>19745.069393718044</v>
      </c>
      <c r="AW17" s="4">
        <f>$AW$4*'NIFTY MEMBS'!AX6</f>
        <v>19893.412357952846</v>
      </c>
      <c r="AX17" s="4">
        <f>$AX$4*'NIFTY MEMBS'!AY6</f>
        <v>20292.964720445638</v>
      </c>
      <c r="AY17" s="4">
        <f t="shared" si="8"/>
        <v>984687.73929256632</v>
      </c>
      <c r="AZ17" s="4">
        <f t="shared" si="9"/>
        <v>100.47834074413942</v>
      </c>
    </row>
    <row r="18" spans="1:52" ht="14.25" customHeight="1" x14ac:dyDescent="0.3">
      <c r="A18" s="2">
        <v>45665</v>
      </c>
      <c r="B18" s="4">
        <f>$B$4*'NIFTY MEMBS'!C7</f>
        <v>20724.667349027633</v>
      </c>
      <c r="C18" s="4">
        <f>$C$4*'NIFTY MEMBS'!D7</f>
        <v>19007.606183670265</v>
      </c>
      <c r="D18" s="4">
        <f>$D$4*'NIFTY MEMBS'!E7</f>
        <v>20043.867894967727</v>
      </c>
      <c r="E18" s="4">
        <f>$E$4*'NIFTY MEMBS'!F7</f>
        <v>19980.303711899232</v>
      </c>
      <c r="F18" s="4">
        <f>$F$4*'NIFTY MEMBS'!G7</f>
        <v>19689.946636544228</v>
      </c>
      <c r="G18" s="4">
        <f>$G$4*'NIFTY MEMBS'!H7</f>
        <v>19444.024205748861</v>
      </c>
      <c r="H18" s="4">
        <f>$H$4*'NIFTY MEMBS'!I7</f>
        <v>20538.114209827356</v>
      </c>
      <c r="I18" s="4">
        <f>$I$4*'NIFTY MEMBS'!J7</f>
        <v>20679.557297274023</v>
      </c>
      <c r="J18" s="4">
        <f>$J$4*'NIFTY MEMBS'!K7</f>
        <v>21211.483281184661</v>
      </c>
      <c r="K18" s="4">
        <f>$K$4*'NIFTY MEMBS'!L7</f>
        <v>19638.72264208641</v>
      </c>
      <c r="L18" s="4">
        <f>$L$4*'NIFTY MEMBS'!M7</f>
        <v>19611.997273346966</v>
      </c>
      <c r="M18" s="4">
        <f>$M$4*'NIFTY MEMBS'!N7</f>
        <v>21095.081323661932</v>
      </c>
      <c r="N18" s="4">
        <f>$N$4*'NIFTY MEMBS'!O7</f>
        <v>20026.606099935107</v>
      </c>
      <c r="O18" s="4">
        <f>$O$4*'NIFTY MEMBS'!P7</f>
        <v>19779.132185193466</v>
      </c>
      <c r="P18" s="4">
        <f>$P$4*'NIFTY MEMBS'!Q7</f>
        <v>20212.348649284762</v>
      </c>
      <c r="Q18" s="4">
        <f>$Q$4*'NIFTY MEMBS'!R7</f>
        <v>19447.604433979734</v>
      </c>
      <c r="R18" s="4">
        <f>$R$4*'NIFTY MEMBS'!S7</f>
        <v>19924.084913077659</v>
      </c>
      <c r="S18" s="4">
        <f>$S$4*'NIFTY MEMBS'!T7</f>
        <v>20058.779623064005</v>
      </c>
      <c r="T18" s="4">
        <f>$T$4*'NIFTY MEMBS'!U7</f>
        <v>21530.06851053032</v>
      </c>
      <c r="U18" s="4">
        <f>$U$4*'NIFTY MEMBS'!V7</f>
        <v>21414.93922584016</v>
      </c>
      <c r="V18" s="4">
        <f>$V$4*'NIFTY MEMBS'!W7</f>
        <v>19505.469803686497</v>
      </c>
      <c r="W18" s="4">
        <f>$W$4*'NIFTY MEMBS'!X7</f>
        <v>18086.799276672697</v>
      </c>
      <c r="X18" s="4">
        <f>$X$4*'NIFTY MEMBS'!Y7</f>
        <v>18910.314269303351</v>
      </c>
      <c r="Y18" s="4">
        <f>$Y$4*'NIFTY MEMBS'!Z7</f>
        <v>22901.878033340367</v>
      </c>
      <c r="Z18" s="4">
        <f>$Z$4*'NIFTY MEMBS'!AA7</f>
        <v>19197.005784280373</v>
      </c>
      <c r="AA18" s="4">
        <f>$AA$4*'NIFTY MEMBS'!AB7</f>
        <v>19930.421337456512</v>
      </c>
      <c r="AB18" s="4">
        <f>$AB$4*'NIFTY MEMBS'!AC7</f>
        <v>19816.849816849815</v>
      </c>
      <c r="AC18" s="4">
        <f>$AC$4*'NIFTY MEMBS'!AD7</f>
        <v>19758.376288659794</v>
      </c>
      <c r="AD18" s="4">
        <f>$AD$4*'NIFTY MEMBS'!AE7</f>
        <v>21219.886553219887</v>
      </c>
      <c r="AE18" s="4">
        <f>$AE$4*'NIFTY MEMBS'!AF7</f>
        <v>19775.071362786097</v>
      </c>
      <c r="AF18" s="4">
        <f>$AF$4*'NIFTY MEMBS'!AG7</f>
        <v>20257.739786952465</v>
      </c>
      <c r="AG18" s="4">
        <f>$AG$4*'NIFTY MEMBS'!AH7</f>
        <v>19686.853002070395</v>
      </c>
      <c r="AH18" s="4">
        <f>$AH$4*'NIFTY MEMBS'!AI7</f>
        <v>20467.076026626841</v>
      </c>
      <c r="AI18" s="4">
        <f>$AI$4*'NIFTY MEMBS'!AJ7</f>
        <v>19400.321778557842</v>
      </c>
      <c r="AJ18" s="4">
        <f>$AJ$4*'NIFTY MEMBS'!AK7</f>
        <v>19615.700443422571</v>
      </c>
      <c r="AK18" s="4">
        <f>$AK$4*'NIFTY MEMBS'!AL7</f>
        <v>19947.587167045429</v>
      </c>
      <c r="AL18" s="4">
        <f>$AL$4*'NIFTY MEMBS'!AM7</f>
        <v>21137.698810717866</v>
      </c>
      <c r="AM18" s="4">
        <f>$AM$4*'NIFTY MEMBS'!AN7</f>
        <v>18956.006253492833</v>
      </c>
      <c r="AN18" s="4">
        <f>$AN$4*'NIFTY MEMBS'!AO7</f>
        <v>20896.17252213653</v>
      </c>
      <c r="AO18" s="4">
        <f>$AO$4*'NIFTY MEMBS'!AP7</f>
        <v>20025.923525599479</v>
      </c>
      <c r="AP18" s="4">
        <f>$AP$4*'NIFTY MEMBS'!AQ7</f>
        <v>19787.503162155321</v>
      </c>
      <c r="AQ18" s="4">
        <f>$AQ$4*'NIFTY MEMBS'!AR7</f>
        <v>19529.301288258943</v>
      </c>
      <c r="AR18" s="4">
        <f>$AR$4*'NIFTY MEMBS'!AS7</f>
        <v>19552.678045909361</v>
      </c>
      <c r="AS18" s="4">
        <f>$AS$4*'NIFTY MEMBS'!AT7</f>
        <v>19383.959889546994</v>
      </c>
      <c r="AT18" s="4">
        <f>$AT$4*'NIFTY MEMBS'!AU7</f>
        <v>19863.635584945092</v>
      </c>
      <c r="AU18" s="4">
        <f>$AU$4*'NIFTY MEMBS'!AV7</f>
        <v>20897.533413017496</v>
      </c>
      <c r="AV18" s="4">
        <f>$AV$4*'NIFTY MEMBS'!AW7</f>
        <v>20025.566106647188</v>
      </c>
      <c r="AW18" s="4">
        <f>$AW$4*'NIFTY MEMBS'!AX7</f>
        <v>19778.938186337185</v>
      </c>
      <c r="AX18" s="4">
        <f>$AX$4*'NIFTY MEMBS'!AY7</f>
        <v>20240.35485867547</v>
      </c>
      <c r="AY18" s="4">
        <f t="shared" si="8"/>
        <v>982611.55802851531</v>
      </c>
      <c r="AZ18" s="4">
        <f t="shared" si="9"/>
        <v>100.26648551311381</v>
      </c>
    </row>
    <row r="19" spans="1:52" ht="14.25" customHeight="1" x14ac:dyDescent="0.3">
      <c r="A19" s="2">
        <v>45666</v>
      </c>
      <c r="B19" s="4">
        <f>$B$4*'NIFTY MEMBS'!C8</f>
        <v>20548.618219037871</v>
      </c>
      <c r="C19" s="4">
        <f>$C$4*'NIFTY MEMBS'!D8</f>
        <v>18710.314344050799</v>
      </c>
      <c r="D19" s="4">
        <f>$D$4*'NIFTY MEMBS'!E8</f>
        <v>20142.257316538195</v>
      </c>
      <c r="E19" s="4">
        <f>$E$4*'NIFTY MEMBS'!F8</f>
        <v>19642.062517477418</v>
      </c>
      <c r="F19" s="4">
        <f>$F$4*'NIFTY MEMBS'!G8</f>
        <v>19668.912865656526</v>
      </c>
      <c r="G19" s="4">
        <f>$G$4*'NIFTY MEMBS'!H8</f>
        <v>19174.230963187088</v>
      </c>
      <c r="H19" s="4">
        <f>$H$4*'NIFTY MEMBS'!I8</f>
        <v>20369.721115537846</v>
      </c>
      <c r="I19" s="4">
        <f>$I$4*'NIFTY MEMBS'!J8</f>
        <v>20975.840833728093</v>
      </c>
      <c r="J19" s="4">
        <f>$J$4*'NIFTY MEMBS'!K8</f>
        <v>20986.547085201793</v>
      </c>
      <c r="K19" s="4">
        <f>$K$4*'NIFTY MEMBS'!L8</f>
        <v>19662.749552225767</v>
      </c>
      <c r="L19" s="4">
        <f>$L$4*'NIFTY MEMBS'!M8</f>
        <v>19238.718473074303</v>
      </c>
      <c r="M19" s="4">
        <f>$M$4*'NIFTY MEMBS'!N8</f>
        <v>20949.742601464986</v>
      </c>
      <c r="N19" s="4">
        <f>$N$4*'NIFTY MEMBS'!O8</f>
        <v>20288.773523685919</v>
      </c>
      <c r="O19" s="4">
        <f>$O$4*'NIFTY MEMBS'!P8</f>
        <v>20020.129724893759</v>
      </c>
      <c r="P19" s="4">
        <f>$P$4*'NIFTY MEMBS'!Q8</f>
        <v>20239.022987002798</v>
      </c>
      <c r="Q19" s="4">
        <f>$Q$4*'NIFTY MEMBS'!R8</f>
        <v>19326.966321860364</v>
      </c>
      <c r="R19" s="4">
        <f>$R$4*'NIFTY MEMBS'!S8</f>
        <v>19672.927404560145</v>
      </c>
      <c r="S19" s="4">
        <f>$S$4*'NIFTY MEMBS'!T8</f>
        <v>19812.465012129131</v>
      </c>
      <c r="T19" s="4">
        <f>$T$4*'NIFTY MEMBS'!U8</f>
        <v>21445.064704389748</v>
      </c>
      <c r="U19" s="4">
        <f>$U$4*'NIFTY MEMBS'!V8</f>
        <v>21433.378920355888</v>
      </c>
      <c r="V19" s="4">
        <f>$V$4*'NIFTY MEMBS'!W8</f>
        <v>19202.757380488536</v>
      </c>
      <c r="W19" s="4">
        <f>$W$4*'NIFTY MEMBS'!X8</f>
        <v>17746.835443037977</v>
      </c>
      <c r="X19" s="4">
        <f>$X$4*'NIFTY MEMBS'!Y8</f>
        <v>18582.916222203985</v>
      </c>
      <c r="Y19" s="4">
        <f>$Y$4*'NIFTY MEMBS'!Z8</f>
        <v>22213.969191812619</v>
      </c>
      <c r="Z19" s="4">
        <f>$Z$4*'NIFTY MEMBS'!AA8</f>
        <v>19139.162980605652</v>
      </c>
      <c r="AA19" s="4">
        <f>$AA$4*'NIFTY MEMBS'!AB8</f>
        <v>19679.717267656968</v>
      </c>
      <c r="AB19" s="4">
        <f>$AB$4*'NIFTY MEMBS'!AC8</f>
        <v>19467.199467199469</v>
      </c>
      <c r="AC19" s="4">
        <f>$AC$4*'NIFTY MEMBS'!AD8</f>
        <v>19668.170103092783</v>
      </c>
      <c r="AD19" s="4">
        <f>$AD$4*'NIFTY MEMBS'!AE8</f>
        <v>20823.490156823489</v>
      </c>
      <c r="AE19" s="4">
        <f>$AE$4*'NIFTY MEMBS'!AF8</f>
        <v>20218.064080635661</v>
      </c>
      <c r="AF19" s="4">
        <f>$AF$4*'NIFTY MEMBS'!AG8</f>
        <v>20395.28778773349</v>
      </c>
      <c r="AG19" s="4">
        <f>$AG$4*'NIFTY MEMBS'!AH8</f>
        <v>19265.010351966874</v>
      </c>
      <c r="AH19" s="4">
        <f>$AH$4*'NIFTY MEMBS'!AI8</f>
        <v>20800.464678873708</v>
      </c>
      <c r="AI19" s="4">
        <f>$AI$4*'NIFTY MEMBS'!AJ8</f>
        <v>19003.949100482667</v>
      </c>
      <c r="AJ19" s="4">
        <f>$AJ$4*'NIFTY MEMBS'!AK8</f>
        <v>19001.478075217608</v>
      </c>
      <c r="AK19" s="4">
        <f>$AK$4*'NIFTY MEMBS'!AL8</f>
        <v>19739.983211514445</v>
      </c>
      <c r="AL19" s="4">
        <f>$AL$4*'NIFTY MEMBS'!AM8</f>
        <v>21042.310605285238</v>
      </c>
      <c r="AM19" s="4">
        <f>$AM$4*'NIFTY MEMBS'!AN8</f>
        <v>18736.992522690132</v>
      </c>
      <c r="AN19" s="4">
        <f>$AN$4*'NIFTY MEMBS'!AO8</f>
        <v>20971.865181376746</v>
      </c>
      <c r="AO19" s="4">
        <f>$AO$4*'NIFTY MEMBS'!AP8</f>
        <v>19837.97796500324</v>
      </c>
      <c r="AP19" s="4">
        <f>$AP$4*'NIFTY MEMBS'!AQ8</f>
        <v>19875.200269837253</v>
      </c>
      <c r="AQ19" s="4">
        <f>$AQ$4*'NIFTY MEMBS'!AR8</f>
        <v>19283.387622149836</v>
      </c>
      <c r="AR19" s="4">
        <f>$AR$4*'NIFTY MEMBS'!AS8</f>
        <v>19465.044797593357</v>
      </c>
      <c r="AS19" s="4">
        <f>$AS$4*'NIFTY MEMBS'!AT8</f>
        <v>19245.283018867925</v>
      </c>
      <c r="AT19" s="4">
        <f>$AT$4*'NIFTY MEMBS'!AU8</f>
        <v>19254.4498312576</v>
      </c>
      <c r="AU19" s="4">
        <f>$AU$4*'NIFTY MEMBS'!AV8</f>
        <v>21082.255786156689</v>
      </c>
      <c r="AV19" s="4">
        <f>$AV$4*'NIFTY MEMBS'!AW8</f>
        <v>20037.98392987582</v>
      </c>
      <c r="AW19" s="4">
        <f>$AW$4*'NIFTY MEMBS'!AX8</f>
        <v>19793.994288240705</v>
      </c>
      <c r="AX19" s="4">
        <f>$AX$4*'NIFTY MEMBS'!AY8</f>
        <v>20237.260160924285</v>
      </c>
      <c r="AY19" s="4">
        <f t="shared" si="8"/>
        <v>976120.90596466302</v>
      </c>
      <c r="AZ19" s="4">
        <f t="shared" si="9"/>
        <v>99.604174078026844</v>
      </c>
    </row>
    <row r="20" spans="1:52" ht="14.25" customHeight="1" x14ac:dyDescent="0.3">
      <c r="A20" s="2">
        <v>45667</v>
      </c>
      <c r="B20" s="4">
        <f>$B$4*'NIFTY MEMBS'!C9</f>
        <v>20338.178096212898</v>
      </c>
      <c r="C20" s="4">
        <f>$C$4*'NIFTY MEMBS'!D9</f>
        <v>18586.46144180933</v>
      </c>
      <c r="D20" s="4">
        <f>$D$4*'NIFTY MEMBS'!E9</f>
        <v>20253.180422385161</v>
      </c>
      <c r="E20" s="4">
        <f>$E$4*'NIFTY MEMBS'!F9</f>
        <v>20745.054651120376</v>
      </c>
      <c r="F20" s="4">
        <f>$F$4*'NIFTY MEMBS'!G9</f>
        <v>19473.376699256027</v>
      </c>
      <c r="G20" s="4">
        <f>$G$4*'NIFTY MEMBS'!H9</f>
        <v>18740.544629349468</v>
      </c>
      <c r="H20" s="4">
        <f>$H$4*'NIFTY MEMBS'!I9</f>
        <v>20897.211155378485</v>
      </c>
      <c r="I20" s="4">
        <f>$I$4*'NIFTY MEMBS'!J9</f>
        <v>21033.116575513548</v>
      </c>
      <c r="J20" s="4">
        <f>$J$4*'NIFTY MEMBS'!K9</f>
        <v>21017.115337476389</v>
      </c>
      <c r="K20" s="4">
        <f>$K$4*'NIFTY MEMBS'!L9</f>
        <v>19435.586038180943</v>
      </c>
      <c r="L20" s="4">
        <f>$L$4*'NIFTY MEMBS'!M9</f>
        <v>19283.708248125426</v>
      </c>
      <c r="M20" s="4">
        <f>$M$4*'NIFTY MEMBS'!N9</f>
        <v>20754.440905400465</v>
      </c>
      <c r="N20" s="4">
        <f>$N$4*'NIFTY MEMBS'!O9</f>
        <v>20070.408825438026</v>
      </c>
      <c r="O20" s="4">
        <f>$O$4*'NIFTY MEMBS'!P9</f>
        <v>19639.901588011628</v>
      </c>
      <c r="P20" s="4">
        <f>$P$4*'NIFTY MEMBS'!Q9</f>
        <v>20869.792620099895</v>
      </c>
      <c r="Q20" s="4">
        <f>$Q$4*'NIFTY MEMBS'!R9</f>
        <v>18887.272150056877</v>
      </c>
      <c r="R20" s="4">
        <f>$R$4*'NIFTY MEMBS'!S9</f>
        <v>18983.489123787891</v>
      </c>
      <c r="S20" s="4">
        <f>$S$4*'NIFTY MEMBS'!T9</f>
        <v>19419.667848479196</v>
      </c>
      <c r="T20" s="4">
        <f>$T$4*'NIFTY MEMBS'!U9</f>
        <v>21583.988835320983</v>
      </c>
      <c r="U20" s="4">
        <f>$U$4*'NIFTY MEMBS'!V9</f>
        <v>21145.719685910539</v>
      </c>
      <c r="V20" s="4">
        <f>$V$4*'NIFTY MEMBS'!W9</f>
        <v>18477.446425895399</v>
      </c>
      <c r="W20" s="4">
        <f>$W$4*'NIFTY MEMBS'!X9</f>
        <v>17573.236889692587</v>
      </c>
      <c r="X20" s="4">
        <f>$X$4*'NIFTY MEMBS'!Y9</f>
        <v>18252.235989168785</v>
      </c>
      <c r="Y20" s="4">
        <f>$Y$4*'NIFTY MEMBS'!Z9</f>
        <v>22200.464232960541</v>
      </c>
      <c r="Z20" s="4">
        <f>$Z$4*'NIFTY MEMBS'!AA9</f>
        <v>18441.646818645801</v>
      </c>
      <c r="AA20" s="4">
        <f>$AA$4*'NIFTY MEMBS'!AB9</f>
        <v>19881.826715997569</v>
      </c>
      <c r="AB20" s="4">
        <f>$AB$4*'NIFTY MEMBS'!AC9</f>
        <v>20016.650016650015</v>
      </c>
      <c r="AC20" s="4">
        <f>$AC$4*'NIFTY MEMBS'!AD9</f>
        <v>19310.567010309278</v>
      </c>
      <c r="AD20" s="4">
        <f>$AD$4*'NIFTY MEMBS'!AE9</f>
        <v>20678.011344678009</v>
      </c>
      <c r="AE20" s="4">
        <f>$AE$4*'NIFTY MEMBS'!AF9</f>
        <v>20053.657950586636</v>
      </c>
      <c r="AF20" s="4">
        <f>$AF$4*'NIFTY MEMBS'!AG9</f>
        <v>20139.717527607227</v>
      </c>
      <c r="AG20" s="4">
        <f>$AG$4*'NIFTY MEMBS'!AH9</f>
        <v>19073.498964803312</v>
      </c>
      <c r="AH20" s="4">
        <f>$AH$4*'NIFTY MEMBS'!AI9</f>
        <v>20725.23095646402</v>
      </c>
      <c r="AI20" s="4">
        <f>$AI$4*'NIFTY MEMBS'!AJ9</f>
        <v>18638.291648383794</v>
      </c>
      <c r="AJ20" s="4">
        <f>$AJ$4*'NIFTY MEMBS'!AK9</f>
        <v>18429.955657743474</v>
      </c>
      <c r="AK20" s="4">
        <f>$AK$4*'NIFTY MEMBS'!AL9</f>
        <v>19360.809123108735</v>
      </c>
      <c r="AL20" s="4">
        <f>$AL$4*'NIFTY MEMBS'!AM9</f>
        <v>20708.861277710679</v>
      </c>
      <c r="AM20" s="4">
        <f>$AM$4*'NIFTY MEMBS'!AN9</f>
        <v>18630.598255530171</v>
      </c>
      <c r="AN20" s="4">
        <f>$AN$4*'NIFTY MEMBS'!AO9</f>
        <v>21112.539274493</v>
      </c>
      <c r="AO20" s="4">
        <f>$AO$4*'NIFTY MEMBS'!AP9</f>
        <v>19722.942320155536</v>
      </c>
      <c r="AP20" s="4">
        <f>$AP$4*'NIFTY MEMBS'!AQ9</f>
        <v>19376.00134918627</v>
      </c>
      <c r="AQ20" s="4">
        <f>$AQ$4*'NIFTY MEMBS'!AR9</f>
        <v>20020.541714352788</v>
      </c>
      <c r="AR20" s="4">
        <f>$AR$4*'NIFTY MEMBS'!AS9</f>
        <v>19211.300765155975</v>
      </c>
      <c r="AS20" s="4">
        <f>$AS$4*'NIFTY MEMBS'!AT9</f>
        <v>19096.56496577178</v>
      </c>
      <c r="AT20" s="4">
        <f>$AT$4*'NIFTY MEMBS'!AU9</f>
        <v>18227.605228444656</v>
      </c>
      <c r="AU20" s="4">
        <f>$AU$4*'NIFTY MEMBS'!AV9</f>
        <v>21140.932304683254</v>
      </c>
      <c r="AV20" s="4">
        <f>$AV$4*'NIFTY MEMBS'!AW9</f>
        <v>19786.705624543465</v>
      </c>
      <c r="AW20" s="4">
        <f>$AW$4*'NIFTY MEMBS'!AX9</f>
        <v>19702.940719586073</v>
      </c>
      <c r="AX20" s="4">
        <f>$AX$4*'NIFTY MEMBS'!AY9</f>
        <v>19343.924076748506</v>
      </c>
      <c r="AY20" s="4">
        <f t="shared" si="8"/>
        <v>968492.92002637114</v>
      </c>
      <c r="AZ20" s="4">
        <f t="shared" si="9"/>
        <v>98.825808165956246</v>
      </c>
    </row>
    <row r="21" spans="1:52" ht="14.25" customHeight="1" x14ac:dyDescent="0.3">
      <c r="A21" s="2">
        <v>45670</v>
      </c>
      <c r="B21" s="4">
        <f>$B$4*'NIFTY MEMBS'!C10</f>
        <v>20304.605936540429</v>
      </c>
      <c r="C21" s="4">
        <f>$C$4*'NIFTY MEMBS'!D10</f>
        <v>18295.676366981534</v>
      </c>
      <c r="D21" s="4">
        <f>$D$4*'NIFTY MEMBS'!E10</f>
        <v>20018.80052641474</v>
      </c>
      <c r="E21" s="4">
        <f>$E$4*'NIFTY MEMBS'!F10</f>
        <v>20868.8251528894</v>
      </c>
      <c r="F21" s="4">
        <f>$F$4*'NIFTY MEMBS'!G10</f>
        <v>19160.207221594672</v>
      </c>
      <c r="G21" s="4">
        <f>$G$4*'NIFTY MEMBS'!H10</f>
        <v>18393.847705496719</v>
      </c>
      <c r="H21" s="4">
        <f>$H$4*'NIFTY MEMBS'!I10</f>
        <v>20846.746347941567</v>
      </c>
      <c r="I21" s="4">
        <f>$I$4*'NIFTY MEMBS'!J10</f>
        <v>21110.201972352614</v>
      </c>
      <c r="J21" s="4">
        <f>$J$4*'NIFTY MEMBS'!K10</f>
        <v>20621.74671607573</v>
      </c>
      <c r="K21" s="4">
        <f>$K$4*'NIFTY MEMBS'!L10</f>
        <v>19180.027084880519</v>
      </c>
      <c r="L21" s="4">
        <f>$L$4*'NIFTY MEMBS'!M10</f>
        <v>18891.888207225631</v>
      </c>
      <c r="M21" s="4">
        <f>$M$4*'NIFTY MEMBS'!N10</f>
        <v>20516.403022759921</v>
      </c>
      <c r="N21" s="4">
        <f>$N$4*'NIFTY MEMBS'!O10</f>
        <v>19465.606748864375</v>
      </c>
      <c r="O21" s="4">
        <f>$O$4*'NIFTY MEMBS'!P10</f>
        <v>19440.840975173338</v>
      </c>
      <c r="P21" s="4">
        <f>$P$4*'NIFTY MEMBS'!Q10</f>
        <v>20810.167629906638</v>
      </c>
      <c r="Q21" s="4">
        <f>$Q$4*'NIFTY MEMBS'!R10</f>
        <v>18486.203338712665</v>
      </c>
      <c r="R21" s="4">
        <f>$R$4*'NIFTY MEMBS'!S10</f>
        <v>18546.606097667511</v>
      </c>
      <c r="S21" s="4">
        <f>$S$4*'NIFTY MEMBS'!T10</f>
        <v>19580.145549542827</v>
      </c>
      <c r="T21" s="4">
        <f>$T$4*'NIFTY MEMBS'!U10</f>
        <v>21240.167470185232</v>
      </c>
      <c r="U21" s="4">
        <f>$U$4*'NIFTY MEMBS'!V10</f>
        <v>20792.292207692426</v>
      </c>
      <c r="V21" s="4">
        <f>$V$4*'NIFTY MEMBS'!W10</f>
        <v>17875.018732204404</v>
      </c>
      <c r="W21" s="4">
        <f>$W$4*'NIFTY MEMBS'!X10</f>
        <v>16430.379746835446</v>
      </c>
      <c r="X21" s="4">
        <f>$X$4*'NIFTY MEMBS'!Y10</f>
        <v>17504.71814228276</v>
      </c>
      <c r="Y21" s="4">
        <f>$Y$4*'NIFTY MEMBS'!Z10</f>
        <v>21585.144545262712</v>
      </c>
      <c r="Z21" s="4">
        <f>$Z$4*'NIFTY MEMBS'!AA10</f>
        <v>17665.872745831919</v>
      </c>
      <c r="AA21" s="4">
        <f>$AA$4*'NIFTY MEMBS'!AB10</f>
        <v>19520.680324700425</v>
      </c>
      <c r="AB21" s="4">
        <f>$AB$4*'NIFTY MEMBS'!AC10</f>
        <v>19437.229437229438</v>
      </c>
      <c r="AC21" s="4">
        <f>$AC$4*'NIFTY MEMBS'!AD10</f>
        <v>18530.927835051549</v>
      </c>
      <c r="AD21" s="4">
        <f>$AD$4*'NIFTY MEMBS'!AE10</f>
        <v>20046.713380046713</v>
      </c>
      <c r="AE21" s="4">
        <f>$AE$4*'NIFTY MEMBS'!AF10</f>
        <v>19669.814828586303</v>
      </c>
      <c r="AF21" s="4">
        <f>$AF$4*'NIFTY MEMBS'!AG10</f>
        <v>19548.738420150563</v>
      </c>
      <c r="AG21" s="4">
        <f>$AG$4*'NIFTY MEMBS'!AH10</f>
        <v>18783.643892339544</v>
      </c>
      <c r="AH21" s="4">
        <f>$AH$4*'NIFTY MEMBS'!AI10</f>
        <v>20628.054065018168</v>
      </c>
      <c r="AI21" s="4">
        <f>$AI$4*'NIFTY MEMBS'!AJ10</f>
        <v>17980.108234605821</v>
      </c>
      <c r="AJ21" s="4">
        <f>$AJ$4*'NIFTY MEMBS'!AK10</f>
        <v>17483.98751847594</v>
      </c>
      <c r="AK21" s="4">
        <f>$AK$4*'NIFTY MEMBS'!AL10</f>
        <v>18738.81620703069</v>
      </c>
      <c r="AL21" s="4">
        <f>$AL$4*'NIFTY MEMBS'!AM10</f>
        <v>20220.25259451825</v>
      </c>
      <c r="AM21" s="4">
        <f>$AM$4*'NIFTY MEMBS'!AN10</f>
        <v>17612.778630598255</v>
      </c>
      <c r="AN21" s="4">
        <f>$AN$4*'NIFTY MEMBS'!AO10</f>
        <v>20956.869465866894</v>
      </c>
      <c r="AO21" s="4">
        <f>$AO$4*'NIFTY MEMBS'!AP10</f>
        <v>19434.543097861304</v>
      </c>
      <c r="AP21" s="4">
        <f>$AP$4*'NIFTY MEMBS'!AQ10</f>
        <v>19015.094021418328</v>
      </c>
      <c r="AQ21" s="4">
        <f>$AQ$4*'NIFTY MEMBS'!AR10</f>
        <v>19481.174986060982</v>
      </c>
      <c r="AR21" s="4">
        <f>$AR$4*'NIFTY MEMBS'!AS10</f>
        <v>18824.144921849456</v>
      </c>
      <c r="AS21" s="4">
        <f>$AS$4*'NIFTY MEMBS'!AT10</f>
        <v>18561.532772926803</v>
      </c>
      <c r="AT21" s="4">
        <f>$AT$4*'NIFTY MEMBS'!AU10</f>
        <v>17854.144895756599</v>
      </c>
      <c r="AU21" s="4">
        <f>$AU$4*'NIFTY MEMBS'!AV10</f>
        <v>20981.201782027601</v>
      </c>
      <c r="AV21" s="4">
        <f>$AV$4*'NIFTY MEMBS'!AW10</f>
        <v>19504.747991234479</v>
      </c>
      <c r="AW21" s="4">
        <f>$AW$4*'NIFTY MEMBS'!AX10</f>
        <v>19327.494114976042</v>
      </c>
      <c r="AX21" s="4">
        <f>$AX$4*'NIFTY MEMBS'!AY10</f>
        <v>19428.5124819476</v>
      </c>
      <c r="AY21" s="4">
        <f t="shared" si="8"/>
        <v>949203.34609159373</v>
      </c>
      <c r="AZ21" s="4">
        <f t="shared" si="9"/>
        <v>96.857484295060587</v>
      </c>
    </row>
    <row r="22" spans="1:52" ht="14.25" customHeight="1" x14ac:dyDescent="0.3">
      <c r="A22" s="2">
        <v>45671</v>
      </c>
      <c r="B22" s="4">
        <f>$B$4*'NIFTY MEMBS'!C11</f>
        <v>20286.591606960083</v>
      </c>
      <c r="C22" s="4">
        <f>$C$4*'NIFTY MEMBS'!D11</f>
        <v>18472.480872355223</v>
      </c>
      <c r="D22" s="4">
        <f>$D$4*'NIFTY MEMBS'!E11</f>
        <v>20055.148210816569</v>
      </c>
      <c r="E22" s="4">
        <f>$E$4*'NIFTY MEMBS'!F11</f>
        <v>20586.511690111736</v>
      </c>
      <c r="F22" s="4">
        <f>$F$4*'NIFTY MEMBS'!G11</f>
        <v>19324.582245939313</v>
      </c>
      <c r="G22" s="4">
        <f>$G$4*'NIFTY MEMBS'!H11</f>
        <v>18864.09480584972</v>
      </c>
      <c r="H22" s="4">
        <f>$H$4*'NIFTY MEMBS'!I11</f>
        <v>20611.420982735723</v>
      </c>
      <c r="I22" s="4">
        <f>$I$4*'NIFTY MEMBS'!J11</f>
        <v>20394.901167047072</v>
      </c>
      <c r="J22" s="4">
        <f>$J$4*'NIFTY MEMBS'!K11</f>
        <v>21152.653814542991</v>
      </c>
      <c r="K22" s="4">
        <f>$K$4*'NIFTY MEMBS'!L11</f>
        <v>19072.998121532481</v>
      </c>
      <c r="L22" s="4">
        <f>$L$4*'NIFTY MEMBS'!M11</f>
        <v>18882.617586912063</v>
      </c>
      <c r="M22" s="4">
        <f>$M$4*'NIFTY MEMBS'!N11</f>
        <v>20950.813236619291</v>
      </c>
      <c r="N22" s="4">
        <f>$N$4*'NIFTY MEMBS'!O11</f>
        <v>19789.097988319274</v>
      </c>
      <c r="O22" s="4">
        <f>$O$4*'NIFTY MEMBS'!P11</f>
        <v>19577.27577723104</v>
      </c>
      <c r="P22" s="4">
        <f>$P$4*'NIFTY MEMBS'!Q11</f>
        <v>18970.684379821647</v>
      </c>
      <c r="Q22" s="4">
        <f>$Q$4*'NIFTY MEMBS'!R11</f>
        <v>18739.649197068702</v>
      </c>
      <c r="R22" s="4">
        <f>$R$4*'NIFTY MEMBS'!S11</f>
        <v>18317.026295099153</v>
      </c>
      <c r="S22" s="4">
        <f>$S$4*'NIFTY MEMBS'!T11</f>
        <v>19623.997014368357</v>
      </c>
      <c r="T22" s="4">
        <f>$T$4*'NIFTY MEMBS'!U11</f>
        <v>21739.406242070538</v>
      </c>
      <c r="U22" s="4">
        <f>$U$4*'NIFTY MEMBS'!V11</f>
        <v>20421.961676168234</v>
      </c>
      <c r="V22" s="4">
        <f>$V$4*'NIFTY MEMBS'!W11</f>
        <v>18606.323992207403</v>
      </c>
      <c r="W22" s="4">
        <f>$W$4*'NIFTY MEMBS'!X11</f>
        <v>16896.925858951177</v>
      </c>
      <c r="X22" s="4">
        <f>$X$4*'NIFTY MEMBS'!Y11</f>
        <v>18332.649544596698</v>
      </c>
      <c r="Y22" s="4">
        <f>$Y$4*'NIFTY MEMBS'!Z11</f>
        <v>21976.788351972991</v>
      </c>
      <c r="Z22" s="4">
        <f>$Z$4*'NIFTY MEMBS'!AA11</f>
        <v>18366.791425654985</v>
      </c>
      <c r="AA22" s="4">
        <f>$AA$4*'NIFTY MEMBS'!AB11</f>
        <v>20013.25307857971</v>
      </c>
      <c r="AB22" s="4">
        <f>$AB$4*'NIFTY MEMBS'!AC11</f>
        <v>19503.829503829504</v>
      </c>
      <c r="AC22" s="4">
        <f>$AC$4*'NIFTY MEMBS'!AD11</f>
        <v>18701.67525773196</v>
      </c>
      <c r="AD22" s="4">
        <f>$AD$4*'NIFTY MEMBS'!AE11</f>
        <v>20567.233900567233</v>
      </c>
      <c r="AE22" s="4">
        <f>$AE$4*'NIFTY MEMBS'!AF11</f>
        <v>19704.023202201235</v>
      </c>
      <c r="AF22" s="4">
        <f>$AF$4*'NIFTY MEMBS'!AG11</f>
        <v>19438.526457379641</v>
      </c>
      <c r="AG22" s="4">
        <f>$AG$4*'NIFTY MEMBS'!AH11</f>
        <v>19112.318840579712</v>
      </c>
      <c r="AH22" s="4">
        <f>$AH$4*'NIFTY MEMBS'!AI11</f>
        <v>20459.331378731724</v>
      </c>
      <c r="AI22" s="4">
        <f>$AI$4*'NIFTY MEMBS'!AJ11</f>
        <v>18565.160157964019</v>
      </c>
      <c r="AJ22" s="4">
        <f>$AJ$4*'NIFTY MEMBS'!AK11</f>
        <v>17924.125472162919</v>
      </c>
      <c r="AK22" s="4">
        <f>$AK$4*'NIFTY MEMBS'!AL11</f>
        <v>18922.670597629138</v>
      </c>
      <c r="AL22" s="4">
        <f>$AL$4*'NIFTY MEMBS'!AM11</f>
        <v>20590.547151659059</v>
      </c>
      <c r="AM22" s="4">
        <f>$AM$4*'NIFTY MEMBS'!AN11</f>
        <v>17433.80423171879</v>
      </c>
      <c r="AN22" s="4">
        <f>$AN$4*'NIFTY MEMBS'!AO11</f>
        <v>21411.739502999142</v>
      </c>
      <c r="AO22" s="4">
        <f>$AO$4*'NIFTY MEMBS'!AP11</f>
        <v>19457.226182760853</v>
      </c>
      <c r="AP22" s="4">
        <f>$AP$4*'NIFTY MEMBS'!AQ11</f>
        <v>19930.854203558476</v>
      </c>
      <c r="AQ22" s="4">
        <f>$AQ$4*'NIFTY MEMBS'!AR11</f>
        <v>19338.556797840185</v>
      </c>
      <c r="AR22" s="4">
        <f>$AR$4*'NIFTY MEMBS'!AS11</f>
        <v>18935.975410372113</v>
      </c>
      <c r="AS22" s="4">
        <f>$AS$4*'NIFTY MEMBS'!AT11</f>
        <v>18201.271430800651</v>
      </c>
      <c r="AT22" s="4">
        <f>$AT$4*'NIFTY MEMBS'!AU11</f>
        <v>18642.180460144242</v>
      </c>
      <c r="AU22" s="4">
        <f>$AU$4*'NIFTY MEMBS'!AV11</f>
        <v>20931.218081060524</v>
      </c>
      <c r="AV22" s="4">
        <f>$AV$4*'NIFTY MEMBS'!AW11</f>
        <v>19540.54054054054</v>
      </c>
      <c r="AW22" s="4">
        <f>$AW$4*'NIFTY MEMBS'!AX11</f>
        <v>19609.497293486442</v>
      </c>
      <c r="AX22" s="4">
        <f>$AX$4*'NIFTY MEMBS'!AY11</f>
        <v>19849.391376108935</v>
      </c>
      <c r="AY22" s="4">
        <f t="shared" si="8"/>
        <v>956798.34259535966</v>
      </c>
      <c r="AZ22" s="4">
        <f t="shared" si="9"/>
        <v>97.632483938302002</v>
      </c>
    </row>
    <row r="23" spans="1:52" ht="14.25" customHeight="1" x14ac:dyDescent="0.3">
      <c r="A23" s="2">
        <v>45672</v>
      </c>
      <c r="B23" s="4">
        <f>$B$4*'NIFTY MEMBS'!C12</f>
        <v>20506.857727737974</v>
      </c>
      <c r="C23" s="4">
        <f>$C$4*'NIFTY MEMBS'!D12</f>
        <v>18432.76717000606</v>
      </c>
      <c r="D23" s="4">
        <f>$D$4*'NIFTY MEMBS'!E12</f>
        <v>20147.270790248793</v>
      </c>
      <c r="E23" s="4">
        <f>$E$4*'NIFTY MEMBS'!F12</f>
        <v>20666.998990869193</v>
      </c>
      <c r="F23" s="4">
        <f>$F$4*'NIFTY MEMBS'!G12</f>
        <v>19292.64207533206</v>
      </c>
      <c r="G23" s="4">
        <f>$G$4*'NIFTY MEMBS'!H12</f>
        <v>19004.034291477557</v>
      </c>
      <c r="H23" s="4">
        <f>$H$4*'NIFTY MEMBS'!I12</f>
        <v>20713.413014608235</v>
      </c>
      <c r="I23" s="4">
        <f>$I$4*'NIFTY MEMBS'!J12</f>
        <v>20438.396279230008</v>
      </c>
      <c r="J23" s="4">
        <f>$J$4*'NIFTY MEMBS'!K12</f>
        <v>20698.167346762217</v>
      </c>
      <c r="K23" s="4">
        <f>$K$4*'NIFTY MEMBS'!L12</f>
        <v>19105.762089904329</v>
      </c>
      <c r="L23" s="4">
        <f>$L$4*'NIFTY MEMBS'!M12</f>
        <v>19094.205862304021</v>
      </c>
      <c r="M23" s="4">
        <f>$M$4*'NIFTY MEMBS'!N12</f>
        <v>21318.844070911735</v>
      </c>
      <c r="N23" s="4">
        <f>$N$4*'NIFTY MEMBS'!O12</f>
        <v>19209.928617780661</v>
      </c>
      <c r="O23" s="4">
        <f>$O$4*'NIFTY MEMBS'!P12</f>
        <v>20013.419816595837</v>
      </c>
      <c r="P23" s="4">
        <f>$P$4*'NIFTY MEMBS'!Q12</f>
        <v>19097.779753654646</v>
      </c>
      <c r="Q23" s="4">
        <f>$Q$4*'NIFTY MEMBS'!R12</f>
        <v>18591.497129553689</v>
      </c>
      <c r="R23" s="4">
        <f>$R$4*'NIFTY MEMBS'!S12</f>
        <v>18383.244518214378</v>
      </c>
      <c r="S23" s="4">
        <f>$S$4*'NIFTY MEMBS'!T12</f>
        <v>19160.291099085651</v>
      </c>
      <c r="T23" s="4">
        <f>$T$4*'NIFTY MEMBS'!U12</f>
        <v>21208.449632073076</v>
      </c>
      <c r="U23" s="4">
        <f>$U$4*'NIFTY MEMBS'!V12</f>
        <v>20428.108241006808</v>
      </c>
      <c r="V23" s="4">
        <f>$V$4*'NIFTY MEMBS'!W12</f>
        <v>19262.700434587143</v>
      </c>
      <c r="W23" s="4">
        <f>$W$4*'NIFTY MEMBS'!X12</f>
        <v>17641.952983725136</v>
      </c>
      <c r="X23" s="4">
        <f>$X$4*'NIFTY MEMBS'!Y12</f>
        <v>18526.298514810864</v>
      </c>
      <c r="Y23" s="4">
        <f>$Y$4*'NIFTY MEMBS'!Z12</f>
        <v>21791.939227685169</v>
      </c>
      <c r="Z23" s="4">
        <f>$Z$4*'NIFTY MEMBS'!AA12</f>
        <v>18227.288193263019</v>
      </c>
      <c r="AA23" s="4">
        <f>$AA$4*'NIFTY MEMBS'!AB12</f>
        <v>19969.076149980672</v>
      </c>
      <c r="AB23" s="4">
        <f>$AB$4*'NIFTY MEMBS'!AC12</f>
        <v>19490.509490509488</v>
      </c>
      <c r="AC23" s="4">
        <f>$AC$4*'NIFTY MEMBS'!AD12</f>
        <v>19242.912371134022</v>
      </c>
      <c r="AD23" s="4">
        <f>$AD$4*'NIFTY MEMBS'!AE12</f>
        <v>20383.049716383048</v>
      </c>
      <c r="AE23" s="4">
        <f>$AE$4*'NIFTY MEMBS'!AF12</f>
        <v>19628.055442735298</v>
      </c>
      <c r="AF23" s="4">
        <f>$AF$4*'NIFTY MEMBS'!AG12</f>
        <v>19349.575857505475</v>
      </c>
      <c r="AG23" s="4">
        <f>$AG$4*'NIFTY MEMBS'!AH12</f>
        <v>19389.233954451349</v>
      </c>
      <c r="AH23" s="4">
        <f>$AH$4*'NIFTY MEMBS'!AI12</f>
        <v>20280.282495251795</v>
      </c>
      <c r="AI23" s="4">
        <f>$AI$4*'NIFTY MEMBS'!AJ12</f>
        <v>18506.654965628197</v>
      </c>
      <c r="AJ23" s="4">
        <f>$AJ$4*'NIFTY MEMBS'!AK12</f>
        <v>17894.563967810809</v>
      </c>
      <c r="AK23" s="4">
        <f>$AK$4*'NIFTY MEMBS'!AL12</f>
        <v>18979.587658415741</v>
      </c>
      <c r="AL23" s="4">
        <f>$AL$4*'NIFTY MEMBS'!AM12</f>
        <v>20804.863570302743</v>
      </c>
      <c r="AM23" s="4">
        <f>$AM$4*'NIFTY MEMBS'!AN12</f>
        <v>18082.073556355714</v>
      </c>
      <c r="AN23" s="4">
        <f>$AN$4*'NIFTY MEMBS'!AO12</f>
        <v>21033.276206798055</v>
      </c>
      <c r="AO23" s="4">
        <f>$AO$4*'NIFTY MEMBS'!AP12</f>
        <v>19254.698639014903</v>
      </c>
      <c r="AP23" s="4">
        <f>$AP$4*'NIFTY MEMBS'!AQ12</f>
        <v>19952.778480478959</v>
      </c>
      <c r="AQ23" s="4">
        <f>$AQ$4*'NIFTY MEMBS'!AR12</f>
        <v>19672.506382604104</v>
      </c>
      <c r="AR23" s="4">
        <f>$AR$4*'NIFTY MEMBS'!AS12</f>
        <v>18928.781636256623</v>
      </c>
      <c r="AS23" s="4">
        <f>$AS$4*'NIFTY MEMBS'!AT12</f>
        <v>18160.563934515209</v>
      </c>
      <c r="AT23" s="4">
        <f>$AT$4*'NIFTY MEMBS'!AU12</f>
        <v>18268.720127456185</v>
      </c>
      <c r="AU23" s="4">
        <f>$AU$4*'NIFTY MEMBS'!AV12</f>
        <v>20766.054547430187</v>
      </c>
      <c r="AV23" s="4">
        <f>$AV$4*'NIFTY MEMBS'!AW12</f>
        <v>19535.427319211103</v>
      </c>
      <c r="AW23" s="4">
        <f>$AW$4*'NIFTY MEMBS'!AX12</f>
        <v>19653.709656219002</v>
      </c>
      <c r="AX23" s="4">
        <f>$AX$4*'NIFTY MEMBS'!AY12</f>
        <v>19856.612337528371</v>
      </c>
      <c r="AY23" s="4">
        <f t="shared" si="8"/>
        <v>958045.82633540512</v>
      </c>
      <c r="AZ23" s="4">
        <f t="shared" si="9"/>
        <v>97.75977819749032</v>
      </c>
    </row>
    <row r="24" spans="1:52" ht="14.25" customHeight="1" x14ac:dyDescent="0.3">
      <c r="A24" s="2">
        <v>45673</v>
      </c>
      <c r="B24" s="4">
        <f>$B$4*'NIFTY MEMBS'!C13</f>
        <v>20740.225179119756</v>
      </c>
      <c r="C24" s="4">
        <f>$C$4*'NIFTY MEMBS'!D13</f>
        <v>18533.73420987682</v>
      </c>
      <c r="D24" s="4">
        <f>$D$4*'NIFTY MEMBS'!E13</f>
        <v>20432.41210753901</v>
      </c>
      <c r="E24" s="4">
        <f>$E$4*'NIFTY MEMBS'!F13</f>
        <v>20456.41892302642</v>
      </c>
      <c r="F24" s="4">
        <f>$F$4*'NIFTY MEMBS'!G13</f>
        <v>19461.69127098508</v>
      </c>
      <c r="G24" s="4">
        <f>$G$4*'NIFTY MEMBS'!H13</f>
        <v>19321.734745335347</v>
      </c>
      <c r="H24" s="4">
        <f>$H$4*'NIFTY MEMBS'!I13</f>
        <v>20488.180610889773</v>
      </c>
      <c r="I24" s="4">
        <f>$I$4*'NIFTY MEMBS'!J13</f>
        <v>20197.235261185997</v>
      </c>
      <c r="J24" s="4">
        <f>$J$4*'NIFTY MEMBS'!K13</f>
        <v>20935.503871497989</v>
      </c>
      <c r="K24" s="4">
        <f>$K$4*'NIFTY MEMBS'!L13</f>
        <v>18909.178279673233</v>
      </c>
      <c r="L24" s="4">
        <f>$L$4*'NIFTY MEMBS'!M13</f>
        <v>19129.652351738241</v>
      </c>
      <c r="M24" s="4">
        <f>$M$4*'NIFTY MEMBS'!N13</f>
        <v>21577.402460676465</v>
      </c>
      <c r="N24" s="4">
        <f>$N$4*'NIFTY MEMBS'!O13</f>
        <v>19341.985723556132</v>
      </c>
      <c r="O24" s="4">
        <f>$O$4*'NIFTY MEMBS'!P13</f>
        <v>20191.791545515542</v>
      </c>
      <c r="P24" s="4">
        <f>$P$4*'NIFTY MEMBS'!Q13</f>
        <v>18747.875205941578</v>
      </c>
      <c r="Q24" s="4">
        <f>$Q$4*'NIFTY MEMBS'!R13</f>
        <v>18659.752903515964</v>
      </c>
      <c r="R24" s="4">
        <f>$R$4*'NIFTY MEMBS'!S13</f>
        <v>18583.384292827817</v>
      </c>
      <c r="S24" s="4">
        <f>$S$4*'NIFTY MEMBS'!T13</f>
        <v>19369.285314424335</v>
      </c>
      <c r="T24" s="4">
        <f>$T$4*'NIFTY MEMBS'!U13</f>
        <v>21534.509007866021</v>
      </c>
      <c r="U24" s="4">
        <f>$U$4*'NIFTY MEMBS'!V13</f>
        <v>20387.540913072207</v>
      </c>
      <c r="V24" s="4">
        <f>$V$4*'NIFTY MEMBS'!W13</f>
        <v>19511.46410909636</v>
      </c>
      <c r="W24" s="4">
        <f>$W$4*'NIFTY MEMBS'!X13</f>
        <v>17497.28752260398</v>
      </c>
      <c r="X24" s="4">
        <f>$X$4*'NIFTY MEMBS'!Y13</f>
        <v>18884.877328300645</v>
      </c>
      <c r="Y24" s="4">
        <f>$Y$4*'NIFTY MEMBS'!Z13</f>
        <v>22213.969191812619</v>
      </c>
      <c r="Z24" s="4">
        <f>$Z$4*'NIFTY MEMBS'!AA13</f>
        <v>18792.106158557333</v>
      </c>
      <c r="AA24" s="4">
        <f>$AA$4*'NIFTY MEMBS'!AB13</f>
        <v>20029.819426804352</v>
      </c>
      <c r="AB24" s="4">
        <f>$AB$4*'NIFTY MEMBS'!AC13</f>
        <v>19184.149184149184</v>
      </c>
      <c r="AC24" s="4">
        <f>$AC$4*'NIFTY MEMBS'!AD13</f>
        <v>19178.4793814433</v>
      </c>
      <c r="AD24" s="4">
        <f>$AD$4*'NIFTY MEMBS'!AE13</f>
        <v>20670.003336670005</v>
      </c>
      <c r="AE24" s="4">
        <f>$AE$4*'NIFTY MEMBS'!AF13</f>
        <v>19637.093775563324</v>
      </c>
      <c r="AF24" s="4">
        <f>$AF$4*'NIFTY MEMBS'!AG13</f>
        <v>19227.214544507842</v>
      </c>
      <c r="AG24" s="4">
        <f>$AG$4*'NIFTY MEMBS'!AH13</f>
        <v>19609.213250517601</v>
      </c>
      <c r="AH24" s="4">
        <f>$AH$4*'NIFTY MEMBS'!AI13</f>
        <v>20000.553189135371</v>
      </c>
      <c r="AI24" s="4">
        <f>$AI$4*'NIFTY MEMBS'!AJ13</f>
        <v>18693.871581102823</v>
      </c>
      <c r="AJ24" s="4">
        <f>$AJ$4*'NIFTY MEMBS'!AK13</f>
        <v>18183.609788142556</v>
      </c>
      <c r="AK24" s="4">
        <f>$AK$4*'NIFTY MEMBS'!AL13</f>
        <v>19251.069754110104</v>
      </c>
      <c r="AL24" s="4">
        <f>$AL$4*'NIFTY MEMBS'!AM13</f>
        <v>20665.26108939062</v>
      </c>
      <c r="AM24" s="4">
        <f>$AM$4*'NIFTY MEMBS'!AN13</f>
        <v>17576.417823869386</v>
      </c>
      <c r="AN24" s="4">
        <f>$AN$4*'NIFTY MEMBS'!AO13</f>
        <v>21616.68094830048</v>
      </c>
      <c r="AO24" s="4">
        <f>$AO$4*'NIFTY MEMBS'!AP13</f>
        <v>20784.186649384312</v>
      </c>
      <c r="AP24" s="4">
        <f>$AP$4*'NIFTY MEMBS'!AQ13</f>
        <v>20325.491188127158</v>
      </c>
      <c r="AQ24" s="4">
        <f>$AQ$4*'NIFTY MEMBS'!AR13</f>
        <v>19809.842415705611</v>
      </c>
      <c r="AR24" s="4">
        <f>$AR$4*'NIFTY MEMBS'!AS13</f>
        <v>18880.387155843306</v>
      </c>
      <c r="AS24" s="4">
        <f>$AS$4*'NIFTY MEMBS'!AT13</f>
        <v>18425.976810296281</v>
      </c>
      <c r="AT24" s="4">
        <f>$AT$4*'NIFTY MEMBS'!AU13</f>
        <v>18734.688982920183</v>
      </c>
      <c r="AU24" s="4">
        <f>$AU$4*'NIFTY MEMBS'!AV13</f>
        <v>20378.137563837881</v>
      </c>
      <c r="AV24" s="4">
        <f>$AV$4*'NIFTY MEMBS'!AW13</f>
        <v>19032.140248356467</v>
      </c>
      <c r="AW24" s="4">
        <f>$AW$4*'NIFTY MEMBS'!AX13</f>
        <v>19473.036433376747</v>
      </c>
      <c r="AX24" s="4">
        <f>$AX$4*'NIFTY MEMBS'!AY13</f>
        <v>20122.756344130394</v>
      </c>
      <c r="AY24" s="4">
        <f t="shared" si="8"/>
        <v>963389.27935432002</v>
      </c>
      <c r="AZ24" s="4">
        <f t="shared" si="9"/>
        <v>98.30502850554285</v>
      </c>
    </row>
    <row r="25" spans="1:52" ht="14.25" customHeight="1" x14ac:dyDescent="0.3">
      <c r="A25" s="2">
        <v>45674</v>
      </c>
      <c r="B25" s="4">
        <f>$B$4*'NIFTY MEMBS'!C14</f>
        <v>21328.14738996929</v>
      </c>
      <c r="C25" s="4">
        <f>$C$4*'NIFTY MEMBS'!D14</f>
        <v>18362.090242096525</v>
      </c>
      <c r="D25" s="4">
        <f>$D$4*'NIFTY MEMBS'!E14</f>
        <v>20398.57115999248</v>
      </c>
      <c r="E25" s="4">
        <f>$E$4*'NIFTY MEMBS'!F14</f>
        <v>20057.629879998542</v>
      </c>
      <c r="F25" s="4">
        <f>$F$4*'NIFTY MEMBS'!G14</f>
        <v>19093.210766174579</v>
      </c>
      <c r="G25" s="4">
        <f>$G$4*'NIFTY MEMBS'!H14</f>
        <v>19266.26323751891</v>
      </c>
      <c r="H25" s="4">
        <f>$H$4*'NIFTY MEMBS'!I14</f>
        <v>19287.649402390438</v>
      </c>
      <c r="I25" s="4">
        <f>$I$4*'NIFTY MEMBS'!J14</f>
        <v>20274.751302700144</v>
      </c>
      <c r="J25" s="4">
        <f>$J$4*'NIFTY MEMBS'!K14</f>
        <v>20711.721194468879</v>
      </c>
      <c r="K25" s="4">
        <f>$K$4*'NIFTY MEMBS'!L14</f>
        <v>19230.265169717353</v>
      </c>
      <c r="L25" s="4">
        <f>$L$4*'NIFTY MEMBS'!M14</f>
        <v>19460.940695296522</v>
      </c>
      <c r="M25" s="4">
        <f>$M$4*'NIFTY MEMBS'!N14</f>
        <v>21656.004924921712</v>
      </c>
      <c r="N25" s="4">
        <f>$N$4*'NIFTY MEMBS'!O14</f>
        <v>18931.537962362101</v>
      </c>
      <c r="O25" s="4">
        <f>$O$4*'NIFTY MEMBS'!P14</f>
        <v>19666.741221203309</v>
      </c>
      <c r="P25" s="4">
        <f>$P$4*'NIFTY MEMBS'!Q14</f>
        <v>18712.832448547295</v>
      </c>
      <c r="Q25" s="4">
        <f>$Q$4*'NIFTY MEMBS'!R14</f>
        <v>18905.791158496253</v>
      </c>
      <c r="R25" s="4">
        <f>$R$4*'NIFTY MEMBS'!S14</f>
        <v>18485.19262688914</v>
      </c>
      <c r="S25" s="4">
        <f>$S$4*'NIFTY MEMBS'!T14</f>
        <v>18493.189027803695</v>
      </c>
      <c r="T25" s="4">
        <f>$T$4*'NIFTY MEMBS'!U14</f>
        <v>21322.633849276834</v>
      </c>
      <c r="U25" s="4">
        <f>$U$4*'NIFTY MEMBS'!V14</f>
        <v>20636.476789034532</v>
      </c>
      <c r="V25" s="4">
        <f>$V$4*'NIFTY MEMBS'!W14</f>
        <v>19550.427094260453</v>
      </c>
      <c r="W25" s="4">
        <f>$W$4*'NIFTY MEMBS'!X14</f>
        <v>17996.383363471974</v>
      </c>
      <c r="X25" s="4">
        <f>$X$4*'NIFTY MEMBS'!Y14</f>
        <v>19094.116681710017</v>
      </c>
      <c r="Y25" s="4">
        <f>$Y$4*'NIFTY MEMBS'!Z14</f>
        <v>22500.105507491033</v>
      </c>
      <c r="Z25" s="4">
        <f>$Z$4*'NIFTY MEMBS'!AA14</f>
        <v>19200.408302143587</v>
      </c>
      <c r="AA25" s="4">
        <f>$AA$4*'NIFTY MEMBS'!AB14</f>
        <v>20069.578662543488</v>
      </c>
      <c r="AB25" s="4">
        <f>$AB$4*'NIFTY MEMBS'!AC14</f>
        <v>18777.888777888777</v>
      </c>
      <c r="AC25" s="4">
        <f>$AC$4*'NIFTY MEMBS'!AD14</f>
        <v>19497.422680412375</v>
      </c>
      <c r="AD25" s="4">
        <f>$AD$4*'NIFTY MEMBS'!AE14</f>
        <v>20814.147480814147</v>
      </c>
      <c r="AE25" s="4">
        <f>$AE$4*'NIFTY MEMBS'!AF14</f>
        <v>19635.835273523979</v>
      </c>
      <c r="AF25" s="4">
        <f>$AF$4*'NIFTY MEMBS'!AG14</f>
        <v>19621.200616145616</v>
      </c>
      <c r="AG25" s="4">
        <f>$AG$4*'NIFTY MEMBS'!AH14</f>
        <v>20064.699792960662</v>
      </c>
      <c r="AH25" s="4">
        <f>$AH$4*'NIFTY MEMBS'!AI14</f>
        <v>20442.182515535398</v>
      </c>
      <c r="AI25" s="4">
        <f>$AI$4*'NIFTY MEMBS'!AJ14</f>
        <v>19055.141143776509</v>
      </c>
      <c r="AJ25" s="4">
        <f>$AJ$4*'NIFTY MEMBS'!AK14</f>
        <v>18328.132698308429</v>
      </c>
      <c r="AK25" s="4">
        <f>$AK$4*'NIFTY MEMBS'!AL14</f>
        <v>19457.035808611261</v>
      </c>
      <c r="AL25" s="4">
        <f>$AL$4*'NIFTY MEMBS'!AM14</f>
        <v>20519.927128323747</v>
      </c>
      <c r="AM25" s="4">
        <f>$AM$4*'NIFTY MEMBS'!AN14</f>
        <v>17590.565997693848</v>
      </c>
      <c r="AN25" s="4">
        <f>$AN$4*'NIFTY MEMBS'!AO14</f>
        <v>22000.856898029131</v>
      </c>
      <c r="AO25" s="4">
        <f>$AO$4*'NIFTY MEMBS'!AP14</f>
        <v>20810.110174983794</v>
      </c>
      <c r="AP25" s="4">
        <f>$AP$4*'NIFTY MEMBS'!AQ14</f>
        <v>20811.198246057844</v>
      </c>
      <c r="AQ25" s="4">
        <f>$AQ$4*'NIFTY MEMBS'!AR14</f>
        <v>19488.804765677731</v>
      </c>
      <c r="AR25" s="4">
        <f>$AR$4*'NIFTY MEMBS'!AS14</f>
        <v>18864.69164868223</v>
      </c>
      <c r="AS25" s="4">
        <f>$AS$4*'NIFTY MEMBS'!AT14</f>
        <v>18530.323692441296</v>
      </c>
      <c r="AT25" s="4">
        <f>$AT$4*'NIFTY MEMBS'!AU14</f>
        <v>18039.161941308481</v>
      </c>
      <c r="AU25" s="4">
        <f>$AU$4*'NIFTY MEMBS'!AV14</f>
        <v>20742.149299141587</v>
      </c>
      <c r="AV25" s="4">
        <f>$AV$4*'NIFTY MEMBS'!AW14</f>
        <v>19129.29145361578</v>
      </c>
      <c r="AW25" s="4">
        <f>$AW$4*'NIFTY MEMBS'!AX14</f>
        <v>19587.271619247909</v>
      </c>
      <c r="AX25" s="4">
        <f>$AX$4*'NIFTY MEMBS'!AY14</f>
        <v>20031.97854342893</v>
      </c>
      <c r="AY25" s="4">
        <f t="shared" si="8"/>
        <v>964532.67825708841</v>
      </c>
      <c r="AZ25" s="4">
        <f t="shared" si="9"/>
        <v>98.421701862968206</v>
      </c>
    </row>
    <row r="26" spans="1:52" ht="14.25" customHeight="1" x14ac:dyDescent="0.3">
      <c r="A26" s="2">
        <v>45677</v>
      </c>
      <c r="B26" s="4">
        <f>$B$4*'NIFTY MEMBS'!C15</f>
        <v>21378.915046059366</v>
      </c>
      <c r="C26" s="4">
        <f>$C$4*'NIFTY MEMBS'!D15</f>
        <v>18524.534990688597</v>
      </c>
      <c r="D26" s="4">
        <f>$D$4*'NIFTY MEMBS'!E15</f>
        <v>20569.65595036661</v>
      </c>
      <c r="E26" s="4">
        <f>$E$4*'NIFTY MEMBS'!F15</f>
        <v>19831.487312915659</v>
      </c>
      <c r="F26" s="4">
        <f>$F$4*'NIFTY MEMBS'!G15</f>
        <v>19210.06504888404</v>
      </c>
      <c r="G26" s="4">
        <f>$G$4*'NIFTY MEMBS'!H15</f>
        <v>19648.260211800301</v>
      </c>
      <c r="H26" s="4">
        <f>$H$4*'NIFTY MEMBS'!I15</f>
        <v>19264.807436918989</v>
      </c>
      <c r="I26" s="4">
        <f>$I$4*'NIFTY MEMBS'!J15</f>
        <v>20198.957839886309</v>
      </c>
      <c r="J26" s="4">
        <f>$J$4*'NIFTY MEMBS'!K15</f>
        <v>21455.740919642983</v>
      </c>
      <c r="K26" s="4">
        <f>$K$4*'NIFTY MEMBS'!L15</f>
        <v>19121.051941811191</v>
      </c>
      <c r="L26" s="4">
        <f>$L$4*'NIFTY MEMBS'!M15</f>
        <v>19593.728698023177</v>
      </c>
      <c r="M26" s="4">
        <f>$M$4*'NIFTY MEMBS'!N15</f>
        <v>21448.48014417887</v>
      </c>
      <c r="N26" s="4">
        <f>$N$4*'NIFTY MEMBS'!O15</f>
        <v>18741.726151849445</v>
      </c>
      <c r="O26" s="4">
        <f>$O$4*'NIFTY MEMBS'!P15</f>
        <v>21477.298143592034</v>
      </c>
      <c r="P26" s="4">
        <f>$P$4*'NIFTY MEMBS'!Q15</f>
        <v>18789.194278093048</v>
      </c>
      <c r="Q26" s="4">
        <f>$Q$4*'NIFTY MEMBS'!R15</f>
        <v>18817.958147040925</v>
      </c>
      <c r="R26" s="4">
        <f>$R$4*'NIFTY MEMBS'!S15</f>
        <v>18562.854896479428</v>
      </c>
      <c r="S26" s="4">
        <f>$S$4*'NIFTY MEMBS'!T15</f>
        <v>18437.208434409404</v>
      </c>
      <c r="T26" s="4">
        <f>$T$4*'NIFTY MEMBS'!U15</f>
        <v>22014.717076884037</v>
      </c>
      <c r="U26" s="4">
        <f>$U$4*'NIFTY MEMBS'!V15</f>
        <v>20789.21892527314</v>
      </c>
      <c r="V26" s="4">
        <f>$V$4*'NIFTY MEMBS'!W15</f>
        <v>20143.863329836655</v>
      </c>
      <c r="W26" s="4">
        <f>$W$4*'NIFTY MEMBS'!X15</f>
        <v>17341.772151898735</v>
      </c>
      <c r="X26" s="4">
        <f>$X$4*'NIFTY MEMBS'!Y15</f>
        <v>18851.234922458356</v>
      </c>
      <c r="Y26" s="4">
        <f>$Y$4*'NIFTY MEMBS'!Z15</f>
        <v>22735.598227474155</v>
      </c>
      <c r="Z26" s="4">
        <f>$Z$4*'NIFTY MEMBS'!AA15</f>
        <v>19448.792106158562</v>
      </c>
      <c r="AA26" s="4">
        <f>$AA$4*'NIFTY MEMBS'!AB15</f>
        <v>20303.716384118394</v>
      </c>
      <c r="AB26" s="4">
        <f>$AB$4*'NIFTY MEMBS'!AC15</f>
        <v>19996.669996669996</v>
      </c>
      <c r="AC26" s="4">
        <f>$AC$4*'NIFTY MEMBS'!AD15</f>
        <v>19732.603092783505</v>
      </c>
      <c r="AD26" s="4">
        <f>$AD$4*'NIFTY MEMBS'!AE15</f>
        <v>20670.003336670005</v>
      </c>
      <c r="AE26" s="4">
        <f>$AE$4*'NIFTY MEMBS'!AF15</f>
        <v>19551.172409058927</v>
      </c>
      <c r="AF26" s="4">
        <f>$AF$4*'NIFTY MEMBS'!AG15</f>
        <v>19790.857613954395</v>
      </c>
      <c r="AG26" s="4">
        <f>$AG$4*'NIFTY MEMBS'!AH15</f>
        <v>20033.643892339547</v>
      </c>
      <c r="AH26" s="4">
        <f>$AH$4*'NIFTY MEMBS'!AI15</f>
        <v>20412.679094982577</v>
      </c>
      <c r="AI26" s="4">
        <f>$AI$4*'NIFTY MEMBS'!AJ15</f>
        <v>19256.984057335085</v>
      </c>
      <c r="AJ26" s="4">
        <f>$AJ$4*'NIFTY MEMBS'!AK15</f>
        <v>18111.348333059617</v>
      </c>
      <c r="AK26" s="4">
        <f>$AK$4*'NIFTY MEMBS'!AL15</f>
        <v>19671.19136826157</v>
      </c>
      <c r="AL26" s="4">
        <f>$AL$4*'NIFTY MEMBS'!AM15</f>
        <v>20538.145047387057</v>
      </c>
      <c r="AM26" s="4">
        <f>$AM$4*'NIFTY MEMBS'!AN15</f>
        <v>17232.475718196674</v>
      </c>
      <c r="AN26" s="4">
        <f>$AN$4*'NIFTY MEMBS'!AO15</f>
        <v>21418.166238217651</v>
      </c>
      <c r="AO26" s="4">
        <f>$AO$4*'NIFTY MEMBS'!AP15</f>
        <v>20546.014257939074</v>
      </c>
      <c r="AP26" s="4">
        <f>$AP$4*'NIFTY MEMBS'!AQ15</f>
        <v>20849.987351378695</v>
      </c>
      <c r="AQ26" s="4">
        <f>$AQ$4*'NIFTY MEMBS'!AR15</f>
        <v>19656.659917246237</v>
      </c>
      <c r="AR26" s="4">
        <f>$AR$4*'NIFTY MEMBS'!AS15</f>
        <v>18905.892354980053</v>
      </c>
      <c r="AS26" s="4">
        <f>$AS$4*'NIFTY MEMBS'!AT15</f>
        <v>18402.095079142156</v>
      </c>
      <c r="AT26" s="4">
        <f>$AT$4*'NIFTY MEMBS'!AU15</f>
        <v>17703.39026604766</v>
      </c>
      <c r="AU26" s="4">
        <f>$AU$4*'NIFTY MEMBS'!AV15</f>
        <v>20869.281755949149</v>
      </c>
      <c r="AV26" s="4">
        <f>$AV$4*'NIFTY MEMBS'!AW15</f>
        <v>19026.296566837107</v>
      </c>
      <c r="AW26" s="4">
        <f>$AW$4*'NIFTY MEMBS'!AX15</f>
        <v>19559.071301396871</v>
      </c>
      <c r="AX26" s="4">
        <f>$AX$4*'NIFTY MEMBS'!AY15</f>
        <v>20026.820713843619</v>
      </c>
      <c r="AY26" s="4">
        <f t="shared" si="8"/>
        <v>968662.2884804192</v>
      </c>
      <c r="AZ26" s="4">
        <f t="shared" si="9"/>
        <v>98.843090661267269</v>
      </c>
    </row>
    <row r="27" spans="1:52" ht="14.25" customHeight="1" x14ac:dyDescent="0.3">
      <c r="A27" s="2">
        <v>45678</v>
      </c>
      <c r="B27" s="4">
        <f>$B$4*'NIFTY MEMBS'!C16</f>
        <v>20858.955987717502</v>
      </c>
      <c r="C27" s="4">
        <f>$C$4*'NIFTY MEMBS'!D16</f>
        <v>18425.362920415537</v>
      </c>
      <c r="D27" s="4">
        <f>$D$4*'NIFTY MEMBS'!E16</f>
        <v>20381.650686219215</v>
      </c>
      <c r="E27" s="4">
        <f>$E$4*'NIFTY MEMBS'!F16</f>
        <v>19627.47267443981</v>
      </c>
      <c r="F27" s="4">
        <f>$F$4*'NIFTY MEMBS'!G16</f>
        <v>18636.700035056285</v>
      </c>
      <c r="G27" s="4">
        <f>$G$4*'NIFTY MEMBS'!H16</f>
        <v>19138.930912758446</v>
      </c>
      <c r="H27" s="4">
        <f>$H$4*'NIFTY MEMBS'!I16</f>
        <v>19130.942895086322</v>
      </c>
      <c r="I27" s="4">
        <f>$I$4*'NIFTY MEMBS'!J16</f>
        <v>20158.477240428925</v>
      </c>
      <c r="J27" s="4">
        <f>$J$4*'NIFTY MEMBS'!K16</f>
        <v>21027.497008060214</v>
      </c>
      <c r="K27" s="4">
        <f>$K$4*'NIFTY MEMBS'!L16</f>
        <v>19114.499148136823</v>
      </c>
      <c r="L27" s="4">
        <f>$L$4*'NIFTY MEMBS'!M16</f>
        <v>19310.702113156101</v>
      </c>
      <c r="M27" s="4">
        <f>$M$4*'NIFTY MEMBS'!N16</f>
        <v>21205.178305362992</v>
      </c>
      <c r="N27" s="4">
        <f>$N$4*'NIFTY MEMBS'!O16</f>
        <v>18308.241401687217</v>
      </c>
      <c r="O27" s="4">
        <f>$O$4*'NIFTY MEMBS'!P16</f>
        <v>21173.115634086331</v>
      </c>
      <c r="P27" s="4">
        <f>$P$4*'NIFTY MEMBS'!Q16</f>
        <v>18854.049530583958</v>
      </c>
      <c r="Q27" s="4">
        <f>$Q$4*'NIFTY MEMBS'!R16</f>
        <v>18653.403529193893</v>
      </c>
      <c r="R27" s="4">
        <f>$R$4*'NIFTY MEMBS'!S16</f>
        <v>18638.595265134969</v>
      </c>
      <c r="S27" s="4">
        <f>$S$4*'NIFTY MEMBS'!T16</f>
        <v>18104.123903713382</v>
      </c>
      <c r="T27" s="4">
        <f>$T$4*'NIFTY MEMBS'!U16</f>
        <v>21783.811215427555</v>
      </c>
      <c r="U27" s="4">
        <f>$U$4*'NIFTY MEMBS'!V16</f>
        <v>20611.583201438298</v>
      </c>
      <c r="V27" s="4">
        <f>$V$4*'NIFTY MEMBS'!W16</f>
        <v>19439.532444178032</v>
      </c>
      <c r="W27" s="4">
        <f>$W$4*'NIFTY MEMBS'!X16</f>
        <v>15518.987341772154</v>
      </c>
      <c r="X27" s="4">
        <f>$X$4*'NIFTY MEMBS'!Y16</f>
        <v>18153.770411093788</v>
      </c>
      <c r="Y27" s="4">
        <f>$Y$4*'NIFTY MEMBS'!Z16</f>
        <v>22435.112893015405</v>
      </c>
      <c r="Z27" s="4">
        <f>$Z$4*'NIFTY MEMBS'!AA16</f>
        <v>18986.049676760806</v>
      </c>
      <c r="AA27" s="4">
        <f>$AA$4*'NIFTY MEMBS'!AB16</f>
        <v>20472.693136009719</v>
      </c>
      <c r="AB27" s="4">
        <f>$AB$4*'NIFTY MEMBS'!AC16</f>
        <v>19870.129870129869</v>
      </c>
      <c r="AC27" s="4">
        <f>$AC$4*'NIFTY MEMBS'!AD16</f>
        <v>19481.314432989693</v>
      </c>
      <c r="AD27" s="4">
        <f>$AD$4*'NIFTY MEMBS'!AE16</f>
        <v>20306.973640306973</v>
      </c>
      <c r="AE27" s="4">
        <f>$AE$4*'NIFTY MEMBS'!AF16</f>
        <v>19377.61353690557</v>
      </c>
      <c r="AF27" s="4">
        <f>$AF$4*'NIFTY MEMBS'!AG16</f>
        <v>19615.559846397497</v>
      </c>
      <c r="AG27" s="4">
        <f>$AG$4*'NIFTY MEMBS'!AH16</f>
        <v>19748.964803312632</v>
      </c>
      <c r="AH27" s="4">
        <f>$AH$4*'NIFTY MEMBS'!AI16</f>
        <v>20250.779074698978</v>
      </c>
      <c r="AI27" s="4">
        <f>$AI$4*'NIFTY MEMBS'!AJ16</f>
        <v>18970.308614889567</v>
      </c>
      <c r="AJ27" s="4">
        <f>$AJ$4*'NIFTY MEMBS'!AK16</f>
        <v>17086.549515519793</v>
      </c>
      <c r="AK27" s="4">
        <f>$AK$4*'NIFTY MEMBS'!AL16</f>
        <v>19388.65344061585</v>
      </c>
      <c r="AL27" s="4">
        <f>$AL$4*'NIFTY MEMBS'!AM16</f>
        <v>20346.549853642558</v>
      </c>
      <c r="AM27" s="4">
        <f>$AM$4*'NIFTY MEMBS'!AN16</f>
        <v>16233.473164451299</v>
      </c>
      <c r="AN27" s="4">
        <f>$AN$4*'NIFTY MEMBS'!AO16</f>
        <v>20944.730077120821</v>
      </c>
      <c r="AO27" s="4">
        <f>$AO$4*'NIFTY MEMBS'!AP16</f>
        <v>20220.34996759559</v>
      </c>
      <c r="AP27" s="4">
        <f>$AP$4*'NIFTY MEMBS'!AQ16</f>
        <v>20742.052449616323</v>
      </c>
      <c r="AQ27" s="4">
        <f>$AQ$4*'NIFTY MEMBS'!AR16</f>
        <v>19256.389940429028</v>
      </c>
      <c r="AR27" s="4">
        <f>$AR$4*'NIFTY MEMBS'!AS16</f>
        <v>18677.653521679418</v>
      </c>
      <c r="AS27" s="4">
        <f>$AS$4*'NIFTY MEMBS'!AT16</f>
        <v>18777.418194893922</v>
      </c>
      <c r="AT27" s="4">
        <f>$AT$4*'NIFTY MEMBS'!AU16</f>
        <v>17826.734963082243</v>
      </c>
      <c r="AU27" s="4">
        <f>$AU$4*'NIFTY MEMBS'!AV16</f>
        <v>21125.719873954145</v>
      </c>
      <c r="AV27" s="4">
        <f>$AV$4*'NIFTY MEMBS'!AW16</f>
        <v>18818.845872899929</v>
      </c>
      <c r="AW27" s="4">
        <f>$AW$4*'NIFTY MEMBS'!AX16</f>
        <v>19237.396489299412</v>
      </c>
      <c r="AX27" s="4">
        <f>$AX$4*'NIFTY MEMBS'!AY16</f>
        <v>19815.349700845887</v>
      </c>
      <c r="AY27" s="4">
        <f t="shared" si="8"/>
        <v>954268.95035621081</v>
      </c>
      <c r="AZ27" s="4">
        <f t="shared" si="9"/>
        <v>97.374382689409273</v>
      </c>
    </row>
    <row r="28" spans="1:52" ht="14.25" customHeight="1" x14ac:dyDescent="0.3">
      <c r="A28" s="2">
        <v>45679</v>
      </c>
      <c r="B28" s="4">
        <f>$B$4*'NIFTY MEMBS'!C17</f>
        <v>20914.636642784029</v>
      </c>
      <c r="C28" s="4">
        <f>$C$4*'NIFTY MEMBS'!D17</f>
        <v>18690.794049675784</v>
      </c>
      <c r="D28" s="4">
        <f>$D$4*'NIFTY MEMBS'!E17</f>
        <v>20451.839318167575</v>
      </c>
      <c r="E28" s="4">
        <f>$E$4*'NIFTY MEMBS'!F17</f>
        <v>20214.713856703427</v>
      </c>
      <c r="F28" s="4">
        <f>$F$4*'NIFTY MEMBS'!G17</f>
        <v>18703.696490476377</v>
      </c>
      <c r="G28" s="4">
        <f>$G$4*'NIFTY MEMBS'!H17</f>
        <v>18997.730711043871</v>
      </c>
      <c r="H28" s="4">
        <f>$H$4*'NIFTY MEMBS'!I17</f>
        <v>19723.24037184595</v>
      </c>
      <c r="I28" s="4">
        <f>$I$4*'NIFTY MEMBS'!J17</f>
        <v>20179.578829507773</v>
      </c>
      <c r="J28" s="4">
        <f>$J$4*'NIFTY MEMBS'!K17</f>
        <v>21332.026011852409</v>
      </c>
      <c r="K28" s="4">
        <f>$K$4*'NIFTY MEMBS'!L17</f>
        <v>19090.472237997466</v>
      </c>
      <c r="L28" s="4">
        <f>$L$4*'NIFTY MEMBS'!M17</f>
        <v>19185.82140422631</v>
      </c>
      <c r="M28" s="4">
        <f>$M$4*'NIFTY MEMBS'!N17</f>
        <v>21449.015461756022</v>
      </c>
      <c r="N28" s="4">
        <f>$N$4*'NIFTY MEMBS'!O17</f>
        <v>18341.661258922777</v>
      </c>
      <c r="O28" s="4">
        <f>$O$4*'NIFTY MEMBS'!P17</f>
        <v>21443.748602102434</v>
      </c>
      <c r="P28" s="4">
        <f>$P$4*'NIFTY MEMBS'!Q17</f>
        <v>19118.700802845262</v>
      </c>
      <c r="Q28" s="4">
        <f>$Q$4*'NIFTY MEMBS'!R17</f>
        <v>19037.011561152409</v>
      </c>
      <c r="R28" s="4">
        <f>$R$4*'NIFTY MEMBS'!S17</f>
        <v>18683.934655368219</v>
      </c>
      <c r="S28" s="4">
        <f>$S$4*'NIFTY MEMBS'!T17</f>
        <v>17900.727747714125</v>
      </c>
      <c r="T28" s="4">
        <f>$T$4*'NIFTY MEMBS'!U17</f>
        <v>22117.482872367418</v>
      </c>
      <c r="U28" s="4">
        <f>$U$4*'NIFTY MEMBS'!V17</f>
        <v>20630.637552437882</v>
      </c>
      <c r="V28" s="4">
        <f>$V$4*'NIFTY MEMBS'!W17</f>
        <v>19325.640641390677</v>
      </c>
      <c r="W28" s="4">
        <f>$W$4*'NIFTY MEMBS'!X17</f>
        <v>15656.419529837252</v>
      </c>
      <c r="X28" s="4">
        <f>$X$4*'NIFTY MEMBS'!Y17</f>
        <v>18088.947238861077</v>
      </c>
      <c r="Y28" s="4">
        <f>$Y$4*'NIFTY MEMBS'!Z17</f>
        <v>22287.402405570796</v>
      </c>
      <c r="Z28" s="4">
        <f>$Z$4*'NIFTY MEMBS'!AA17</f>
        <v>18397.41408642396</v>
      </c>
      <c r="AA28" s="4">
        <f>$AA$4*'NIFTY MEMBS'!AB17</f>
        <v>20308.134076978298</v>
      </c>
      <c r="AB28" s="4">
        <f>$AB$4*'NIFTY MEMBS'!AC17</f>
        <v>20586.080586080589</v>
      </c>
      <c r="AC28" s="4">
        <f>$AC$4*'NIFTY MEMBS'!AD17</f>
        <v>19172.036082474227</v>
      </c>
      <c r="AD28" s="4">
        <f>$AD$4*'NIFTY MEMBS'!AE17</f>
        <v>19826.493159826492</v>
      </c>
      <c r="AE28" s="4">
        <f>$AE$4*'NIFTY MEMBS'!AF17</f>
        <v>19359.994508354739</v>
      </c>
      <c r="AF28" s="4">
        <f>$AF$4*'NIFTY MEMBS'!AG17</f>
        <v>19630.746534180893</v>
      </c>
      <c r="AG28" s="4">
        <f>$AG$4*'NIFTY MEMBS'!AH17</f>
        <v>19627.329192546586</v>
      </c>
      <c r="AH28" s="4">
        <f>$AH$4*'NIFTY MEMBS'!AI17</f>
        <v>20355.51621766149</v>
      </c>
      <c r="AI28" s="4">
        <f>$AI$4*'NIFTY MEMBS'!AJ17</f>
        <v>18856.22348983472</v>
      </c>
      <c r="AJ28" s="4">
        <f>$AJ$4*'NIFTY MEMBS'!AK17</f>
        <v>17263.918541632454</v>
      </c>
      <c r="AK28" s="4">
        <f>$AK$4*'NIFTY MEMBS'!AL17</f>
        <v>19557.766721945827</v>
      </c>
      <c r="AL28" s="4">
        <f>$AL$4*'NIFTY MEMBS'!AM17</f>
        <v>20509.282950893496</v>
      </c>
      <c r="AM28" s="4">
        <f>$AM$4*'NIFTY MEMBS'!AN17</f>
        <v>15920.515559454165</v>
      </c>
      <c r="AN28" s="4">
        <f>$AN$4*'NIFTY MEMBS'!AO17</f>
        <v>20851.89945729791</v>
      </c>
      <c r="AO28" s="4">
        <f>$AO$4*'NIFTY MEMBS'!AP17</f>
        <v>20032.404406999351</v>
      </c>
      <c r="AP28" s="4">
        <f>$AP$4*'NIFTY MEMBS'!AQ17</f>
        <v>20691.457964415211</v>
      </c>
      <c r="AQ28" s="4">
        <f>$AQ$4*'NIFTY MEMBS'!AR17</f>
        <v>19766.411362502567</v>
      </c>
      <c r="AR28" s="4">
        <f>$AR$4*'NIFTY MEMBS'!AS17</f>
        <v>18826.760839709634</v>
      </c>
      <c r="AS28" s="4">
        <f>$AS$4*'NIFTY MEMBS'!AT17</f>
        <v>18706.180076394401</v>
      </c>
      <c r="AT28" s="4">
        <f>$AT$4*'NIFTY MEMBS'!AU17</f>
        <v>17770.201976941393</v>
      </c>
      <c r="AU28" s="4">
        <f>$AU$4*'NIFTY MEMBS'!AV17</f>
        <v>21023.579267630121</v>
      </c>
      <c r="AV28" s="4">
        <f>$AV$4*'NIFTY MEMBS'!AW17</f>
        <v>18937.180423666912</v>
      </c>
      <c r="AW28" s="4">
        <f>$AW$4*'NIFTY MEMBS'!AX17</f>
        <v>19385.089679400622</v>
      </c>
      <c r="AX28" s="4">
        <f>$AX$4*'NIFTY MEMBS'!AY17</f>
        <v>20031.97854342893</v>
      </c>
      <c r="AY28" s="4">
        <f t="shared" si="8"/>
        <v>956960.47596128238</v>
      </c>
      <c r="AZ28" s="4">
        <f t="shared" si="9"/>
        <v>97.649028159314526</v>
      </c>
    </row>
    <row r="29" spans="1:52" ht="14.25" customHeight="1" x14ac:dyDescent="0.3">
      <c r="A29" s="2">
        <v>45680</v>
      </c>
      <c r="B29" s="4">
        <f>$B$4*'NIFTY MEMBS'!C18</f>
        <v>20694.370522006142</v>
      </c>
      <c r="C29" s="4">
        <f>$C$4*'NIFTY MEMBS'!D18</f>
        <v>18677.780520092445</v>
      </c>
      <c r="D29" s="4">
        <f>$D$4*'NIFTY MEMBS'!E18</f>
        <v>20505.10747634267</v>
      </c>
      <c r="E29" s="4">
        <f>$E$4*'NIFTY MEMBS'!F18</f>
        <v>20160.488273413659</v>
      </c>
      <c r="F29" s="4">
        <f>$F$4*'NIFTY MEMBS'!G18</f>
        <v>18723.95123281268</v>
      </c>
      <c r="G29" s="4">
        <f>$G$4*'NIFTY MEMBS'!H18</f>
        <v>18807.362581946545</v>
      </c>
      <c r="H29" s="4">
        <f>$H$4*'NIFTY MEMBS'!I18</f>
        <v>19818.857901726427</v>
      </c>
      <c r="I29" s="4">
        <f>$I$4*'NIFTY MEMBS'!J18</f>
        <v>19996.554842599373</v>
      </c>
      <c r="J29" s="4">
        <f>$J$4*'NIFTY MEMBS'!K18</f>
        <v>21464.969071273052</v>
      </c>
      <c r="K29" s="4">
        <f>$K$4*'NIFTY MEMBS'!L18</f>
        <v>19230.265169717353</v>
      </c>
      <c r="L29" s="4">
        <f>$L$4*'NIFTY MEMBS'!M18</f>
        <v>19104.294478527605</v>
      </c>
      <c r="M29" s="4">
        <f>$M$4*'NIFTY MEMBS'!N18</f>
        <v>21494.339016621612</v>
      </c>
      <c r="N29" s="4">
        <f>$N$4*'NIFTY MEMBS'!O18</f>
        <v>18731.018818948731</v>
      </c>
      <c r="O29" s="4">
        <f>$O$4*'NIFTY MEMBS'!P18</f>
        <v>21190.449563855957</v>
      </c>
      <c r="P29" s="4">
        <f>$P$4*'NIFTY MEMBS'!Q18</f>
        <v>18902.167943722376</v>
      </c>
      <c r="Q29" s="4">
        <f>$Q$4*'NIFTY MEMBS'!R18</f>
        <v>19403.687928252068</v>
      </c>
      <c r="R29" s="4">
        <f>$R$4*'NIFTY MEMBS'!S18</f>
        <v>19954.398532366558</v>
      </c>
      <c r="S29" s="4">
        <f>$S$4*'NIFTY MEMBS'!T18</f>
        <v>17746.781115879829</v>
      </c>
      <c r="T29" s="4">
        <f>$T$4*'NIFTY MEMBS'!U18</f>
        <v>22153.641207815275</v>
      </c>
      <c r="U29" s="4">
        <f>$U$4*'NIFTY MEMBS'!V18</f>
        <v>20889.407932141927</v>
      </c>
      <c r="V29" s="4">
        <f>$V$4*'NIFTY MEMBS'!W18</f>
        <v>19400.569459013936</v>
      </c>
      <c r="W29" s="4">
        <f>$W$4*'NIFTY MEMBS'!X18</f>
        <v>16054.249547920435</v>
      </c>
      <c r="X29" s="4">
        <f>$X$4*'NIFTY MEMBS'!Y18</f>
        <v>18117.666365799621</v>
      </c>
      <c r="Y29" s="4">
        <f>$Y$4*'NIFTY MEMBS'!Z18</f>
        <v>22202.996412745306</v>
      </c>
      <c r="Z29" s="4">
        <f>$Z$4*'NIFTY MEMBS'!AA18</f>
        <v>18642.395372575709</v>
      </c>
      <c r="AA29" s="4">
        <f>$AA$4*'NIFTY MEMBS'!AB18</f>
        <v>20540.062952123251</v>
      </c>
      <c r="AB29" s="4">
        <f>$AB$4*'NIFTY MEMBS'!AC18</f>
        <v>21158.841158841158</v>
      </c>
      <c r="AC29" s="4">
        <f>$AC$4*'NIFTY MEMBS'!AD18</f>
        <v>18965.850515463921</v>
      </c>
      <c r="AD29" s="4">
        <f>$AD$4*'NIFTY MEMBS'!AE18</f>
        <v>20086.753420086752</v>
      </c>
      <c r="AE29" s="4">
        <f>$AE$4*'NIFTY MEMBS'!AF18</f>
        <v>19220.644009816318</v>
      </c>
      <c r="AF29" s="4">
        <f>$AF$4*'NIFTY MEMBS'!AG18</f>
        <v>19754.409563274246</v>
      </c>
      <c r="AG29" s="4">
        <f>$AG$4*'NIFTY MEMBS'!AH18</f>
        <v>19968.944099378885</v>
      </c>
      <c r="AH29" s="4">
        <f>$AH$4*'NIFTY MEMBS'!AI18</f>
        <v>20273.828622005869</v>
      </c>
      <c r="AI29" s="4">
        <f>$AI$4*'NIFTY MEMBS'!AJ18</f>
        <v>19068.304812052069</v>
      </c>
      <c r="AJ29" s="4">
        <f>$AJ$4*'NIFTY MEMBS'!AK18</f>
        <v>16807.357529972083</v>
      </c>
      <c r="AK29" s="4">
        <f>$AK$4*'NIFTY MEMBS'!AL18</f>
        <v>20155.600597833876</v>
      </c>
      <c r="AL29" s="4">
        <f>$AL$4*'NIFTY MEMBS'!AM18</f>
        <v>20945.284834094116</v>
      </c>
      <c r="AM29" s="4">
        <f>$AM$4*'NIFTY MEMBS'!AN18</f>
        <v>16223.993887988909</v>
      </c>
      <c r="AN29" s="4">
        <f>$AN$4*'NIFTY MEMBS'!AO18</f>
        <v>20706.226792345042</v>
      </c>
      <c r="AO29" s="4">
        <f>$AO$4*'NIFTY MEMBS'!AP18</f>
        <v>20123.136746597535</v>
      </c>
      <c r="AP29" s="4">
        <f>$AP$4*'NIFTY MEMBS'!AQ18</f>
        <v>20516.063749051351</v>
      </c>
      <c r="AQ29" s="4">
        <f>$AQ$4*'NIFTY MEMBS'!AR18</f>
        <v>20112.099069753793</v>
      </c>
      <c r="AR29" s="4">
        <f>$AR$4*'NIFTY MEMBS'!AS18</f>
        <v>18980.446013995163</v>
      </c>
      <c r="AS29" s="4">
        <f>$AS$4*'NIFTY MEMBS'!AT18</f>
        <v>18782.031711139607</v>
      </c>
      <c r="AT29" s="4">
        <f>$AT$4*'NIFTY MEMBS'!AU18</f>
        <v>18152.227913590184</v>
      </c>
      <c r="AU29" s="4">
        <f>$AU$4*'NIFTY MEMBS'!AV18</f>
        <v>21382.157991959146</v>
      </c>
      <c r="AV29" s="4">
        <f>$AV$4*'NIFTY MEMBS'!AW18</f>
        <v>18837.107377647921</v>
      </c>
      <c r="AW29" s="4">
        <f>$AW$4*'NIFTY MEMBS'!AX18</f>
        <v>19598.503949239428</v>
      </c>
      <c r="AX29" s="4">
        <f>$AX$4*'NIFTY MEMBS'!AY18</f>
        <v>20031.97854342893</v>
      </c>
      <c r="AY29" s="4">
        <f t="shared" si="8"/>
        <v>962459.62714979681</v>
      </c>
      <c r="AZ29" s="4">
        <f t="shared" si="9"/>
        <v>98.210166035693547</v>
      </c>
    </row>
    <row r="30" spans="1:52" ht="14.25" customHeight="1" x14ac:dyDescent="0.3">
      <c r="A30" s="2">
        <v>45681</v>
      </c>
      <c r="B30" s="4">
        <f>$B$4*'NIFTY MEMBS'!C19</f>
        <v>20410.235414534287</v>
      </c>
      <c r="C30" s="4">
        <f>$C$4*'NIFTY MEMBS'!D19</f>
        <v>18508.380264309275</v>
      </c>
      <c r="D30" s="4">
        <f>$D$4*'NIFTY MEMBS'!E19</f>
        <v>20615.403897975808</v>
      </c>
      <c r="E30" s="4">
        <f>$E$4*'NIFTY MEMBS'!F19</f>
        <v>20194.044912400153</v>
      </c>
      <c r="F30" s="4">
        <f>$F$4*'NIFTY MEMBS'!G19</f>
        <v>18840.026486970746</v>
      </c>
      <c r="G30" s="4">
        <f>$G$4*'NIFTY MEMBS'!H19</f>
        <v>18763.237518910741</v>
      </c>
      <c r="H30" s="4">
        <f>$H$4*'NIFTY MEMBS'!I19</f>
        <v>19925.099601593625</v>
      </c>
      <c r="I30" s="4">
        <f>$I$4*'NIFTY MEMBS'!J19</f>
        <v>20396.193101072306</v>
      </c>
      <c r="J30" s="4">
        <f>$J$4*'NIFTY MEMBS'!K19</f>
        <v>21451.415223566393</v>
      </c>
      <c r="K30" s="4">
        <f>$K$4*'NIFTY MEMBS'!L19</f>
        <v>19291.424577344809</v>
      </c>
      <c r="L30" s="4">
        <f>$L$4*'NIFTY MEMBS'!M19</f>
        <v>18858.623040218132</v>
      </c>
      <c r="M30" s="4">
        <f>$M$4*'NIFTY MEMBS'!N19</f>
        <v>21355.424105350499</v>
      </c>
      <c r="N30" s="4">
        <f>$N$4*'NIFTY MEMBS'!O19</f>
        <v>18179.104477611942</v>
      </c>
      <c r="O30" s="4">
        <f>$O$4*'NIFTY MEMBS'!P19</f>
        <v>21093.715052560947</v>
      </c>
      <c r="P30" s="4">
        <f>$P$4*'NIFTY MEMBS'!Q19</f>
        <v>18754.151520698761</v>
      </c>
      <c r="Q30" s="4">
        <f>$Q$4*'NIFTY MEMBS'!R19</f>
        <v>19283.049816132701</v>
      </c>
      <c r="R30" s="4">
        <f>$R$4*'NIFTY MEMBS'!S19</f>
        <v>19718.441513060188</v>
      </c>
      <c r="S30" s="4">
        <f>$S$4*'NIFTY MEMBS'!T19</f>
        <v>17699.197611494685</v>
      </c>
      <c r="T30" s="4">
        <f>$T$4*'NIFTY MEMBS'!U19</f>
        <v>21932.250697792439</v>
      </c>
      <c r="U30" s="4">
        <f>$U$4*'NIFTY MEMBS'!V19</f>
        <v>20911.5355655608</v>
      </c>
      <c r="V30" s="4">
        <f>$V$4*'NIFTY MEMBS'!W19</f>
        <v>19400.569459013936</v>
      </c>
      <c r="W30" s="4">
        <f>$W$4*'NIFTY MEMBS'!X19</f>
        <v>15594.93670886076</v>
      </c>
      <c r="X30" s="4">
        <f>$X$4*'NIFTY MEMBS'!Y19</f>
        <v>17956.018708459833</v>
      </c>
      <c r="Y30" s="4">
        <f>$Y$4*'NIFTY MEMBS'!Z19</f>
        <v>21650.981219666595</v>
      </c>
      <c r="Z30" s="4">
        <f>$Z$4*'NIFTY MEMBS'!AA19</f>
        <v>18383.80401497108</v>
      </c>
      <c r="AA30" s="4">
        <f>$AA$4*'NIFTY MEMBS'!AB19</f>
        <v>20596.38853608703</v>
      </c>
      <c r="AB30" s="4">
        <f>$AB$4*'NIFTY MEMBS'!AC19</f>
        <v>21318.68131868132</v>
      </c>
      <c r="AC30" s="4">
        <f>$AC$4*'NIFTY MEMBS'!AD19</f>
        <v>19062.500000000004</v>
      </c>
      <c r="AD30" s="4">
        <f>$AD$4*'NIFTY MEMBS'!AE19</f>
        <v>19595.595595595594</v>
      </c>
      <c r="AE30" s="4">
        <f>$AE$4*'NIFTY MEMBS'!AF19</f>
        <v>19224.190697381746</v>
      </c>
      <c r="AF30" s="4">
        <f>$AF$4*'NIFTY MEMBS'!AG19</f>
        <v>19633.349966372334</v>
      </c>
      <c r="AG30" s="4">
        <f>$AG$4*'NIFTY MEMBS'!AH19</f>
        <v>19826.604554865426</v>
      </c>
      <c r="AH30" s="4">
        <f>$AH$4*'NIFTY MEMBS'!AI19</f>
        <v>20356.438199553766</v>
      </c>
      <c r="AI30" s="4">
        <f>$AI$4*'NIFTY MEMBS'!AJ19</f>
        <v>18976.159134123154</v>
      </c>
      <c r="AJ30" s="4">
        <f>$AJ$4*'NIFTY MEMBS'!AK19</f>
        <v>16058.466086385286</v>
      </c>
      <c r="AK30" s="4">
        <f>$AK$4*'NIFTY MEMBS'!AL19</f>
        <v>20398.009950248754</v>
      </c>
      <c r="AL30" s="4">
        <f>$AL$4*'NIFTY MEMBS'!AM19</f>
        <v>21314.146521196239</v>
      </c>
      <c r="AM30" s="4">
        <f>$AM$4*'NIFTY MEMBS'!AN19</f>
        <v>15535.968194905243</v>
      </c>
      <c r="AN30" s="4">
        <f>$AN$4*'NIFTY MEMBS'!AO19</f>
        <v>20571.265352756353</v>
      </c>
      <c r="AO30" s="4">
        <f>$AO$4*'NIFTY MEMBS'!AP19</f>
        <v>20126.377187297468</v>
      </c>
      <c r="AP30" s="4">
        <f>$AP$4*'NIFTY MEMBS'!AQ19</f>
        <v>20470.528712370349</v>
      </c>
      <c r="AQ30" s="4">
        <f>$AQ$4*'NIFTY MEMBS'!AR19</f>
        <v>20225.371951756315</v>
      </c>
      <c r="AR30" s="4">
        <f>$AR$4*'NIFTY MEMBS'!AS19</f>
        <v>18460.532339284549</v>
      </c>
      <c r="AS30" s="4">
        <f>$AS$4*'NIFTY MEMBS'!AT19</f>
        <v>18304.939854674238</v>
      </c>
      <c r="AT30" s="4">
        <f>$AT$4*'NIFTY MEMBS'!AU19</f>
        <v>18071.711236359275</v>
      </c>
      <c r="AU30" s="4">
        <f>$AU$4*'NIFTY MEMBS'!AV19</f>
        <v>21565.793762903402</v>
      </c>
      <c r="AV30" s="4">
        <f>$AV$4*'NIFTY MEMBS'!AW19</f>
        <v>17887.509130752376</v>
      </c>
      <c r="AW30" s="4">
        <f>$AW$4*'NIFTY MEMBS'!AX19</f>
        <v>19366.926762818595</v>
      </c>
      <c r="AX30" s="4">
        <f>$AX$4*'NIFTY MEMBS'!AY19</f>
        <v>19616.257478852898</v>
      </c>
      <c r="AY30" s="4">
        <f t="shared" si="8"/>
        <v>955730.97703535308</v>
      </c>
      <c r="AZ30" s="4">
        <f t="shared" si="9"/>
        <v>97.523569085240112</v>
      </c>
    </row>
    <row r="31" spans="1:52" ht="14.25" customHeight="1" x14ac:dyDescent="0.3">
      <c r="A31" s="2">
        <v>45684</v>
      </c>
      <c r="B31" s="4">
        <f>$B$4*'NIFTY MEMBS'!C20</f>
        <v>20132.650972364379</v>
      </c>
      <c r="C31" s="4">
        <f>$C$4*'NIFTY MEMBS'!D20</f>
        <v>18284.00906459647</v>
      </c>
      <c r="D31" s="4">
        <f>$D$4*'NIFTY MEMBS'!E20</f>
        <v>20086.482421507801</v>
      </c>
      <c r="E31" s="4">
        <f>$E$4*'NIFTY MEMBS'!F20</f>
        <v>19769.966808107089</v>
      </c>
      <c r="F31" s="4">
        <f>$F$4*'NIFTY MEMBS'!G20</f>
        <v>19132.1621937444</v>
      </c>
      <c r="G31" s="4">
        <f>$G$4*'NIFTY MEMBS'!H20</f>
        <v>18890.569843671205</v>
      </c>
      <c r="H31" s="4">
        <f>$H$4*'NIFTY MEMBS'!I20</f>
        <v>19357.237715803451</v>
      </c>
      <c r="I31" s="4">
        <f>$I$4*'NIFTY MEMBS'!J20</f>
        <v>20609.362215236211</v>
      </c>
      <c r="J31" s="4">
        <f>$J$4*'NIFTY MEMBS'!K20</f>
        <v>21038.455438120916</v>
      </c>
      <c r="K31" s="4">
        <f>$K$4*'NIFTY MEMBS'!L20</f>
        <v>19225.89664060111</v>
      </c>
      <c r="L31" s="4">
        <f>$L$4*'NIFTY MEMBS'!M20</f>
        <v>18855.623721881391</v>
      </c>
      <c r="M31" s="4">
        <f>$M$4*'NIFTY MEMBS'!N20</f>
        <v>21401.729075774205</v>
      </c>
      <c r="N31" s="4">
        <f>$N$4*'NIFTY MEMBS'!O20</f>
        <v>18375.081116158337</v>
      </c>
      <c r="O31" s="4">
        <f>$O$4*'NIFTY MEMBS'!P20</f>
        <v>21040.035786177588</v>
      </c>
      <c r="P31" s="4">
        <f>$P$4*'NIFTY MEMBS'!Q20</f>
        <v>17907.89508093831</v>
      </c>
      <c r="Q31" s="4">
        <f>$Q$4*'NIFTY MEMBS'!R20</f>
        <v>18908.965845657291</v>
      </c>
      <c r="R31" s="4">
        <f>$R$4*'NIFTY MEMBS'!S20</f>
        <v>19637.459596400804</v>
      </c>
      <c r="S31" s="4">
        <f>$S$4*'NIFTY MEMBS'!T20</f>
        <v>17691.733532375445</v>
      </c>
      <c r="T31" s="4">
        <f>$T$4*'NIFTY MEMBS'!U20</f>
        <v>21715.3006851053</v>
      </c>
      <c r="U31" s="4">
        <f>$U$4*'NIFTY MEMBS'!V20</f>
        <v>20402.599996926718</v>
      </c>
      <c r="V31" s="4">
        <f>$V$4*'NIFTY MEMBS'!W20</f>
        <v>19313.652030570956</v>
      </c>
      <c r="W31" s="4">
        <f>$W$4*'NIFTY MEMBS'!X20</f>
        <v>14915.00904159132</v>
      </c>
      <c r="X31" s="4">
        <f>$X$4*'NIFTY MEMBS'!Y20</f>
        <v>17756.625912857962</v>
      </c>
      <c r="Y31" s="4">
        <f>$Y$4*'NIFTY MEMBS'!Z20</f>
        <v>21167.334880776536</v>
      </c>
      <c r="Z31" s="4">
        <f>$Z$4*'NIFTY MEMBS'!AA20</f>
        <v>17893.841442667577</v>
      </c>
      <c r="AA31" s="4">
        <f>$AA$4*'NIFTY MEMBS'!AB20</f>
        <v>20307.029653763322</v>
      </c>
      <c r="AB31" s="4">
        <f>$AB$4*'NIFTY MEMBS'!AC20</f>
        <v>20509.490509490508</v>
      </c>
      <c r="AC31" s="4">
        <f>$AC$4*'NIFTY MEMBS'!AD20</f>
        <v>18492.268041237116</v>
      </c>
      <c r="AD31" s="4">
        <f>$AD$4*'NIFTY MEMBS'!AE20</f>
        <v>19033.7003670337</v>
      </c>
      <c r="AE31" s="4">
        <f>$AE$4*'NIFTY MEMBS'!AF20</f>
        <v>19185.520361990952</v>
      </c>
      <c r="AF31" s="4">
        <f>$AF$4*'NIFTY MEMBS'!AG20</f>
        <v>19538.758596750049</v>
      </c>
      <c r="AG31" s="4">
        <f>$AG$4*'NIFTY MEMBS'!AH20</f>
        <v>19448.757763975154</v>
      </c>
      <c r="AH31" s="4">
        <f>$AH$4*'NIFTY MEMBS'!AI20</f>
        <v>20050.89340045362</v>
      </c>
      <c r="AI31" s="4">
        <f>$AI$4*'NIFTY MEMBS'!AJ20</f>
        <v>18483.252888693871</v>
      </c>
      <c r="AJ31" s="4">
        <f>$AJ$4*'NIFTY MEMBS'!AK20</f>
        <v>15325.997700771886</v>
      </c>
      <c r="AK31" s="4">
        <f>$AK$4*'NIFTY MEMBS'!AL20</f>
        <v>20130.213131871507</v>
      </c>
      <c r="AL31" s="4">
        <f>$AL$4*'NIFTY MEMBS'!AM20</f>
        <v>21061.142611507992</v>
      </c>
      <c r="AM31" s="4">
        <f>$AM$4*'NIFTY MEMBS'!AN20</f>
        <v>15315.681128458345</v>
      </c>
      <c r="AN31" s="4">
        <f>$AN$4*'NIFTY MEMBS'!AO20</f>
        <v>20342.759211653811</v>
      </c>
      <c r="AO31" s="4">
        <f>$AO$4*'NIFTY MEMBS'!AP20</f>
        <v>19773.169151004535</v>
      </c>
      <c r="AP31" s="4">
        <f>$AP$4*'NIFTY MEMBS'!AQ20</f>
        <v>19795.935576355507</v>
      </c>
      <c r="AQ31" s="4">
        <f>$AQ$4*'NIFTY MEMBS'!AR20</f>
        <v>19413.680781758958</v>
      </c>
      <c r="AR31" s="4">
        <f>$AR$4*'NIFTY MEMBS'!AS20</f>
        <v>18260.414622980836</v>
      </c>
      <c r="AS31" s="4">
        <f>$AS$4*'NIFTY MEMBS'!AT20</f>
        <v>18170.333733623713</v>
      </c>
      <c r="AT31" s="4">
        <f>$AT$4*'NIFTY MEMBS'!AU20</f>
        <v>17530.365066040802</v>
      </c>
      <c r="AU31" s="4">
        <f>$AU$4*'NIFTY MEMBS'!AV20</f>
        <v>20988.807997392156</v>
      </c>
      <c r="AV31" s="4">
        <f>$AV$4*'NIFTY MEMBS'!AW20</f>
        <v>17496.712929145364</v>
      </c>
      <c r="AW31" s="4">
        <f>$AW$4*'NIFTY MEMBS'!AX20</f>
        <v>19195.096012522852</v>
      </c>
      <c r="AX31" s="4">
        <f>$AX$4*'NIFTY MEMBS'!AY20</f>
        <v>19113.884877243658</v>
      </c>
      <c r="AY31" s="4">
        <f t="shared" si="8"/>
        <v>940473.54717533302</v>
      </c>
      <c r="AZ31" s="4">
        <f t="shared" si="9"/>
        <v>95.966688487278887</v>
      </c>
    </row>
    <row r="32" spans="1:52" ht="14.25" customHeight="1" x14ac:dyDescent="0.3">
      <c r="A32" s="2">
        <v>45685</v>
      </c>
      <c r="B32" s="4">
        <f>$B$4*'NIFTY MEMBS'!C21</f>
        <v>20215.353121801432</v>
      </c>
      <c r="C32" s="4">
        <f>$C$4*'NIFTY MEMBS'!D21</f>
        <v>18739.482600013464</v>
      </c>
      <c r="D32" s="4">
        <f>$D$4*'NIFTY MEMBS'!E21</f>
        <v>20283.887948862568</v>
      </c>
      <c r="E32" s="4">
        <f>$E$4*'NIFTY MEMBS'!F21</f>
        <v>19649.114274945594</v>
      </c>
      <c r="F32" s="4">
        <f>$F$4*'NIFTY MEMBS'!G21</f>
        <v>19427.414014723639</v>
      </c>
      <c r="G32" s="4">
        <f>$G$4*'NIFTY MEMBS'!H21</f>
        <v>18971.255673222389</v>
      </c>
      <c r="H32" s="4">
        <f>$H$4*'NIFTY MEMBS'!I21</f>
        <v>19439.57503320053</v>
      </c>
      <c r="I32" s="4">
        <f>$I$4*'NIFTY MEMBS'!J21</f>
        <v>20574.910641229922</v>
      </c>
      <c r="J32" s="4">
        <f>$J$4*'NIFTY MEMBS'!K21</f>
        <v>21935.893184144879</v>
      </c>
      <c r="K32" s="4">
        <f>$K$4*'NIFTY MEMBS'!L21</f>
        <v>19022.760036695643</v>
      </c>
      <c r="L32" s="4">
        <f>$L$4*'NIFTY MEMBS'!M21</f>
        <v>18617.041581458758</v>
      </c>
      <c r="M32" s="4">
        <f>$M$4*'NIFTY MEMBS'!N21</f>
        <v>21633.521586681301</v>
      </c>
      <c r="N32" s="4">
        <f>$N$4*'NIFTY MEMBS'!O21</f>
        <v>18628.16353017521</v>
      </c>
      <c r="O32" s="4">
        <f>$O$4*'NIFTY MEMBS'!P21</f>
        <v>21111.048982330572</v>
      </c>
      <c r="P32" s="4">
        <f>$P$4*'NIFTY MEMBS'!Q21</f>
        <v>17712.283271006039</v>
      </c>
      <c r="Q32" s="4">
        <f>$Q$4*'NIFTY MEMBS'!R21</f>
        <v>18048.096510489693</v>
      </c>
      <c r="R32" s="4">
        <f>$R$4*'NIFTY MEMBS'!S21</f>
        <v>19736.786931073642</v>
      </c>
      <c r="S32" s="4">
        <f>$S$4*'NIFTY MEMBS'!T21</f>
        <v>18357.902593767492</v>
      </c>
      <c r="T32" s="4">
        <f>$T$4*'NIFTY MEMBS'!U21</f>
        <v>22442.907891398121</v>
      </c>
      <c r="U32" s="4">
        <f>$U$4*'NIFTY MEMBS'!V21</f>
        <v>20442.859996619391</v>
      </c>
      <c r="V32" s="4">
        <f>$V$4*'NIFTY MEMBS'!W21</f>
        <v>19076.876966881464</v>
      </c>
      <c r="W32" s="4">
        <f>$W$4*'NIFTY MEMBS'!X21</f>
        <v>15059.674502712478</v>
      </c>
      <c r="X32" s="4">
        <f>$X$4*'NIFTY MEMBS'!Y21</f>
        <v>17735.291704275045</v>
      </c>
      <c r="Y32" s="4">
        <f>$Y$4*'NIFTY MEMBS'!Z21</f>
        <v>20990.082295843007</v>
      </c>
      <c r="Z32" s="4">
        <f>$Z$4*'NIFTY MEMBS'!AA21</f>
        <v>17574.004763525012</v>
      </c>
      <c r="AA32" s="4">
        <f>$AA$4*'NIFTY MEMBS'!AB21</f>
        <v>20236.346568004858</v>
      </c>
      <c r="AB32" s="4">
        <f>$AB$4*'NIFTY MEMBS'!AC21</f>
        <v>20219.780219780219</v>
      </c>
      <c r="AC32" s="4">
        <f>$AC$4*'NIFTY MEMBS'!AD21</f>
        <v>18295.747422680412</v>
      </c>
      <c r="AD32" s="4">
        <f>$AD$4*'NIFTY MEMBS'!AE21</f>
        <v>19439.43943943944</v>
      </c>
      <c r="AE32" s="4">
        <f>$AE$4*'NIFTY MEMBS'!AF21</f>
        <v>19217.097322250887</v>
      </c>
      <c r="AF32" s="4">
        <f>$AF$4*'NIFTY MEMBS'!AG21</f>
        <v>19454.580955893518</v>
      </c>
      <c r="AG32" s="4">
        <f>$AG$4*'NIFTY MEMBS'!AH21</f>
        <v>19184.782608695652</v>
      </c>
      <c r="AH32" s="4">
        <f>$AH$4*'NIFTY MEMBS'!AI21</f>
        <v>19880.695543139536</v>
      </c>
      <c r="AI32" s="4">
        <f>$AI$4*'NIFTY MEMBS'!AJ21</f>
        <v>18812.344595582857</v>
      </c>
      <c r="AJ32" s="4">
        <f>$AJ$4*'NIFTY MEMBS'!AK21</f>
        <v>15332.566923961243</v>
      </c>
      <c r="AK32" s="4">
        <f>$AK$4*'NIFTY MEMBS'!AL21</f>
        <v>19747.353766148681</v>
      </c>
      <c r="AL32" s="4">
        <f>$AL$4*'NIFTY MEMBS'!AM21</f>
        <v>20901.070558614614</v>
      </c>
      <c r="AM32" s="4">
        <f>$AM$4*'NIFTY MEMBS'!AN21</f>
        <v>15435.940605966287</v>
      </c>
      <c r="AN32" s="4">
        <f>$AN$4*'NIFTY MEMBS'!AO21</f>
        <v>20272.779205941159</v>
      </c>
      <c r="AO32" s="4">
        <f>$AO$4*'NIFTY MEMBS'!AP21</f>
        <v>19816.915100453658</v>
      </c>
      <c r="AP32" s="4">
        <f>$AP$4*'NIFTY MEMBS'!AQ21</f>
        <v>19355.763555105827</v>
      </c>
      <c r="AQ32" s="4">
        <f>$AQ$4*'NIFTY MEMBS'!AR21</f>
        <v>19348.534201954397</v>
      </c>
      <c r="AR32" s="4">
        <f>$AR$4*'NIFTY MEMBS'!AS21</f>
        <v>18580.864560852788</v>
      </c>
      <c r="AS32" s="4">
        <f>$AS$4*'NIFTY MEMBS'!AT21</f>
        <v>18206.970480280608</v>
      </c>
      <c r="AT32" s="4">
        <f>$AT$4*'NIFTY MEMBS'!AU21</f>
        <v>18162.506638343068</v>
      </c>
      <c r="AU32" s="4">
        <f>$AU$4*'NIFTY MEMBS'!AV21</f>
        <v>20889.927197652942</v>
      </c>
      <c r="AV32" s="4">
        <f>$AV$4*'NIFTY MEMBS'!AW21</f>
        <v>17257.121986851718</v>
      </c>
      <c r="AW32" s="4">
        <f>$AW$4*'NIFTY MEMBS'!AX21</f>
        <v>19244.805047378923</v>
      </c>
      <c r="AX32" s="4">
        <f>$AX$4*'NIFTY MEMBS'!AY21</f>
        <v>19272.746028471222</v>
      </c>
      <c r="AY32" s="4">
        <f t="shared" si="8"/>
        <v>941992.87017052167</v>
      </c>
      <c r="AZ32" s="4">
        <f t="shared" si="9"/>
        <v>96.121721445971602</v>
      </c>
    </row>
    <row r="33" spans="1:52" ht="14.25" customHeight="1" x14ac:dyDescent="0.3">
      <c r="A33" s="2">
        <v>45686</v>
      </c>
      <c r="B33" s="4">
        <f>$B$4*'NIFTY MEMBS'!C22</f>
        <v>20233.367451381779</v>
      </c>
      <c r="C33" s="4">
        <f>$C$4*'NIFTY MEMBS'!D22</f>
        <v>18816.890663914382</v>
      </c>
      <c r="D33" s="4">
        <f>$D$4*'NIFTY MEMBS'!E22</f>
        <v>20059.535000313343</v>
      </c>
      <c r="E33" s="4">
        <f>$E$4*'NIFTY MEMBS'!F22</f>
        <v>19938.479495191434</v>
      </c>
      <c r="F33" s="4">
        <f>$F$4*'NIFTY MEMBS'!G22</f>
        <v>19501.421727106299</v>
      </c>
      <c r="G33" s="4">
        <f>$G$4*'NIFTY MEMBS'!H22</f>
        <v>19123.802319717601</v>
      </c>
      <c r="H33" s="4">
        <f>$H$4*'NIFTY MEMBS'!I22</f>
        <v>19986.719787516598</v>
      </c>
      <c r="I33" s="4">
        <f>$I$4*'NIFTY MEMBS'!J22</f>
        <v>20532.70746307222</v>
      </c>
      <c r="J33" s="4">
        <f>$J$4*'NIFTY MEMBS'!K22</f>
        <v>22377.402563695876</v>
      </c>
      <c r="K33" s="4">
        <f>$K$4*'NIFTY MEMBS'!L22</f>
        <v>18931.020925254466</v>
      </c>
      <c r="L33" s="4">
        <f>$L$4*'NIFTY MEMBS'!M22</f>
        <v>18812.269938650305</v>
      </c>
      <c r="M33" s="4">
        <f>$M$4*'NIFTY MEMBS'!N22</f>
        <v>21373.268024588921</v>
      </c>
      <c r="N33" s="4">
        <f>$N$4*'NIFTY MEMBS'!O22</f>
        <v>18976.963011031796</v>
      </c>
      <c r="O33" s="4">
        <f>$O$4*'NIFTY MEMBS'!P22</f>
        <v>21475.620666517556</v>
      </c>
      <c r="P33" s="4">
        <f>$P$4*'NIFTY MEMBS'!Q22</f>
        <v>17981.641779335234</v>
      </c>
      <c r="Q33" s="4">
        <f>$Q$4*'NIFTY MEMBS'!R22</f>
        <v>18363.977883012776</v>
      </c>
      <c r="R33" s="4">
        <f>$R$4*'NIFTY MEMBS'!S22</f>
        <v>20170.961824058704</v>
      </c>
      <c r="S33" s="4">
        <f>$S$4*'NIFTY MEMBS'!T22</f>
        <v>18350.438514648256</v>
      </c>
      <c r="T33" s="4">
        <f>$T$4*'NIFTY MEMBS'!U22</f>
        <v>22715.046942400404</v>
      </c>
      <c r="U33" s="4">
        <f>$U$4*'NIFTY MEMBS'!V22</f>
        <v>20718.533429629519</v>
      </c>
      <c r="V33" s="4">
        <f>$V$4*'NIFTY MEMBS'!W22</f>
        <v>19256.706129177281</v>
      </c>
      <c r="W33" s="4">
        <f>$W$4*'NIFTY MEMBS'!X22</f>
        <v>16094.032549728754</v>
      </c>
      <c r="X33" s="4">
        <f>$X$4*'NIFTY MEMBS'!Y22</f>
        <v>18001.969311561497</v>
      </c>
      <c r="Y33" s="4">
        <f>$Y$4*'NIFTY MEMBS'!Z22</f>
        <v>21219.666596328341</v>
      </c>
      <c r="Z33" s="4">
        <f>$Z$4*'NIFTY MEMBS'!AA22</f>
        <v>18183.055461041171</v>
      </c>
      <c r="AA33" s="4">
        <f>$AA$4*'NIFTY MEMBS'!AB22</f>
        <v>20710.144127229556</v>
      </c>
      <c r="AB33" s="4">
        <f>$AB$4*'NIFTY MEMBS'!AC22</f>
        <v>20809.190809190808</v>
      </c>
      <c r="AC33" s="4">
        <f>$AC$4*'NIFTY MEMBS'!AD22</f>
        <v>18547.036082474231</v>
      </c>
      <c r="AD33" s="4">
        <f>$AD$4*'NIFTY MEMBS'!AE22</f>
        <v>20086.753420086752</v>
      </c>
      <c r="AE33" s="4">
        <f>$AE$4*'NIFTY MEMBS'!AF22</f>
        <v>19737.545120158346</v>
      </c>
      <c r="AF33" s="4">
        <f>$AF$4*'NIFTY MEMBS'!AG22</f>
        <v>19292.734254659059</v>
      </c>
      <c r="AG33" s="4">
        <f>$AG$4*'NIFTY MEMBS'!AH22</f>
        <v>19640.269151138717</v>
      </c>
      <c r="AH33" s="4">
        <f>$AH$4*'NIFTY MEMBS'!AI22</f>
        <v>20105.659124854788</v>
      </c>
      <c r="AI33" s="4">
        <f>$AI$4*'NIFTY MEMBS'!AJ22</f>
        <v>19131.197893813078</v>
      </c>
      <c r="AJ33" s="4">
        <f>$AJ$4*'NIFTY MEMBS'!AK22</f>
        <v>15654.45886023978</v>
      </c>
      <c r="AK33" s="4">
        <f>$AK$4*'NIFTY MEMBS'!AL22</f>
        <v>20094.17930921524</v>
      </c>
      <c r="AL33" s="4">
        <f>$AL$4*'NIFTY MEMBS'!AM22</f>
        <v>21218.348924323989</v>
      </c>
      <c r="AM33" s="4">
        <f>$AM$4*'NIFTY MEMBS'!AN22</f>
        <v>15837.890224319295</v>
      </c>
      <c r="AN33" s="4">
        <f>$AN$4*'NIFTY MEMBS'!AO22</f>
        <v>20864.038846043986</v>
      </c>
      <c r="AO33" s="4">
        <f>$AO$4*'NIFTY MEMBS'!AP22</f>
        <v>20361.309138042772</v>
      </c>
      <c r="AP33" s="4">
        <f>$AP$4*'NIFTY MEMBS'!AQ22</f>
        <v>19701.492537313432</v>
      </c>
      <c r="AQ33" s="4">
        <f>$AQ$4*'NIFTY MEMBS'!AR22</f>
        <v>19733.544619538105</v>
      </c>
      <c r="AR33" s="4">
        <f>$AR$4*'NIFTY MEMBS'!AS22</f>
        <v>18624.681185010792</v>
      </c>
      <c r="AS33" s="4">
        <f>$AS$4*'NIFTY MEMBS'!AT22</f>
        <v>18411.457803287809</v>
      </c>
      <c r="AT33" s="4">
        <f>$AT$4*'NIFTY MEMBS'!AU22</f>
        <v>18964.247169067887</v>
      </c>
      <c r="AU33" s="4">
        <f>$AU$4*'NIFTY MEMBS'!AV22</f>
        <v>20873.628164728892</v>
      </c>
      <c r="AV33" s="4">
        <f>$AV$4*'NIFTY MEMBS'!AW22</f>
        <v>17256.391526661799</v>
      </c>
      <c r="AW33" s="4">
        <f>$AW$4*'NIFTY MEMBS'!AX22</f>
        <v>19465.149903808237</v>
      </c>
      <c r="AX33" s="4">
        <f>$AX$4*'NIFTY MEMBS'!AY22</f>
        <v>19564.679182999793</v>
      </c>
      <c r="AY33" s="4">
        <f t="shared" si="8"/>
        <v>955881.52683708165</v>
      </c>
      <c r="AZ33" s="4">
        <f t="shared" si="9"/>
        <v>97.538931309906303</v>
      </c>
    </row>
    <row r="34" spans="1:52" ht="14.25" customHeight="1" x14ac:dyDescent="0.3">
      <c r="A34" s="2">
        <v>45687</v>
      </c>
      <c r="B34" s="4">
        <f>$B$4*'NIFTY MEMBS'!C23</f>
        <v>20520.777891504604</v>
      </c>
      <c r="C34" s="4">
        <f>$C$4*'NIFTY MEMBS'!D23</f>
        <v>18976.194215710471</v>
      </c>
      <c r="D34" s="4">
        <f>$D$4*'NIFTY MEMBS'!E23</f>
        <v>20564.642476656012</v>
      </c>
      <c r="E34" s="4">
        <f>$E$4*'NIFTY MEMBS'!F23</f>
        <v>19939.695315444565</v>
      </c>
      <c r="F34" s="4">
        <f>$F$4*'NIFTY MEMBS'!G23</f>
        <v>19562.964982666614</v>
      </c>
      <c r="G34" s="4">
        <f>$G$4*'NIFTY MEMBS'!H23</f>
        <v>19228.441754916792</v>
      </c>
      <c r="H34" s="4">
        <f>$H$4*'NIFTY MEMBS'!I23</f>
        <v>19760.42496679947</v>
      </c>
      <c r="I34" s="4">
        <f>$I$4*'NIFTY MEMBS'!J23</f>
        <v>20746.307221911204</v>
      </c>
      <c r="J34" s="4">
        <f>$J$4*'NIFTY MEMBS'!K23</f>
        <v>22786.613412541632</v>
      </c>
      <c r="K34" s="4">
        <f>$K$4*'NIFTY MEMBS'!L23</f>
        <v>19055.524005067491</v>
      </c>
      <c r="L34" s="4">
        <f>$L$4*'NIFTY MEMBS'!M23</f>
        <v>18655.487389229718</v>
      </c>
      <c r="M34" s="4">
        <f>$M$4*'NIFTY MEMBS'!N23</f>
        <v>21412.703086105834</v>
      </c>
      <c r="N34" s="4">
        <f>$N$4*'NIFTY MEMBS'!O23</f>
        <v>19282.608695652172</v>
      </c>
      <c r="O34" s="4">
        <f>$O$4*'NIFTY MEMBS'!P23</f>
        <v>21264.817714157904</v>
      </c>
      <c r="P34" s="4">
        <f>$P$4*'NIFTY MEMBS'!Q23</f>
        <v>17919.924684222911</v>
      </c>
      <c r="Q34" s="4">
        <f>$Q$4*'NIFTY MEMBS'!R23</f>
        <v>18403.661472525724</v>
      </c>
      <c r="R34" s="4">
        <f>$R$4*'NIFTY MEMBS'!S23</f>
        <v>20056.608718441512</v>
      </c>
      <c r="S34" s="4">
        <f>$S$4*'NIFTY MEMBS'!T23</f>
        <v>18374.696771785784</v>
      </c>
      <c r="T34" s="4">
        <f>$T$4*'NIFTY MEMBS'!U23</f>
        <v>22141.588429332656</v>
      </c>
      <c r="U34" s="4">
        <f>$U$4*'NIFTY MEMBS'!V23</f>
        <v>20704.089002258865</v>
      </c>
      <c r="V34" s="4">
        <f>$V$4*'NIFTY MEMBS'!W23</f>
        <v>19361.606473849843</v>
      </c>
      <c r="W34" s="4">
        <f>$W$4*'NIFTY MEMBS'!X23</f>
        <v>15826.401446654614</v>
      </c>
      <c r="X34" s="4">
        <f>$X$4*'NIFTY MEMBS'!Y23</f>
        <v>17675.391810946086</v>
      </c>
      <c r="Y34" s="4">
        <f>$Y$4*'NIFTY MEMBS'!Z23</f>
        <v>21668.706478159951</v>
      </c>
      <c r="Z34" s="4">
        <f>$Z$4*'NIFTY MEMBS'!AA23</f>
        <v>18969.037087444711</v>
      </c>
      <c r="AA34" s="4">
        <f>$AA$4*'NIFTY MEMBS'!AB23</f>
        <v>21002.816279198189</v>
      </c>
      <c r="AB34" s="4">
        <f>$AB$4*'NIFTY MEMBS'!AC23</f>
        <v>20579.420579420577</v>
      </c>
      <c r="AC34" s="4">
        <f>$AC$4*'NIFTY MEMBS'!AD23</f>
        <v>19030.283505154643</v>
      </c>
      <c r="AD34" s="4">
        <f>$AD$4*'NIFTY MEMBS'!AE23</f>
        <v>18601.267934601266</v>
      </c>
      <c r="AE34" s="4">
        <f>$AE$4*'NIFTY MEMBS'!AF23</f>
        <v>20016.589345064098</v>
      </c>
      <c r="AF34" s="4">
        <f>$AF$4*'NIFTY MEMBS'!AG23</f>
        <v>19524.439719697133</v>
      </c>
      <c r="AG34" s="4">
        <f>$AG$4*'NIFTY MEMBS'!AH23</f>
        <v>19930.124223602485</v>
      </c>
      <c r="AH34" s="4">
        <f>$AH$4*'NIFTY MEMBS'!AI23</f>
        <v>20443.657686563041</v>
      </c>
      <c r="AI34" s="4">
        <f>$AI$4*'NIFTY MEMBS'!AJ23</f>
        <v>19178.00204768173</v>
      </c>
      <c r="AJ34" s="4">
        <f>$AJ$4*'NIFTY MEMBS'!AK23</f>
        <v>15424.536048612255</v>
      </c>
      <c r="AK34" s="4">
        <f>$AK$4*'NIFTY MEMBS'!AL23</f>
        <v>20405.789980140446</v>
      </c>
      <c r="AL34" s="4">
        <f>$AL$4*'NIFTY MEMBS'!AM23</f>
        <v>21142.406812273555</v>
      </c>
      <c r="AM34" s="4">
        <f>$AM$4*'NIFTY MEMBS'!AN23</f>
        <v>15594.683116276767</v>
      </c>
      <c r="AN34" s="4">
        <f>$AN$4*'NIFTY MEMBS'!AO23</f>
        <v>21035.418451870893</v>
      </c>
      <c r="AO34" s="4">
        <f>$AO$4*'NIFTY MEMBS'!AP23</f>
        <v>20549.254698639012</v>
      </c>
      <c r="AP34" s="4">
        <f>$AP$4*'NIFTY MEMBS'!AQ23</f>
        <v>19827.978750316215</v>
      </c>
      <c r="AQ34" s="4">
        <f>$AQ$4*'NIFTY MEMBS'!AR23</f>
        <v>19603.838366053351</v>
      </c>
      <c r="AR34" s="4">
        <f>$AR$4*'NIFTY MEMBS'!AS23</f>
        <v>19062.847426590804</v>
      </c>
      <c r="AS34" s="4">
        <f>$AS$4*'NIFTY MEMBS'!AT23</f>
        <v>18520.960968295643</v>
      </c>
      <c r="AT34" s="4">
        <f>$AT$4*'NIFTY MEMBS'!AU23</f>
        <v>18443.458448255184</v>
      </c>
      <c r="AU34" s="4">
        <f>$AU$4*'NIFTY MEMBS'!AV23</f>
        <v>21008.366836901012</v>
      </c>
      <c r="AV34" s="4">
        <f>$AV$4*'NIFTY MEMBS'!AW23</f>
        <v>17450.693937180426</v>
      </c>
      <c r="AW34" s="4">
        <f>$AW$4*'NIFTY MEMBS'!AX23</f>
        <v>19968.692867470454</v>
      </c>
      <c r="AX34" s="4">
        <f>$AX$4*'NIFTY MEMBS'!AY23</f>
        <v>19745.203218485662</v>
      </c>
      <c r="AY34" s="4">
        <f t="shared" si="8"/>
        <v>958949.64675233199</v>
      </c>
      <c r="AZ34" s="4">
        <f t="shared" si="9"/>
        <v>97.852004770646118</v>
      </c>
    </row>
    <row r="35" spans="1:52" ht="14.25" customHeight="1" x14ac:dyDescent="0.3">
      <c r="A35" s="2">
        <v>45688</v>
      </c>
      <c r="B35" s="4">
        <f>$B$4*'NIFTY MEMBS'!C24</f>
        <v>20718.11668372569</v>
      </c>
      <c r="C35" s="4">
        <f>$C$4*'NIFTY MEMBS'!D24</f>
        <v>19057.64096120622</v>
      </c>
      <c r="D35" s="4">
        <f>$D$4*'NIFTY MEMBS'!E24</f>
        <v>20383.530738860685</v>
      </c>
      <c r="E35" s="4">
        <f>$E$4*'NIFTY MEMBS'!F24</f>
        <v>19999.756835949371</v>
      </c>
      <c r="F35" s="4">
        <f>$F$4*'NIFTY MEMBS'!G24</f>
        <v>19519.339383788414</v>
      </c>
      <c r="G35" s="4">
        <f>$G$4*'NIFTY MEMBS'!H24</f>
        <v>19488.149268784666</v>
      </c>
      <c r="H35" s="4">
        <f>$H$4*'NIFTY MEMBS'!I24</f>
        <v>19971.314741035854</v>
      </c>
      <c r="I35" s="4">
        <f>$I$4*'NIFTY MEMBS'!J24</f>
        <v>21263.511476680596</v>
      </c>
      <c r="J35" s="4">
        <f>$J$4*'NIFTY MEMBS'!K24</f>
        <v>22739.030755699103</v>
      </c>
      <c r="K35" s="4">
        <f>$K$4*'NIFTY MEMBS'!L24</f>
        <v>19549.167795203353</v>
      </c>
      <c r="L35" s="4">
        <f>$L$4*'NIFTY MEMBS'!M24</f>
        <v>19454.124062713021</v>
      </c>
      <c r="M35" s="4">
        <f>$M$4*'NIFTY MEMBS'!N24</f>
        <v>21967.024437247397</v>
      </c>
      <c r="N35" s="4">
        <f>$N$4*'NIFTY MEMBS'!O24</f>
        <v>19402.011680726799</v>
      </c>
      <c r="O35" s="4">
        <f>$O$4*'NIFTY MEMBS'!P24</f>
        <v>21262.581078058596</v>
      </c>
      <c r="P35" s="4">
        <f>$P$4*'NIFTY MEMBS'!Q24</f>
        <v>18049.112162974972</v>
      </c>
      <c r="Q35" s="4">
        <f>$Q$4*'NIFTY MEMBS'!R24</f>
        <v>18454.985581629142</v>
      </c>
      <c r="R35" s="4">
        <f>$R$4*'NIFTY MEMBS'!S24</f>
        <v>20070.673538918494</v>
      </c>
      <c r="S35" s="4">
        <f>$S$4*'NIFTY MEMBS'!T24</f>
        <v>18400.821048703117</v>
      </c>
      <c r="T35" s="4">
        <f>$T$4*'NIFTY MEMBS'!U24</f>
        <v>22026.135498604413</v>
      </c>
      <c r="U35" s="4">
        <f>$U$4*'NIFTY MEMBS'!V24</f>
        <v>21453.047927839329</v>
      </c>
      <c r="V35" s="4">
        <f>$V$4*'NIFTY MEMBS'!W24</f>
        <v>19421.549527948449</v>
      </c>
      <c r="W35" s="4">
        <f>$W$4*'NIFTY MEMBS'!X24</f>
        <v>15938.517179023509</v>
      </c>
      <c r="X35" s="4">
        <f>$X$4*'NIFTY MEMBS'!Y24</f>
        <v>18041.355542791494</v>
      </c>
      <c r="Y35" s="4">
        <f>$Y$4*'NIFTY MEMBS'!Z24</f>
        <v>22165.857775902092</v>
      </c>
      <c r="Z35" s="4">
        <f>$Z$4*'NIFTY MEMBS'!AA24</f>
        <v>19914.937053419533</v>
      </c>
      <c r="AA35" s="4">
        <f>$AA$4*'NIFTY MEMBS'!AB24</f>
        <v>20873.598763046</v>
      </c>
      <c r="AB35" s="4">
        <f>$AB$4*'NIFTY MEMBS'!AC24</f>
        <v>20772.56077256077</v>
      </c>
      <c r="AC35" s="4">
        <f>$AC$4*'NIFTY MEMBS'!AD24</f>
        <v>19436.211340206184</v>
      </c>
      <c r="AD35" s="4">
        <f>$AD$4*'NIFTY MEMBS'!AE24</f>
        <v>19115.115115115113</v>
      </c>
      <c r="AE35" s="4">
        <f>$AE$4*'NIFTY MEMBS'!AF24</f>
        <v>20245.407897672343</v>
      </c>
      <c r="AF35" s="4">
        <f>$AF$4*'NIFTY MEMBS'!AG24</f>
        <v>19966.589286876533</v>
      </c>
      <c r="AG35" s="4">
        <f>$AG$4*'NIFTY MEMBS'!AH24</f>
        <v>20491.718426501033</v>
      </c>
      <c r="AH35" s="4">
        <f>$AH$4*'NIFTY MEMBS'!AI24</f>
        <v>21327.285132120007</v>
      </c>
      <c r="AI35" s="4">
        <f>$AI$4*'NIFTY MEMBS'!AJ24</f>
        <v>19689.922480620153</v>
      </c>
      <c r="AJ35" s="4">
        <f>$AJ$4*'NIFTY MEMBS'!AK24</f>
        <v>15874.527837083268</v>
      </c>
      <c r="AK35" s="4">
        <f>$AK$4*'NIFTY MEMBS'!AL24</f>
        <v>20546.239993448395</v>
      </c>
      <c r="AL35" s="4">
        <f>$AL$4*'NIFTY MEMBS'!AM24</f>
        <v>21265.01954844124</v>
      </c>
      <c r="AM35" s="4">
        <f>$AM$4*'NIFTY MEMBS'!AN24</f>
        <v>16279.454729380805</v>
      </c>
      <c r="AN35" s="4">
        <f>$AN$4*'NIFTY MEMBS'!AO24</f>
        <v>21188.231933733216</v>
      </c>
      <c r="AO35" s="4">
        <f>$AO$4*'NIFTY MEMBS'!AP24</f>
        <v>20675.631885936484</v>
      </c>
      <c r="AP35" s="4">
        <f>$AP$4*'NIFTY MEMBS'!AQ24</f>
        <v>20045.535036680998</v>
      </c>
      <c r="AQ35" s="4">
        <f>$AQ$4*'NIFTY MEMBS'!AR24</f>
        <v>19654.89919887314</v>
      </c>
      <c r="AR35" s="4">
        <f>$AR$4*'NIFTY MEMBS'!AS24</f>
        <v>19349.944411745473</v>
      </c>
      <c r="AS35" s="4">
        <f>$AS$4*'NIFTY MEMBS'!AT24</f>
        <v>18482.560230133044</v>
      </c>
      <c r="AT35" s="4">
        <f>$AT$4*'NIFTY MEMBS'!AU24</f>
        <v>18630.188614599214</v>
      </c>
      <c r="AU35" s="4">
        <f>$AU$4*'NIFTY MEMBS'!AV24</f>
        <v>22267.73878083234</v>
      </c>
      <c r="AV35" s="4">
        <f>$AV$4*'NIFTY MEMBS'!AW24</f>
        <v>17784.514243973703</v>
      </c>
      <c r="AW35" s="4">
        <f>$AW$4*'NIFTY MEMBS'!AX24</f>
        <v>20739.899864973049</v>
      </c>
      <c r="AX35" s="4">
        <f>$AX$4*'NIFTY MEMBS'!AY24</f>
        <v>20449.76273983908</v>
      </c>
      <c r="AY35" s="4">
        <f t="shared" si="8"/>
        <v>973864.85100182565</v>
      </c>
      <c r="AZ35" s="4">
        <f t="shared" si="9"/>
        <v>99.373964387941399</v>
      </c>
    </row>
    <row r="36" spans="1:52" ht="14.25" customHeight="1" x14ac:dyDescent="0.3">
      <c r="A36" s="2">
        <v>45689</v>
      </c>
      <c r="B36" s="4">
        <f>$B$4*'NIFTY MEMBS'!C25</f>
        <v>20709.928352098257</v>
      </c>
      <c r="C36" s="4">
        <f>$C$4*'NIFTY MEMBS'!D25</f>
        <v>18969.911822118516</v>
      </c>
      <c r="D36" s="4">
        <f>$D$4*'NIFTY MEMBS'!E25</f>
        <v>20345.303001817385</v>
      </c>
      <c r="E36" s="4">
        <f>$E$4*'NIFTY MEMBS'!F25</f>
        <v>19808.873056207372</v>
      </c>
      <c r="F36" s="4">
        <f>$F$4*'NIFTY MEMBS'!G25</f>
        <v>19562.185954115215</v>
      </c>
      <c r="G36" s="4">
        <f>$G$4*'NIFTY MEMBS'!H25</f>
        <v>19314.170448814926</v>
      </c>
      <c r="H36" s="4">
        <f>$H$4*'NIFTY MEMBS'!I25</f>
        <v>19669.057104913678</v>
      </c>
      <c r="I36" s="4">
        <f>$I$4*'NIFTY MEMBS'!J25</f>
        <v>21584.341759614144</v>
      </c>
      <c r="J36" s="4">
        <f>$J$4*'NIFTY MEMBS'!K25</f>
        <v>23070.667454904618</v>
      </c>
      <c r="K36" s="4">
        <f>$K$4*'NIFTY MEMBS'!L25</f>
        <v>20206.631427198463</v>
      </c>
      <c r="L36" s="4">
        <f>$L$4*'NIFTY MEMBS'!M25</f>
        <v>18800.272665303339</v>
      </c>
      <c r="M36" s="4">
        <f>$M$4*'NIFTY MEMBS'!N25</f>
        <v>23048.098284307169</v>
      </c>
      <c r="N36" s="4">
        <f>$N$4*'NIFTY MEMBS'!O25</f>
        <v>19965.931213497726</v>
      </c>
      <c r="O36" s="4">
        <f>$O$4*'NIFTY MEMBS'!P25</f>
        <v>21282.710802952355</v>
      </c>
      <c r="P36" s="4">
        <f>$P$4*'NIFTY MEMBS'!Q25</f>
        <v>17720.128664452521</v>
      </c>
      <c r="Q36" s="4">
        <f>$Q$4*'NIFTY MEMBS'!R25</f>
        <v>18436.466573189766</v>
      </c>
      <c r="R36" s="4">
        <f>$R$4*'NIFTY MEMBS'!S25</f>
        <v>19671.79173582598</v>
      </c>
      <c r="S36" s="4">
        <f>$S$4*'NIFTY MEMBS'!T25</f>
        <v>18625.676432170181</v>
      </c>
      <c r="T36" s="4">
        <f>$T$4*'NIFTY MEMBS'!U25</f>
        <v>22253.235219487437</v>
      </c>
      <c r="U36" s="4">
        <f>$U$4*'NIFTY MEMBS'!V25</f>
        <v>21832.598306621388</v>
      </c>
      <c r="V36" s="4">
        <f>$V$4*'NIFTY MEMBS'!W25</f>
        <v>19043.908287127229</v>
      </c>
      <c r="W36" s="4">
        <f>$W$4*'NIFTY MEMBS'!X25</f>
        <v>17093.67088607595</v>
      </c>
      <c r="X36" s="4">
        <f>$X$4*'NIFTY MEMBS'!Y25</f>
        <v>17791.088865184211</v>
      </c>
      <c r="Y36" s="4">
        <f>$Y$4*'NIFTY MEMBS'!Z25</f>
        <v>21738.763452205108</v>
      </c>
      <c r="Z36" s="4">
        <f>$Z$4*'NIFTY MEMBS'!AA25</f>
        <v>19176.59067710106</v>
      </c>
      <c r="AA36" s="4">
        <f>$AA$4*'NIFTY MEMBS'!AB25</f>
        <v>20636.147771826163</v>
      </c>
      <c r="AB36" s="4">
        <f>$AB$4*'NIFTY MEMBS'!AC25</f>
        <v>20299.7002997003</v>
      </c>
      <c r="AC36" s="4">
        <f>$AC$4*'NIFTY MEMBS'!AD25</f>
        <v>18675.902061855671</v>
      </c>
      <c r="AD36" s="4">
        <f>$AD$4*'NIFTY MEMBS'!AE25</f>
        <v>18860.193526860192</v>
      </c>
      <c r="AE36" s="4">
        <f>$AE$4*'NIFTY MEMBS'!AF25</f>
        <v>20949.711402600526</v>
      </c>
      <c r="AF36" s="4">
        <f>$AF$4*'NIFTY MEMBS'!AG25</f>
        <v>20403.531989673051</v>
      </c>
      <c r="AG36" s="4">
        <f>$AG$4*'NIFTY MEMBS'!AH25</f>
        <v>19943.064182194619</v>
      </c>
      <c r="AH36" s="4">
        <f>$AH$4*'NIFTY MEMBS'!AI25</f>
        <v>21456.362597038595</v>
      </c>
      <c r="AI36" s="4">
        <f>$AI$4*'NIFTY MEMBS'!AJ25</f>
        <v>19448.588562234898</v>
      </c>
      <c r="AJ36" s="4">
        <f>$AJ$4*'NIFTY MEMBS'!AK25</f>
        <v>15865.330924618165</v>
      </c>
      <c r="AK36" s="4">
        <f>$AK$4*'NIFTY MEMBS'!AL25</f>
        <v>19988.534692791185</v>
      </c>
      <c r="AL36" s="4">
        <f>$AL$4*'NIFTY MEMBS'!AM25</f>
        <v>22066.812682946795</v>
      </c>
      <c r="AM36" s="4">
        <f>$AM$4*'NIFTY MEMBS'!AN25</f>
        <v>17514.0243773035</v>
      </c>
      <c r="AN36" s="4">
        <f>$AN$4*'NIFTY MEMBS'!AO25</f>
        <v>20770.49414453013</v>
      </c>
      <c r="AO36" s="4">
        <f>$AO$4*'NIFTY MEMBS'!AP25</f>
        <v>20268.956578094618</v>
      </c>
      <c r="AP36" s="4">
        <f>$AP$4*'NIFTY MEMBS'!AQ25</f>
        <v>19780.757230795178</v>
      </c>
      <c r="AQ36" s="4">
        <f>$AQ$4*'NIFTY MEMBS'!AR25</f>
        <v>19325.644863104149</v>
      </c>
      <c r="AR36" s="4">
        <f>$AR$4*'NIFTY MEMBS'!AS25</f>
        <v>18828.068798639724</v>
      </c>
      <c r="AS36" s="4">
        <f>$AS$4*'NIFTY MEMBS'!AT25</f>
        <v>18565.603522555346</v>
      </c>
      <c r="AT36" s="4">
        <f>$AT$4*'NIFTY MEMBS'!AU25</f>
        <v>18220.752745276066</v>
      </c>
      <c r="AU36" s="4">
        <f>$AU$4*'NIFTY MEMBS'!AV25</f>
        <v>23250.027165054871</v>
      </c>
      <c r="AV36" s="4">
        <f>$AV$4*'NIFTY MEMBS'!AW25</f>
        <v>17603.360116873631</v>
      </c>
      <c r="AW36" s="4">
        <f>$AW$4*'NIFTY MEMBS'!AX25</f>
        <v>21041.021903043478</v>
      </c>
      <c r="AX36" s="4">
        <f>$AX$4*'NIFTY MEMBS'!AY25</f>
        <v>20825.252733649682</v>
      </c>
      <c r="AY36" s="4">
        <f t="shared" si="8"/>
        <v>974309.84732056479</v>
      </c>
      <c r="AZ36" s="4">
        <f t="shared" si="9"/>
        <v>99.41937217556783</v>
      </c>
    </row>
    <row r="37" spans="1:52" ht="14.25" customHeight="1" x14ac:dyDescent="0.3">
      <c r="A37" s="2">
        <v>45691</v>
      </c>
      <c r="B37" s="4">
        <f>$B$4*'NIFTY MEMBS'!C26</f>
        <v>20403.684749232343</v>
      </c>
      <c r="C37" s="4">
        <f>$C$4*'NIFTY MEMBS'!D26</f>
        <v>18824.743655904331</v>
      </c>
      <c r="D37" s="4">
        <f>$D$4*'NIFTY MEMBS'!E26</f>
        <v>20710.033214263331</v>
      </c>
      <c r="E37" s="4">
        <f>$E$4*'NIFTY MEMBS'!F26</f>
        <v>19786.988291650963</v>
      </c>
      <c r="F37" s="4">
        <f>$F$4*'NIFTY MEMBS'!G26</f>
        <v>19522.455497994</v>
      </c>
      <c r="G37" s="4">
        <f>$G$4*'NIFTY MEMBS'!H26</f>
        <v>19186.838124054462</v>
      </c>
      <c r="H37" s="4">
        <f>$H$4*'NIFTY MEMBS'!I26</f>
        <v>19796.015936254978</v>
      </c>
      <c r="I37" s="4">
        <f>$I$4*'NIFTY MEMBS'!J26</f>
        <v>21032.255286163389</v>
      </c>
      <c r="J37" s="4">
        <f>$J$4*'NIFTY MEMBS'!K26</f>
        <v>24298.300001441901</v>
      </c>
      <c r="K37" s="4">
        <f>$K$4*'NIFTY MEMBS'!L26</f>
        <v>19848.412039666244</v>
      </c>
      <c r="L37" s="4">
        <f>$L$4*'NIFTY MEMBS'!M26</f>
        <v>17937.014314928423</v>
      </c>
      <c r="M37" s="4">
        <f>$M$4*'NIFTY MEMBS'!N26</f>
        <v>23446.820659689696</v>
      </c>
      <c r="N37" s="4">
        <f>$N$4*'NIFTY MEMBS'!O26</f>
        <v>20592.472420506165</v>
      </c>
      <c r="O37" s="4">
        <f>$O$4*'NIFTY MEMBS'!P26</f>
        <v>21074.70364571684</v>
      </c>
      <c r="P37" s="4">
        <f>$P$4*'NIFTY MEMBS'!Q26</f>
        <v>17699.207615261905</v>
      </c>
      <c r="Q37" s="4">
        <f>$Q$4*'NIFTY MEMBS'!R26</f>
        <v>18419.534908330905</v>
      </c>
      <c r="R37" s="4">
        <f>$R$4*'NIFTY MEMBS'!S26</f>
        <v>19524.154800384378</v>
      </c>
      <c r="S37" s="4">
        <f>$S$4*'NIFTY MEMBS'!T26</f>
        <v>18462.399701436836</v>
      </c>
      <c r="T37" s="4">
        <f>$T$4*'NIFTY MEMBS'!U26</f>
        <v>22771.504694240037</v>
      </c>
      <c r="U37" s="4">
        <f>$U$4*'NIFTY MEMBS'!V26</f>
        <v>22006.546091553086</v>
      </c>
      <c r="V37" s="4">
        <f>$V$4*'NIFTY MEMBS'!W26</f>
        <v>18657.27558819122</v>
      </c>
      <c r="W37" s="4">
        <f>$W$4*'NIFTY MEMBS'!X26</f>
        <v>17229.656419529838</v>
      </c>
      <c r="X37" s="4">
        <f>$X$4*'NIFTY MEMBS'!Y26</f>
        <v>17803.397062443582</v>
      </c>
      <c r="Y37" s="4">
        <f>$Y$4*'NIFTY MEMBS'!Z26</f>
        <v>21017.092213547163</v>
      </c>
      <c r="Z37" s="4">
        <f>$Z$4*'NIFTY MEMBS'!AA26</f>
        <v>18656.005444028582</v>
      </c>
      <c r="AA37" s="4">
        <f>$AA$4*'NIFTY MEMBS'!AB26</f>
        <v>20629.52123253631</v>
      </c>
      <c r="AB37" s="4">
        <f>$AB$4*'NIFTY MEMBS'!AC26</f>
        <v>20885.780885780885</v>
      </c>
      <c r="AC37" s="4">
        <f>$AC$4*'NIFTY MEMBS'!AD26</f>
        <v>18286.082474226805</v>
      </c>
      <c r="AD37" s="4">
        <f>$AD$4*'NIFTY MEMBS'!AE26</f>
        <v>18350.350350350353</v>
      </c>
      <c r="AE37" s="4">
        <f>$AE$4*'NIFTY MEMBS'!AF26</f>
        <v>20425.602507851334</v>
      </c>
      <c r="AF37" s="4">
        <f>$AF$4*'NIFTY MEMBS'!AG26</f>
        <v>19892.39146942052</v>
      </c>
      <c r="AG37" s="4">
        <f>$AG$4*'NIFTY MEMBS'!AH26</f>
        <v>19358.17805383023</v>
      </c>
      <c r="AH37" s="4">
        <f>$AH$4*'NIFTY MEMBS'!AI26</f>
        <v>21363.242425918757</v>
      </c>
      <c r="AI37" s="4">
        <f>$AI$4*'NIFTY MEMBS'!AJ26</f>
        <v>19280.386134269414</v>
      </c>
      <c r="AJ37" s="4">
        <f>$AJ$4*'NIFTY MEMBS'!AK26</f>
        <v>15370.011496140583</v>
      </c>
      <c r="AK37" s="4">
        <f>$AK$4*'NIFTY MEMBS'!AL26</f>
        <v>20257.969412198268</v>
      </c>
      <c r="AL37" s="4">
        <f>$AL$4*'NIFTY MEMBS'!AM26</f>
        <v>22456.143942030169</v>
      </c>
      <c r="AM37" s="4">
        <f>$AM$4*'NIFTY MEMBS'!AN26</f>
        <v>17360.092246093336</v>
      </c>
      <c r="AN37" s="4">
        <f>$AN$4*'NIFTY MEMBS'!AO26</f>
        <v>20850.471293916024</v>
      </c>
      <c r="AO37" s="4">
        <f>$AO$4*'NIFTY MEMBS'!AP26</f>
        <v>20136.098509397274</v>
      </c>
      <c r="AP37" s="4">
        <f>$AP$4*'NIFTY MEMBS'!AQ26</f>
        <v>19362.509486465973</v>
      </c>
      <c r="AQ37" s="4">
        <f>$AQ$4*'NIFTY MEMBS'!AR26</f>
        <v>19423.071279748805</v>
      </c>
      <c r="AR37" s="4">
        <f>$AR$4*'NIFTY MEMBS'!AS26</f>
        <v>18580.210581387742</v>
      </c>
      <c r="AS37" s="4">
        <f>$AS$4*'NIFTY MEMBS'!AT26</f>
        <v>18450.401308067547</v>
      </c>
      <c r="AT37" s="4">
        <f>$AT$4*'NIFTY MEMBS'!AU26</f>
        <v>18712.418412622272</v>
      </c>
      <c r="AU37" s="4">
        <f>$AU$4*'NIFTY MEMBS'!AV26</f>
        <v>22520.917092252526</v>
      </c>
      <c r="AV37" s="4">
        <f>$AV$4*'NIFTY MEMBS'!AW26</f>
        <v>17587.289992695398</v>
      </c>
      <c r="AW37" s="4">
        <f>$AW$4*'NIFTY MEMBS'!AX26</f>
        <v>20488.964833247694</v>
      </c>
      <c r="AX37" s="4">
        <f>$AX$4*'NIFTY MEMBS'!AY26</f>
        <v>20893.336084175782</v>
      </c>
      <c r="AY37" s="4">
        <f t="shared" si="8"/>
        <v>969628.95388103859</v>
      </c>
      <c r="AZ37" s="4">
        <f t="shared" si="9"/>
        <v>98.941729987861081</v>
      </c>
    </row>
    <row r="38" spans="1:52" ht="14.25" customHeight="1" x14ac:dyDescent="0.3">
      <c r="A38" s="2">
        <v>45692</v>
      </c>
      <c r="B38" s="4">
        <f>$B$4*'NIFTY MEMBS'!C27</f>
        <v>21047.287615148412</v>
      </c>
      <c r="C38" s="4">
        <f>$C$4*'NIFTY MEMBS'!D27</f>
        <v>19306.019879288298</v>
      </c>
      <c r="D38" s="4">
        <f>$D$4*'NIFTY MEMBS'!E27</f>
        <v>20824.089741179421</v>
      </c>
      <c r="E38" s="4">
        <f>$E$4*'NIFTY MEMBS'!F27</f>
        <v>19973.738282532311</v>
      </c>
      <c r="F38" s="4">
        <f>$F$4*'NIFTY MEMBS'!G27</f>
        <v>19759.280177618508</v>
      </c>
      <c r="G38" s="4">
        <f>$G$4*'NIFTY MEMBS'!H27</f>
        <v>19646.999495713564</v>
      </c>
      <c r="H38" s="4">
        <f>$H$4*'NIFTY MEMBS'!I27</f>
        <v>20173.17397078353</v>
      </c>
      <c r="I38" s="4">
        <f>$I$4*'NIFTY MEMBS'!J27</f>
        <v>20998.665001507259</v>
      </c>
      <c r="J38" s="4">
        <f>$J$4*'NIFTY MEMBS'!K27</f>
        <v>24441.047971969489</v>
      </c>
      <c r="K38" s="4">
        <f>$K$4*'NIFTY MEMBS'!L27</f>
        <v>19883.360272596216</v>
      </c>
      <c r="L38" s="4">
        <f>$L$4*'NIFTY MEMBS'!M27</f>
        <v>18754.737559645535</v>
      </c>
      <c r="M38" s="4">
        <f>$M$4*'NIFTY MEMBS'!N27</f>
        <v>23393.288901974433</v>
      </c>
      <c r="N38" s="4">
        <f>$N$4*'NIFTY MEMBS'!O27</f>
        <v>20694.678780012979</v>
      </c>
      <c r="O38" s="4">
        <f>$O$4*'NIFTY MEMBS'!P27</f>
        <v>21566.763587564303</v>
      </c>
      <c r="P38" s="4">
        <f>$P$4*'NIFTY MEMBS'!Q27</f>
        <v>18123.381887601663</v>
      </c>
      <c r="Q38" s="4">
        <f>$Q$4*'NIFTY MEMBS'!R27</f>
        <v>18680.388370062698</v>
      </c>
      <c r="R38" s="4">
        <f>$R$4*'NIFTY MEMBS'!S27</f>
        <v>20126.059229492443</v>
      </c>
      <c r="S38" s="4">
        <f>$S$4*'NIFTY MEMBS'!T27</f>
        <v>18945.69882440754</v>
      </c>
      <c r="T38" s="4">
        <f>$T$4*'NIFTY MEMBS'!U27</f>
        <v>23004.947982745492</v>
      </c>
      <c r="U38" s="4">
        <f>$U$4*'NIFTY MEMBS'!V27</f>
        <v>22113.496319744303</v>
      </c>
      <c r="V38" s="4">
        <f>$V$4*'NIFTY MEMBS'!W27</f>
        <v>19127.828562865281</v>
      </c>
      <c r="W38" s="4">
        <f>$W$4*'NIFTY MEMBS'!X27</f>
        <v>16964.918625678121</v>
      </c>
      <c r="X38" s="4">
        <f>$X$4*'NIFTY MEMBS'!Y27</f>
        <v>18463.936982030027</v>
      </c>
      <c r="Y38" s="4">
        <f>$Y$4*'NIFTY MEMBS'!Z27</f>
        <v>21447.562776957166</v>
      </c>
      <c r="Z38" s="4">
        <f>$Z$4*'NIFTY MEMBS'!AA27</f>
        <v>19360.326641714873</v>
      </c>
      <c r="AA38" s="4">
        <f>$AA$4*'NIFTY MEMBS'!AB27</f>
        <v>20857.032414821359</v>
      </c>
      <c r="AB38" s="4">
        <f>$AB$4*'NIFTY MEMBS'!AC27</f>
        <v>21062.271062271062</v>
      </c>
      <c r="AC38" s="4">
        <f>$AC$4*'NIFTY MEMBS'!AD27</f>
        <v>18405.283505154639</v>
      </c>
      <c r="AD38" s="4">
        <f>$AD$4*'NIFTY MEMBS'!AE27</f>
        <v>18966.966966966964</v>
      </c>
      <c r="AE38" s="4">
        <f>$AE$4*'NIFTY MEMBS'!AF27</f>
        <v>20390.936497131188</v>
      </c>
      <c r="AF38" s="4">
        <f>$AF$4*'NIFTY MEMBS'!AG27</f>
        <v>20431.301933048398</v>
      </c>
      <c r="AG38" s="4">
        <f>$AG$4*'NIFTY MEMBS'!AH27</f>
        <v>19490.165631469979</v>
      </c>
      <c r="AH38" s="4">
        <f>$AH$4*'NIFTY MEMBS'!AI27</f>
        <v>21200.420423742882</v>
      </c>
      <c r="AI38" s="4">
        <f>$AI$4*'NIFTY MEMBS'!AJ27</f>
        <v>19514.406903612693</v>
      </c>
      <c r="AJ38" s="4">
        <f>$AJ$4*'NIFTY MEMBS'!AK27</f>
        <v>16101.166037116112</v>
      </c>
      <c r="AK38" s="4">
        <f>$AK$4*'NIFTY MEMBS'!AL27</f>
        <v>20348.463444096389</v>
      </c>
      <c r="AL38" s="4">
        <f>$AL$4*'NIFTY MEMBS'!AM27</f>
        <v>22312.242851001985</v>
      </c>
      <c r="AM38" s="4">
        <f>$AM$4*'NIFTY MEMBS'!AN27</f>
        <v>16271.248788562618</v>
      </c>
      <c r="AN38" s="4">
        <f>$AN$4*'NIFTY MEMBS'!AO27</f>
        <v>21028.27763496144</v>
      </c>
      <c r="AO38" s="4">
        <f>$AO$4*'NIFTY MEMBS'!AP27</f>
        <v>20281.918340894357</v>
      </c>
      <c r="AP38" s="4">
        <f>$AP$4*'NIFTY MEMBS'!AQ27</f>
        <v>19696.433088793321</v>
      </c>
      <c r="AQ38" s="4">
        <f>$AQ$4*'NIFTY MEMBS'!AR27</f>
        <v>19474.132112568594</v>
      </c>
      <c r="AR38" s="4">
        <f>$AR$4*'NIFTY MEMBS'!AS27</f>
        <v>18952.978876463279</v>
      </c>
      <c r="AS38" s="4">
        <f>$AS$4*'NIFTY MEMBS'!AT27</f>
        <v>18432.897084664808</v>
      </c>
      <c r="AT38" s="4">
        <f>$AT$4*'NIFTY MEMBS'!AU27</f>
        <v>19760.848337416268</v>
      </c>
      <c r="AU38" s="4">
        <f>$AU$4*'NIFTY MEMBS'!AV27</f>
        <v>22475.279800065196</v>
      </c>
      <c r="AV38" s="4">
        <f>$AV$4*'NIFTY MEMBS'!AW27</f>
        <v>17822.498173849526</v>
      </c>
      <c r="AW38" s="4">
        <f>$AW$4*'NIFTY MEMBS'!AX27</f>
        <v>20252.129960447859</v>
      </c>
      <c r="AX38" s="4">
        <f>$AX$4*'NIFTY MEMBS'!AY27</f>
        <v>21604.08500103157</v>
      </c>
      <c r="AY38" s="4">
        <f t="shared" si="8"/>
        <v>981955.06231098634</v>
      </c>
      <c r="AZ38" s="4">
        <f t="shared" si="9"/>
        <v>100.19949615418228</v>
      </c>
    </row>
    <row r="39" spans="1:52" ht="14.25" customHeight="1" x14ac:dyDescent="0.3">
      <c r="A39" s="2">
        <v>45693</v>
      </c>
      <c r="B39" s="4">
        <f>$B$4*'NIFTY MEMBS'!C28</f>
        <v>20932.650972364379</v>
      </c>
      <c r="C39" s="4">
        <f>$C$4*'NIFTY MEMBS'!D28</f>
        <v>19495.613543045616</v>
      </c>
      <c r="D39" s="4">
        <f>$D$4*'NIFTY MEMBS'!E28</f>
        <v>20811.556056902926</v>
      </c>
      <c r="E39" s="4">
        <f>$E$4*'NIFTY MEMBS'!F28</f>
        <v>19896.168950382376</v>
      </c>
      <c r="F39" s="4">
        <f>$F$4*'NIFTY MEMBS'!G28</f>
        <v>19751.489892104546</v>
      </c>
      <c r="G39" s="4">
        <f>$G$4*'NIFTY MEMBS'!H28</f>
        <v>19315.43116490166</v>
      </c>
      <c r="H39" s="4">
        <f>$H$4*'NIFTY MEMBS'!I28</f>
        <v>20154.581673306773</v>
      </c>
      <c r="I39" s="4">
        <f>$I$4*'NIFTY MEMBS'!J28</f>
        <v>20593.859006933384</v>
      </c>
      <c r="J39" s="4">
        <f>$J$4*'NIFTY MEMBS'!K28</f>
        <v>24539.673842515826</v>
      </c>
      <c r="K39" s="4">
        <f>$K$4*'NIFTY MEMBS'!L28</f>
        <v>19577.563234458958</v>
      </c>
      <c r="L39" s="4">
        <f>$L$4*'NIFTY MEMBS'!M28</f>
        <v>18449.625085207907</v>
      </c>
      <c r="M39" s="4">
        <f>$M$4*'NIFTY MEMBS'!N28</f>
        <v>23351.980228937486</v>
      </c>
      <c r="N39" s="4">
        <f>$N$4*'NIFTY MEMBS'!O28</f>
        <v>20627.839065541855</v>
      </c>
      <c r="O39" s="4">
        <f>$O$4*'NIFTY MEMBS'!P28</f>
        <v>21379.445314247369</v>
      </c>
      <c r="P39" s="4">
        <f>$P$4*'NIFTY MEMBS'!Q28</f>
        <v>17917.309553074087</v>
      </c>
      <c r="Q39" s="4">
        <f>$Q$4*'NIFTY MEMBS'!R28</f>
        <v>18548.109738352865</v>
      </c>
      <c r="R39" s="4">
        <f>$R$4*'NIFTY MEMBS'!S28</f>
        <v>20242.334236044378</v>
      </c>
      <c r="S39" s="4">
        <f>$S$4*'NIFTY MEMBS'!T28</f>
        <v>18908.378428811346</v>
      </c>
      <c r="T39" s="4">
        <f>$T$4*'NIFTY MEMBS'!U28</f>
        <v>22795.610251205275</v>
      </c>
      <c r="U39" s="4">
        <f>$U$4*'NIFTY MEMBS'!V28</f>
        <v>21457.043194984406</v>
      </c>
      <c r="V39" s="4">
        <f>$V$4*'NIFTY MEMBS'!W28</f>
        <v>19157.800089914585</v>
      </c>
      <c r="W39" s="4">
        <f>$W$4*'NIFTY MEMBS'!X28</f>
        <v>16717.540687160941</v>
      </c>
      <c r="X39" s="4">
        <f>$X$4*'NIFTY MEMBS'!Y28</f>
        <v>18779.847378353981</v>
      </c>
      <c r="Y39" s="4">
        <f>$Y$4*'NIFTY MEMBS'!Z28</f>
        <v>22084.828022789618</v>
      </c>
      <c r="Z39" s="4">
        <f>$Z$4*'NIFTY MEMBS'!AA28</f>
        <v>19663.150731541344</v>
      </c>
      <c r="AA39" s="4">
        <f>$AA$4*'NIFTY MEMBS'!AB28</f>
        <v>20981.832238113646</v>
      </c>
      <c r="AB39" s="4">
        <f>$AB$4*'NIFTY MEMBS'!AC28</f>
        <v>21118.88111888112</v>
      </c>
      <c r="AC39" s="4">
        <f>$AC$4*'NIFTY MEMBS'!AD28</f>
        <v>18376.288659793816</v>
      </c>
      <c r="AD39" s="4">
        <f>$AD$4*'NIFTY MEMBS'!AE28</f>
        <v>19140.473807140472</v>
      </c>
      <c r="AE39" s="4">
        <f>$AE$4*'NIFTY MEMBS'!AF28</f>
        <v>20428.462739758939</v>
      </c>
      <c r="AF39" s="4">
        <f>$AF$4*'NIFTY MEMBS'!AG28</f>
        <v>19744.429739873729</v>
      </c>
      <c r="AG39" s="4">
        <f>$AG$4*'NIFTY MEMBS'!AH28</f>
        <v>19816.252587991719</v>
      </c>
      <c r="AH39" s="4">
        <f>$AH$4*'NIFTY MEMBS'!AI28</f>
        <v>20734.819568143685</v>
      </c>
      <c r="AI39" s="4">
        <f>$AI$4*'NIFTY MEMBS'!AJ28</f>
        <v>19657.744624835454</v>
      </c>
      <c r="AJ39" s="4">
        <f>$AJ$4*'NIFTY MEMBS'!AK28</f>
        <v>16411.233371653805</v>
      </c>
      <c r="AK39" s="4">
        <f>$AK$4*'NIFTY MEMBS'!AL28</f>
        <v>20391.867821386892</v>
      </c>
      <c r="AL39" s="4">
        <f>$AL$4*'NIFTY MEMBS'!AM28</f>
        <v>22177.553067365359</v>
      </c>
      <c r="AM39" s="4">
        <f>$AM$4*'NIFTY MEMBS'!AN28</f>
        <v>16270.258416394903</v>
      </c>
      <c r="AN39" s="4">
        <f>$AN$4*'NIFTY MEMBS'!AO28</f>
        <v>20981.862325049984</v>
      </c>
      <c r="AO39" s="4">
        <f>$AO$4*'NIFTY MEMBS'!AP28</f>
        <v>20345.106934543095</v>
      </c>
      <c r="AP39" s="4">
        <f>$AP$4*'NIFTY MEMBS'!AQ28</f>
        <v>20258.031874525674</v>
      </c>
      <c r="AQ39" s="4">
        <f>$AQ$4*'NIFTY MEMBS'!AR28</f>
        <v>19497.021451418845</v>
      </c>
      <c r="AR39" s="4">
        <f>$AR$4*'NIFTY MEMBS'!AS28</f>
        <v>18792.753907527302</v>
      </c>
      <c r="AS39" s="4">
        <f>$AS$4*'NIFTY MEMBS'!AT28</f>
        <v>18846.62093857917</v>
      </c>
      <c r="AT39" s="4">
        <f>$AT$4*'NIFTY MEMBS'!AU28</f>
        <v>19574.118171072238</v>
      </c>
      <c r="AU39" s="4">
        <f>$AU$4*'NIFTY MEMBS'!AV28</f>
        <v>22064.544170379224</v>
      </c>
      <c r="AV39" s="4">
        <f>$AV$4*'NIFTY MEMBS'!AW28</f>
        <v>17933.528122717311</v>
      </c>
      <c r="AW39" s="4">
        <f>$AW$4*'NIFTY MEMBS'!AX28</f>
        <v>20411.294466285082</v>
      </c>
      <c r="AX39" s="4">
        <f>$AX$4*'NIFTY MEMBS'!AY28</f>
        <v>21893.955023726019</v>
      </c>
      <c r="AY39" s="4">
        <f t="shared" si="8"/>
        <v>980998.36549024121</v>
      </c>
      <c r="AZ39" s="4">
        <f t="shared" si="9"/>
        <v>100.10187402961645</v>
      </c>
    </row>
    <row r="40" spans="1:52" ht="14.25" customHeight="1" x14ac:dyDescent="0.3">
      <c r="A40" s="2">
        <v>45694</v>
      </c>
      <c r="B40" s="4">
        <f>$B$4*'NIFTY MEMBS'!C29</f>
        <v>20987.512794268165</v>
      </c>
      <c r="C40" s="4">
        <f>$C$4*'NIFTY MEMBS'!D29</f>
        <v>19563.373645358883</v>
      </c>
      <c r="D40" s="4">
        <f>$D$4*'NIFTY MEMBS'!E29</f>
        <v>20301.435106849658</v>
      </c>
      <c r="E40" s="4">
        <f>$E$4*'NIFTY MEMBS'!F29</f>
        <v>19855.560553927709</v>
      </c>
      <c r="F40" s="4">
        <f>$F$4*'NIFTY MEMBS'!G29</f>
        <v>19824.718575935807</v>
      </c>
      <c r="G40" s="4">
        <f>$G$4*'NIFTY MEMBS'!H29</f>
        <v>18967.473524962177</v>
      </c>
      <c r="H40" s="4">
        <f>$H$4*'NIFTY MEMBS'!I29</f>
        <v>20352.191235059759</v>
      </c>
      <c r="I40" s="4">
        <f>$I$4*'NIFTY MEMBS'!J29</f>
        <v>20435.812411179537</v>
      </c>
      <c r="J40" s="4">
        <f>$J$4*'NIFTY MEMBS'!K29</f>
        <v>24533.329488270156</v>
      </c>
      <c r="K40" s="4">
        <f>$K$4*'NIFTY MEMBS'!L29</f>
        <v>19269.581931763576</v>
      </c>
      <c r="L40" s="4">
        <f>$L$4*'NIFTY MEMBS'!M29</f>
        <v>18283.571915473756</v>
      </c>
      <c r="M40" s="4">
        <f>$M$4*'NIFTY MEMBS'!N29</f>
        <v>23329.140012312306</v>
      </c>
      <c r="N40" s="4">
        <f>$N$4*'NIFTY MEMBS'!O29</f>
        <v>20376.054510058402</v>
      </c>
      <c r="O40" s="4">
        <f>$O$4*'NIFTY MEMBS'!P29</f>
        <v>21426.414672332809</v>
      </c>
      <c r="P40" s="4">
        <f>$P$4*'NIFTY MEMBS'!Q29</f>
        <v>18028.714140014123</v>
      </c>
      <c r="Q40" s="4">
        <f>$Q$4*'NIFTY MEMBS'!R29</f>
        <v>18434.350115082409</v>
      </c>
      <c r="R40" s="4">
        <f>$R$4*'NIFTY MEMBS'!S29</f>
        <v>20053.02699397222</v>
      </c>
      <c r="S40" s="4">
        <f>$S$4*'NIFTY MEMBS'!T29</f>
        <v>19046.463892517262</v>
      </c>
      <c r="T40" s="4">
        <f>$T$4*'NIFTY MEMBS'!U29</f>
        <v>22684.597817812737</v>
      </c>
      <c r="U40" s="4">
        <f>$U$4*'NIFTY MEMBS'!V29</f>
        <v>20964.39602317255</v>
      </c>
      <c r="V40" s="4">
        <f>$V$4*'NIFTY MEMBS'!W29</f>
        <v>18750.187322044058</v>
      </c>
      <c r="W40" s="4">
        <f>$W$4*'NIFTY MEMBS'!X29</f>
        <v>16567.811934900543</v>
      </c>
      <c r="X40" s="4">
        <f>$X$4*'NIFTY MEMBS'!Y29</f>
        <v>19103.142693033558</v>
      </c>
      <c r="Y40" s="4">
        <f>$Y$4*'NIFTY MEMBS'!Z29</f>
        <v>21620.59506224942</v>
      </c>
      <c r="Z40" s="4">
        <f>$Z$4*'NIFTY MEMBS'!AA29</f>
        <v>19037.087444709086</v>
      </c>
      <c r="AA40" s="4">
        <f>$AA$4*'NIFTY MEMBS'!AB29</f>
        <v>20948.699541664366</v>
      </c>
      <c r="AB40" s="4">
        <f>$AB$4*'NIFTY MEMBS'!AC29</f>
        <v>21175.491175491174</v>
      </c>
      <c r="AC40" s="4">
        <f>$AC$4*'NIFTY MEMBS'!AD29</f>
        <v>18115.335051546394</v>
      </c>
      <c r="AD40" s="4">
        <f>$AD$4*'NIFTY MEMBS'!AE29</f>
        <v>18942.94294294294</v>
      </c>
      <c r="AE40" s="4">
        <f>$AE$4*'NIFTY MEMBS'!AF29</f>
        <v>20242.090028659524</v>
      </c>
      <c r="AF40" s="4">
        <f>$AF$4*'NIFTY MEMBS'!AG29</f>
        <v>19642.028073677131</v>
      </c>
      <c r="AG40" s="4">
        <f>$AG$4*'NIFTY MEMBS'!AH29</f>
        <v>19648.033126293998</v>
      </c>
      <c r="AH40" s="4">
        <f>$AH$4*'NIFTY MEMBS'!AI29</f>
        <v>20647.231288377501</v>
      </c>
      <c r="AI40" s="4">
        <f>$AI$4*'NIFTY MEMBS'!AJ29</f>
        <v>19385.695480473889</v>
      </c>
      <c r="AJ40" s="4">
        <f>$AJ$4*'NIFTY MEMBS'!AK29</f>
        <v>16454.590244703566</v>
      </c>
      <c r="AK40" s="4">
        <f>$AK$4*'NIFTY MEMBS'!AL29</f>
        <v>20465.573367729252</v>
      </c>
      <c r="AL40" s="4">
        <f>$AL$4*'NIFTY MEMBS'!AM29</f>
        <v>21869.690704767359</v>
      </c>
      <c r="AM40" s="4">
        <f>$AM$4*'NIFTY MEMBS'!AN29</f>
        <v>14932.265617815383</v>
      </c>
      <c r="AN40" s="4">
        <f>$AN$4*'NIFTY MEMBS'!AO29</f>
        <v>20924.021708083401</v>
      </c>
      <c r="AO40" s="4">
        <f>$AO$4*'NIFTY MEMBS'!AP29</f>
        <v>20477.965003240439</v>
      </c>
      <c r="AP40" s="4">
        <f>$AP$4*'NIFTY MEMBS'!AQ29</f>
        <v>20084.324142001853</v>
      </c>
      <c r="AQ40" s="4">
        <f>$AQ$4*'NIFTY MEMBS'!AR29</f>
        <v>19597.969304809696</v>
      </c>
      <c r="AR40" s="4">
        <f>$AR$4*'NIFTY MEMBS'!AS29</f>
        <v>19246.615656268394</v>
      </c>
      <c r="AS40" s="4">
        <f>$AS$4*'NIFTY MEMBS'!AT29</f>
        <v>18655.567089346168</v>
      </c>
      <c r="AT40" s="4">
        <f>$AT$4*'NIFTY MEMBS'!AU29</f>
        <v>19404.51921264968</v>
      </c>
      <c r="AU40" s="4">
        <f>$AU$4*'NIFTY MEMBS'!AV29</f>
        <v>22239.487123763993</v>
      </c>
      <c r="AV40" s="4">
        <f>$AV$4*'NIFTY MEMBS'!AW29</f>
        <v>18066.471877282689</v>
      </c>
      <c r="AW40" s="4">
        <f>$AW$4*'NIFTY MEMBS'!AX29</f>
        <v>20218.43297047331</v>
      </c>
      <c r="AX40" s="4">
        <f>$AX$4*'NIFTY MEMBS'!AY29</f>
        <v>21983.70125851042</v>
      </c>
      <c r="AY40" s="4">
        <f t="shared" si="8"/>
        <v>975165.28580783331</v>
      </c>
      <c r="AZ40" s="4">
        <f t="shared" si="9"/>
        <v>99.506661817125845</v>
      </c>
    </row>
    <row r="41" spans="1:52" ht="14.25" customHeight="1" x14ac:dyDescent="0.3">
      <c r="A41" s="2">
        <v>45695</v>
      </c>
      <c r="B41" s="4">
        <f>$B$4*'NIFTY MEMBS'!C30</f>
        <v>20744.319344933469</v>
      </c>
      <c r="C41" s="4">
        <f>$C$4*'NIFTY MEMBS'!D30</f>
        <v>19439.072000717988</v>
      </c>
      <c r="D41" s="4">
        <f>$D$4*'NIFTY MEMBS'!E30</f>
        <v>21015.855110609762</v>
      </c>
      <c r="E41" s="4">
        <f>$E$4*'NIFTY MEMBS'!F30</f>
        <v>19596.104511908961</v>
      </c>
      <c r="F41" s="4">
        <f>$F$4*'NIFTY MEMBS'!G30</f>
        <v>19583.21972500292</v>
      </c>
      <c r="G41" s="4">
        <f>$G$4*'NIFTY MEMBS'!H30</f>
        <v>18587.99798285426</v>
      </c>
      <c r="H41" s="4">
        <f>$H$4*'NIFTY MEMBS'!I30</f>
        <v>20224.701195219124</v>
      </c>
      <c r="I41" s="4">
        <f>$I$4*'NIFTY MEMBS'!J30</f>
        <v>20359.588303690627</v>
      </c>
      <c r="J41" s="4">
        <f>$J$4*'NIFTY MEMBS'!K30</f>
        <v>24437.875794846652</v>
      </c>
      <c r="K41" s="4">
        <f>$K$4*'NIFTY MEMBS'!L30</f>
        <v>18821.807697348304</v>
      </c>
      <c r="L41" s="4">
        <f>$L$4*'NIFTY MEMBS'!M30</f>
        <v>18197.137014314929</v>
      </c>
      <c r="M41" s="4">
        <f>$M$4*'NIFTY MEMBS'!N30</f>
        <v>23285.422410178173</v>
      </c>
      <c r="N41" s="4">
        <f>$N$4*'NIFTY MEMBS'!O30</f>
        <v>20755.67813108371</v>
      </c>
      <c r="O41" s="4">
        <f>$O$4*'NIFTY MEMBS'!P30</f>
        <v>21575.150972936703</v>
      </c>
      <c r="P41" s="4">
        <f>$P$4*'NIFTY MEMBS'!Q30</f>
        <v>18051.204267894034</v>
      </c>
      <c r="Q41" s="4">
        <f>$Q$4*'NIFTY MEMBS'!R30</f>
        <v>18516.891981269342</v>
      </c>
      <c r="R41" s="4">
        <f>$R$4*'NIFTY MEMBS'!S30</f>
        <v>20338.254564514718</v>
      </c>
      <c r="S41" s="4">
        <f>$S$4*'NIFTY MEMBS'!T30</f>
        <v>19109.90856503079</v>
      </c>
      <c r="T41" s="4">
        <f>$T$4*'NIFTY MEMBS'!U30</f>
        <v>22815.909667597054</v>
      </c>
      <c r="U41" s="4">
        <f>$U$4*'NIFTY MEMBS'!V30</f>
        <v>21050.755259154543</v>
      </c>
      <c r="V41" s="4">
        <f>$V$4*'NIFTY MEMBS'!W30</f>
        <v>18998.950996553274</v>
      </c>
      <c r="W41" s="4">
        <f>$W$4*'NIFTY MEMBS'!X30</f>
        <v>16918.625678119352</v>
      </c>
      <c r="X41" s="4">
        <f>$X$4*'NIFTY MEMBS'!Y30</f>
        <v>18808.566505292521</v>
      </c>
      <c r="Y41" s="4">
        <f>$Y$4*'NIFTY MEMBS'!Z30</f>
        <v>21008.651614264614</v>
      </c>
      <c r="Z41" s="4">
        <f>$Z$4*'NIFTY MEMBS'!AA30</f>
        <v>18853.351480095273</v>
      </c>
      <c r="AA41" s="4">
        <f>$AA$4*'NIFTY MEMBS'!AB30</f>
        <v>21663.261361753823</v>
      </c>
      <c r="AB41" s="4">
        <f>$AB$4*'NIFTY MEMBS'!AC30</f>
        <v>21178.821178821177</v>
      </c>
      <c r="AC41" s="4">
        <f>$AC$4*'NIFTY MEMBS'!AD30</f>
        <v>17922.036082474227</v>
      </c>
      <c r="AD41" s="4">
        <f>$AD$4*'NIFTY MEMBS'!AE30</f>
        <v>18865.532198865531</v>
      </c>
      <c r="AE41" s="4">
        <f>$AE$4*'NIFTY MEMBS'!AF30</f>
        <v>20569.41496816562</v>
      </c>
      <c r="AF41" s="4">
        <f>$AF$4*'NIFTY MEMBS'!AG30</f>
        <v>19707.981689193584</v>
      </c>
      <c r="AG41" s="4">
        <f>$AG$4*'NIFTY MEMBS'!AH30</f>
        <v>19578.157349896483</v>
      </c>
      <c r="AH41" s="4">
        <f>$AH$4*'NIFTY MEMBS'!AI30</f>
        <v>20515.019085025171</v>
      </c>
      <c r="AI41" s="4">
        <f>$AI$4*'NIFTY MEMBS'!AJ30</f>
        <v>20229.632879918092</v>
      </c>
      <c r="AJ41" s="4">
        <f>$AJ$4*'NIFTY MEMBS'!AK30</f>
        <v>16386.927245853178</v>
      </c>
      <c r="AK41" s="4">
        <f>$AK$4*'NIFTY MEMBS'!AL30</f>
        <v>20372.213009028928</v>
      </c>
      <c r="AL41" s="4">
        <f>$AL$4*'NIFTY MEMBS'!AM30</f>
        <v>21994.759789572799</v>
      </c>
      <c r="AM41" s="4">
        <f>$AM$4*'NIFTY MEMBS'!AN30</f>
        <v>15433.959861630859</v>
      </c>
      <c r="AN41" s="4">
        <f>$AN$4*'NIFTY MEMBS'!AO30</f>
        <v>21007.569265924019</v>
      </c>
      <c r="AO41" s="4">
        <f>$AO$4*'NIFTY MEMBS'!AP30</f>
        <v>20599.481529488006</v>
      </c>
      <c r="AP41" s="4">
        <f>$AP$4*'NIFTY MEMBS'!AQ30</f>
        <v>20487.393540770721</v>
      </c>
      <c r="AQ41" s="4">
        <f>$AQ$4*'NIFTY MEMBS'!AR30</f>
        <v>19862.077060774129</v>
      </c>
      <c r="AR41" s="4">
        <f>$AR$4*'NIFTY MEMBS'!AS30</f>
        <v>19256.425348244065</v>
      </c>
      <c r="AS41" s="4">
        <f>$AS$4*'NIFTY MEMBS'!AT30</f>
        <v>18428.41926007341</v>
      </c>
      <c r="AT41" s="4">
        <f>$AT$4*'NIFTY MEMBS'!AU30</f>
        <v>19171.53478491768</v>
      </c>
      <c r="AU41" s="4">
        <f>$AU$4*'NIFTY MEMBS'!AV30</f>
        <v>22192.763229381726</v>
      </c>
      <c r="AV41" s="4">
        <f>$AV$4*'NIFTY MEMBS'!AW30</f>
        <v>18121.256391526666</v>
      </c>
      <c r="AW41" s="4">
        <f>$AW$4*'NIFTY MEMBS'!AX30</f>
        <v>20431.608254567611</v>
      </c>
      <c r="AX41" s="4">
        <f>$AX$4*'NIFTY MEMBS'!AY30</f>
        <v>22263.255622034249</v>
      </c>
      <c r="AY41" s="4">
        <f t="shared" si="8"/>
        <v>977334.50176333287</v>
      </c>
      <c r="AZ41" s="4">
        <f t="shared" si="9"/>
        <v>99.728010384013558</v>
      </c>
    </row>
    <row r="42" spans="1:52" ht="14.25" customHeight="1" x14ac:dyDescent="0.3">
      <c r="A42" s="2">
        <v>45698</v>
      </c>
      <c r="B42" s="4">
        <f>$B$4*'NIFTY MEMBS'!C31</f>
        <v>20530.603889457525</v>
      </c>
      <c r="C42" s="4">
        <f>$C$4*'NIFTY MEMBS'!D31</f>
        <v>19248.356480962106</v>
      </c>
      <c r="D42" s="4">
        <f>$D$4*'NIFTY MEMBS'!E31</f>
        <v>21220.154164316598</v>
      </c>
      <c r="E42" s="4">
        <f>$E$4*'NIFTY MEMBS'!F31</f>
        <v>19632.8222835536</v>
      </c>
      <c r="F42" s="4">
        <f>$F$4*'NIFTY MEMBS'!G31</f>
        <v>19672.028979862109</v>
      </c>
      <c r="G42" s="4">
        <f>$G$4*'NIFTY MEMBS'!H31</f>
        <v>18577.912254160361</v>
      </c>
      <c r="H42" s="4">
        <f>$H$4*'NIFTY MEMBS'!I31</f>
        <v>19976.626826029216</v>
      </c>
      <c r="I42" s="4">
        <f>$I$4*'NIFTY MEMBS'!J31</f>
        <v>20338.917359286854</v>
      </c>
      <c r="J42" s="4">
        <f>$J$4*'NIFTY MEMBS'!K31</f>
        <v>23897.452165010884</v>
      </c>
      <c r="K42" s="4">
        <f>$K$4*'NIFTY MEMBS'!L31</f>
        <v>18662.356384605304</v>
      </c>
      <c r="L42" s="4">
        <f>$L$4*'NIFTY MEMBS'!M31</f>
        <v>18152.147239263802</v>
      </c>
      <c r="M42" s="4">
        <f>$M$4*'NIFTY MEMBS'!N31</f>
        <v>23019.994111506654</v>
      </c>
      <c r="N42" s="4">
        <f>$N$4*'NIFTY MEMBS'!O31</f>
        <v>20358.533419857235</v>
      </c>
      <c r="O42" s="4">
        <f>$O$4*'NIFTY MEMBS'!P31</f>
        <v>21920.711250279579</v>
      </c>
      <c r="P42" s="4">
        <f>$P$4*'NIFTY MEMBS'!Q31</f>
        <v>18136.980569575564</v>
      </c>
      <c r="Q42" s="4">
        <f>$Q$4*'NIFTY MEMBS'!R31</f>
        <v>18329.585438768219</v>
      </c>
      <c r="R42" s="4">
        <f>$R$4*'NIFTY MEMBS'!S31</f>
        <v>20149.034681575955</v>
      </c>
      <c r="S42" s="4">
        <f>$S$4*'NIFTY MEMBS'!T31</f>
        <v>18879.455122224295</v>
      </c>
      <c r="T42" s="4">
        <f>$T$4*'NIFTY MEMBS'!U31</f>
        <v>22740.421212890127</v>
      </c>
      <c r="U42" s="4">
        <f>$U$4*'NIFTY MEMBS'!V31</f>
        <v>20452.387172119183</v>
      </c>
      <c r="V42" s="4">
        <f>$V$4*'NIFTY MEMBS'!W31</f>
        <v>18612.318297617265</v>
      </c>
      <c r="W42" s="4">
        <f>$W$4*'NIFTY MEMBS'!X31</f>
        <v>16437.613019891502</v>
      </c>
      <c r="X42" s="4">
        <f>$X$4*'NIFTY MEMBS'!Y31</f>
        <v>18777.385738902107</v>
      </c>
      <c r="Y42" s="4">
        <f>$Y$4*'NIFTY MEMBS'!Z31</f>
        <v>20464.232960540197</v>
      </c>
      <c r="Z42" s="4">
        <f>$Z$4*'NIFTY MEMBS'!AA31</f>
        <v>18608.37019394352</v>
      </c>
      <c r="AA42" s="4">
        <f>$AA$4*'NIFTY MEMBS'!AB31</f>
        <v>21186.150532884199</v>
      </c>
      <c r="AB42" s="4">
        <f>$AB$4*'NIFTY MEMBS'!AC31</f>
        <v>21248.75124875125</v>
      </c>
      <c r="AC42" s="4">
        <f>$AC$4*'NIFTY MEMBS'!AD31</f>
        <v>17313.14432989691</v>
      </c>
      <c r="AD42" s="4">
        <f>$AD$4*'NIFTY MEMBS'!AE31</f>
        <v>18578.578578578577</v>
      </c>
      <c r="AE42" s="4">
        <f>$AE$4*'NIFTY MEMBS'!AF31</f>
        <v>20320.345973651543</v>
      </c>
      <c r="AF42" s="4">
        <f>$AF$4*'NIFTY MEMBS'!AG31</f>
        <v>19700.605297984508</v>
      </c>
      <c r="AG42" s="4">
        <f>$AG$4*'NIFTY MEMBS'!AH31</f>
        <v>19177.018633540374</v>
      </c>
      <c r="AH42" s="4">
        <f>$AH$4*'NIFTY MEMBS'!AI31</f>
        <v>20477.771016577237</v>
      </c>
      <c r="AI42" s="4">
        <f>$AI$4*'NIFTY MEMBS'!AJ31</f>
        <v>19605.089951733215</v>
      </c>
      <c r="AJ42" s="4">
        <f>$AJ$4*'NIFTY MEMBS'!AK31</f>
        <v>15960.584660863855</v>
      </c>
      <c r="AK42" s="4">
        <f>$AK$4*'NIFTY MEMBS'!AL31</f>
        <v>20254.693610138605</v>
      </c>
      <c r="AL42" s="4">
        <f>$AL$4*'NIFTY MEMBS'!AM31</f>
        <v>21842.466174032299</v>
      </c>
      <c r="AM42" s="4">
        <f>$AM$4*'NIFTY MEMBS'!AN31</f>
        <v>14704.904464456251</v>
      </c>
      <c r="AN42" s="4">
        <f>$AN$4*'NIFTY MEMBS'!AO31</f>
        <v>20682.662096543841</v>
      </c>
      <c r="AO42" s="4">
        <f>$AO$4*'NIFTY MEMBS'!AP31</f>
        <v>20599.481529488006</v>
      </c>
      <c r="AP42" s="4">
        <f>$AP$4*'NIFTY MEMBS'!AQ31</f>
        <v>20102.875453242261</v>
      </c>
      <c r="AQ42" s="4">
        <f>$AQ$4*'NIFTY MEMBS'!AR31</f>
        <v>19943.657012060921</v>
      </c>
      <c r="AR42" s="4">
        <f>$AR$4*'NIFTY MEMBS'!AS31</f>
        <v>19081.158851612057</v>
      </c>
      <c r="AS42" s="4">
        <f>$AS$4*'NIFTY MEMBS'!AT31</f>
        <v>18348.903950662512</v>
      </c>
      <c r="AT42" s="4">
        <f>$AT$4*'NIFTY MEMBS'!AU31</f>
        <v>19214.362804721357</v>
      </c>
      <c r="AU42" s="4">
        <f>$AU$4*'NIFTY MEMBS'!AV31</f>
        <v>22329.675105943716</v>
      </c>
      <c r="AV42" s="4">
        <f>$AV$4*'NIFTY MEMBS'!AW31</f>
        <v>17837.107377647921</v>
      </c>
      <c r="AW42" s="4">
        <f>$AW$4*'NIFTY MEMBS'!AX31</f>
        <v>20057.834550169078</v>
      </c>
      <c r="AX42" s="4">
        <f>$AX$4*'NIFTY MEMBS'!AY31</f>
        <v>22034.247988446463</v>
      </c>
      <c r="AY42" s="4">
        <f t="shared" si="8"/>
        <v>967398.47240982635</v>
      </c>
      <c r="AZ42" s="4">
        <f t="shared" si="9"/>
        <v>98.714129837737389</v>
      </c>
    </row>
    <row r="43" spans="1:52" ht="14.25" customHeight="1" x14ac:dyDescent="0.3">
      <c r="A43" s="2">
        <v>45699</v>
      </c>
      <c r="B43" s="4">
        <f>$B$4*'NIFTY MEMBS'!C32</f>
        <v>20222.722620266119</v>
      </c>
      <c r="C43" s="4">
        <f>$C$4*'NIFTY MEMBS'!D32</f>
        <v>19087.257959568313</v>
      </c>
      <c r="D43" s="4">
        <f>$D$4*'NIFTY MEMBS'!E32</f>
        <v>21266.528796139624</v>
      </c>
      <c r="E43" s="4">
        <f>$E$4*'NIFTY MEMBS'!F32</f>
        <v>19275.857457233524</v>
      </c>
      <c r="F43" s="4">
        <f>$F$4*'NIFTY MEMBS'!G32</f>
        <v>19518.560355237019</v>
      </c>
      <c r="G43" s="4">
        <f>$G$4*'NIFTY MEMBS'!H32</f>
        <v>18434.190620272315</v>
      </c>
      <c r="H43" s="4">
        <f>$H$4*'NIFTY MEMBS'!I32</f>
        <v>19927.224435590968</v>
      </c>
      <c r="I43" s="4">
        <f>$I$4*'NIFTY MEMBS'!J32</f>
        <v>19941.001679514236</v>
      </c>
      <c r="J43" s="4">
        <f>$J$4*'NIFTY MEMBS'!K32</f>
        <v>23621.76113506265</v>
      </c>
      <c r="K43" s="4">
        <f>$K$4*'NIFTY MEMBS'!L32</f>
        <v>18273.55729325936</v>
      </c>
      <c r="L43" s="4">
        <f>$L$4*'NIFTY MEMBS'!M32</f>
        <v>17666.802999318337</v>
      </c>
      <c r="M43" s="4">
        <f>$M$4*'NIFTY MEMBS'!N32</f>
        <v>22705.227376140898</v>
      </c>
      <c r="N43" s="4">
        <f>$N$4*'NIFTY MEMBS'!O32</f>
        <v>20025.632706035041</v>
      </c>
      <c r="O43" s="4">
        <f>$O$4*'NIFTY MEMBS'!P32</f>
        <v>21456.050100648623</v>
      </c>
      <c r="P43" s="4">
        <f>$P$4*'NIFTY MEMBS'!Q32</f>
        <v>18025.575982635528</v>
      </c>
      <c r="Q43" s="4">
        <f>$Q$4*'NIFTY MEMBS'!R32</f>
        <v>17987.24833990317</v>
      </c>
      <c r="R43" s="4">
        <f>$R$4*'NIFTY MEMBS'!S32</f>
        <v>19743.513584345244</v>
      </c>
      <c r="S43" s="4">
        <f>$S$4*'NIFTY MEMBS'!T32</f>
        <v>18798.283261802575</v>
      </c>
      <c r="T43" s="4">
        <f>$T$4*'NIFTY MEMBS'!U32</f>
        <v>22137.147931996951</v>
      </c>
      <c r="U43" s="4">
        <f>$U$4*'NIFTY MEMBS'!V32</f>
        <v>20171.796487238196</v>
      </c>
      <c r="V43" s="4">
        <f>$V$4*'NIFTY MEMBS'!W32</f>
        <v>18318.597332534093</v>
      </c>
      <c r="W43" s="4">
        <f>$W$4*'NIFTY MEMBS'!X32</f>
        <v>15584.086799276673</v>
      </c>
      <c r="X43" s="4">
        <f>$X$4*'NIFTY MEMBS'!Y32</f>
        <v>18710.100927217522</v>
      </c>
      <c r="Y43" s="4">
        <f>$Y$4*'NIFTY MEMBS'!Z32</f>
        <v>20168.81198565098</v>
      </c>
      <c r="Z43" s="4">
        <f>$Z$4*'NIFTY MEMBS'!AA32</f>
        <v>18036.747192922765</v>
      </c>
      <c r="AA43" s="4">
        <f>$AA$4*'NIFTY MEMBS'!AB32</f>
        <v>21083.439173891435</v>
      </c>
      <c r="AB43" s="4">
        <f>$AB$4*'NIFTY MEMBS'!AC32</f>
        <v>20845.820845820846</v>
      </c>
      <c r="AC43" s="4">
        <f>$AC$4*'NIFTY MEMBS'!AD32</f>
        <v>16846.005154639177</v>
      </c>
      <c r="AD43" s="4">
        <f>$AD$4*'NIFTY MEMBS'!AE32</f>
        <v>18091.424758091423</v>
      </c>
      <c r="AE43" s="4">
        <f>$AE$4*'NIFTY MEMBS'!AF32</f>
        <v>20049.081579534468</v>
      </c>
      <c r="AF43" s="4">
        <f>$AF$4*'NIFTY MEMBS'!AG32</f>
        <v>19446.336753953961</v>
      </c>
      <c r="AG43" s="4">
        <f>$AG$4*'NIFTY MEMBS'!AH32</f>
        <v>18581.780538302279</v>
      </c>
      <c r="AH43" s="4">
        <f>$AH$4*'NIFTY MEMBS'!AI32</f>
        <v>20242.112444911585</v>
      </c>
      <c r="AI43" s="4">
        <f>$AI$4*'NIFTY MEMBS'!AJ32</f>
        <v>19030.276437033786</v>
      </c>
      <c r="AJ43" s="4">
        <f>$AJ$4*'NIFTY MEMBS'!AK32</f>
        <v>15499.425192970933</v>
      </c>
      <c r="AK43" s="4">
        <f>$AK$4*'NIFTY MEMBS'!AL32</f>
        <v>20403.742603853159</v>
      </c>
      <c r="AL43" s="4">
        <f>$AL$4*'NIFTY MEMBS'!AM32</f>
        <v>20356.375248193559</v>
      </c>
      <c r="AM43" s="4">
        <f>$AM$4*'NIFTY MEMBS'!AN32</f>
        <v>14794.320923026862</v>
      </c>
      <c r="AN43" s="4">
        <f>$AN$4*'NIFTY MEMBS'!AO32</f>
        <v>20265.638389031701</v>
      </c>
      <c r="AO43" s="4">
        <f>$AO$4*'NIFTY MEMBS'!AP32</f>
        <v>20045.36616979909</v>
      </c>
      <c r="AP43" s="4">
        <f>$AP$4*'NIFTY MEMBS'!AQ32</f>
        <v>20097.81600472215</v>
      </c>
      <c r="AQ43" s="4">
        <f>$AQ$4*'NIFTY MEMBS'!AR32</f>
        <v>19592.100243566041</v>
      </c>
      <c r="AR43" s="4">
        <f>$AR$4*'NIFTY MEMBS'!AS32</f>
        <v>19006.605192596955</v>
      </c>
      <c r="AS43" s="4">
        <f>$AS$4*'NIFTY MEMBS'!AT32</f>
        <v>17144.233443922032</v>
      </c>
      <c r="AT43" s="4">
        <f>$AT$4*'NIFTY MEMBS'!AU32</f>
        <v>18452.024052215918</v>
      </c>
      <c r="AU43" s="4">
        <f>$AU$4*'NIFTY MEMBS'!AV32</f>
        <v>22031.946104531133</v>
      </c>
      <c r="AV43" s="4">
        <f>$AV$4*'NIFTY MEMBS'!AW32</f>
        <v>17674.214755295838</v>
      </c>
      <c r="AW43" s="4">
        <f>$AW$4*'NIFTY MEMBS'!AX32</f>
        <v>19527.764168867325</v>
      </c>
      <c r="AX43" s="4">
        <f>$AX$4*'NIFTY MEMBS'!AY32</f>
        <v>21748.504229420265</v>
      </c>
      <c r="AY43" s="4">
        <f t="shared" si="8"/>
        <v>949960.63976800279</v>
      </c>
      <c r="AZ43" s="4">
        <f t="shared" si="9"/>
        <v>96.934759160000283</v>
      </c>
    </row>
    <row r="44" spans="1:52" ht="14.25" customHeight="1" x14ac:dyDescent="0.3">
      <c r="A44" s="2">
        <v>45700</v>
      </c>
      <c r="B44" s="4">
        <f>$B$4*'NIFTY MEMBS'!C33</f>
        <v>19923.029682702148</v>
      </c>
      <c r="C44" s="4">
        <f>$C$4*'NIFTY MEMBS'!D33</f>
        <v>19147.838183490767</v>
      </c>
      <c r="D44" s="4">
        <f>$D$4*'NIFTY MEMBS'!E33</f>
        <v>21452.027323431721</v>
      </c>
      <c r="E44" s="4">
        <f>$E$4*'NIFTY MEMBS'!F33</f>
        <v>19210.689491665555</v>
      </c>
      <c r="F44" s="4">
        <f>$F$4*'NIFTY MEMBS'!G33</f>
        <v>19503.758812760487</v>
      </c>
      <c r="G44" s="4">
        <f>$G$4*'NIFTY MEMBS'!H33</f>
        <v>18485.87997982854</v>
      </c>
      <c r="H44" s="4">
        <f>$H$4*'NIFTY MEMBS'!I33</f>
        <v>19794.422310756971</v>
      </c>
      <c r="I44" s="4">
        <f>$I$4*'NIFTY MEMBS'!J33</f>
        <v>20089.574092416351</v>
      </c>
      <c r="J44" s="4">
        <f>$J$4*'NIFTY MEMBS'!K33</f>
        <v>23687.800095165312</v>
      </c>
      <c r="K44" s="4">
        <f>$K$4*'NIFTY MEMBS'!L33</f>
        <v>17906.600847494647</v>
      </c>
      <c r="L44" s="4">
        <f>$L$4*'NIFTY MEMBS'!M33</f>
        <v>17939.468302658486</v>
      </c>
      <c r="M44" s="4">
        <f>$M$4*'NIFTY MEMBS'!N33</f>
        <v>22582.461211780555</v>
      </c>
      <c r="N44" s="4">
        <f>$N$4*'NIFTY MEMBS'!O33</f>
        <v>19384.815055158986</v>
      </c>
      <c r="O44" s="4">
        <f>$O$4*'NIFTY MEMBS'!P33</f>
        <v>21739.543726235741</v>
      </c>
      <c r="P44" s="4">
        <f>$P$4*'NIFTY MEMBS'!Q33</f>
        <v>17963.858887523209</v>
      </c>
      <c r="Q44" s="4">
        <f>$Q$4*'NIFTY MEMBS'!R33</f>
        <v>17924.812825736128</v>
      </c>
      <c r="R44" s="4">
        <f>$R$4*'NIFTY MEMBS'!S33</f>
        <v>20055.036254040358</v>
      </c>
      <c r="S44" s="4">
        <f>$S$4*'NIFTY MEMBS'!T33</f>
        <v>18788.953162903526</v>
      </c>
      <c r="T44" s="4">
        <f>$T$4*'NIFTY MEMBS'!U33</f>
        <v>22693.47881248414</v>
      </c>
      <c r="U44" s="4">
        <f>$U$4*'NIFTY MEMBS'!V33</f>
        <v>20009.83450374172</v>
      </c>
      <c r="V44" s="4">
        <f>$V$4*'NIFTY MEMBS'!W33</f>
        <v>18357.560317698186</v>
      </c>
      <c r="W44" s="4">
        <f>$W$4*'NIFTY MEMBS'!X33</f>
        <v>15529.837251356239</v>
      </c>
      <c r="X44" s="4">
        <f>$X$4*'NIFTY MEMBS'!Y33</f>
        <v>18527.119061294819</v>
      </c>
      <c r="Y44" s="4">
        <f>$Y$4*'NIFTY MEMBS'!Z33</f>
        <v>20037.982696771473</v>
      </c>
      <c r="Z44" s="4">
        <f>$Z$4*'NIFTY MEMBS'!AA33</f>
        <v>17635.250085062948</v>
      </c>
      <c r="AA44" s="4">
        <f>$AA$4*'NIFTY MEMBS'!AB33</f>
        <v>21125.40725606052</v>
      </c>
      <c r="AB44" s="4">
        <f>$AB$4*'NIFTY MEMBS'!AC33</f>
        <v>20659.340659340658</v>
      </c>
      <c r="AC44" s="4">
        <f>$AC$4*'NIFTY MEMBS'!AD33</f>
        <v>16562.500000000004</v>
      </c>
      <c r="AD44" s="4">
        <f>$AD$4*'NIFTY MEMBS'!AE33</f>
        <v>18267.600934267601</v>
      </c>
      <c r="AE44" s="4">
        <f>$AE$4*'NIFTY MEMBS'!AF33</f>
        <v>19933.757029019915</v>
      </c>
      <c r="AF44" s="4">
        <f>$AF$4*'NIFTY MEMBS'!AG33</f>
        <v>19336.99260191352</v>
      </c>
      <c r="AG44" s="4">
        <f>$AG$4*'NIFTY MEMBS'!AH33</f>
        <v>18651.656314699794</v>
      </c>
      <c r="AH44" s="4">
        <f>$AH$4*'NIFTY MEMBS'!AI33</f>
        <v>20226.069959985991</v>
      </c>
      <c r="AI44" s="4">
        <f>$AI$4*'NIFTY MEMBS'!AJ33</f>
        <v>19347.667105455606</v>
      </c>
      <c r="AJ44" s="4">
        <f>$AJ$4*'NIFTY MEMBS'!AK33</f>
        <v>14952.865823616359</v>
      </c>
      <c r="AK44" s="4">
        <f>$AK$4*'NIFTY MEMBS'!AL33</f>
        <v>20350.510820383675</v>
      </c>
      <c r="AL44" s="4">
        <f>$AL$4*'NIFTY MEMBS'!AM33</f>
        <v>19853.233168894436</v>
      </c>
      <c r="AM44" s="4">
        <f>$AM$4*'NIFTY MEMBS'!AN33</f>
        <v>14819.646154172651</v>
      </c>
      <c r="AN44" s="4">
        <f>$AN$4*'NIFTY MEMBS'!AO33</f>
        <v>20739.074550128535</v>
      </c>
      <c r="AO44" s="4">
        <f>$AO$4*'NIFTY MEMBS'!AP33</f>
        <v>20387.232663642251</v>
      </c>
      <c r="AP44" s="4">
        <f>$AP$4*'NIFTY MEMBS'!AQ33</f>
        <v>20200.691457964411</v>
      </c>
      <c r="AQ44" s="4">
        <f>$AQ$4*'NIFTY MEMBS'!AR33</f>
        <v>19722.393403175163</v>
      </c>
      <c r="AR44" s="4">
        <f>$AR$4*'NIFTY MEMBS'!AS33</f>
        <v>18954.940814858415</v>
      </c>
      <c r="AS44" s="4">
        <f>$AS$4*'NIFTY MEMBS'!AT33</f>
        <v>17299.464696423845</v>
      </c>
      <c r="AT44" s="4">
        <f>$AT$4*'NIFTY MEMBS'!AU33</f>
        <v>18746.680828465211</v>
      </c>
      <c r="AU44" s="4">
        <f>$AU$4*'NIFTY MEMBS'!AV33</f>
        <v>22378.572204715856</v>
      </c>
      <c r="AV44" s="4">
        <f>$AV$4*'NIFTY MEMBS'!AW33</f>
        <v>17762.600438276113</v>
      </c>
      <c r="AW44" s="4">
        <f>$AW$4*'NIFTY MEMBS'!AX33</f>
        <v>19194.14006954485</v>
      </c>
      <c r="AX44" s="4">
        <f>$AX$4*'NIFTY MEMBS'!AY33</f>
        <v>21449.350113472254</v>
      </c>
      <c r="AY44" s="4">
        <f t="shared" si="8"/>
        <v>949294.02204263653</v>
      </c>
      <c r="AZ44" s="4">
        <f t="shared" si="9"/>
        <v>96.86673694312617</v>
      </c>
    </row>
    <row r="45" spans="1:52" ht="14.25" customHeight="1" x14ac:dyDescent="0.3">
      <c r="A45" s="2">
        <v>45701</v>
      </c>
      <c r="B45" s="4">
        <f>$B$4*'NIFTY MEMBS'!C34</f>
        <v>19915.660184237458</v>
      </c>
      <c r="C45" s="4">
        <f>$C$4*'NIFTY MEMBS'!D34</f>
        <v>19045.749287621442</v>
      </c>
      <c r="D45" s="4">
        <f>$D$4*'NIFTY MEMBS'!E34</f>
        <v>21490.255060475025</v>
      </c>
      <c r="E45" s="4">
        <f>$E$4*'NIFTY MEMBS'!F34</f>
        <v>19016.15825116415</v>
      </c>
      <c r="F45" s="4">
        <f>$F$4*'NIFTY MEMBS'!G34</f>
        <v>19458.575156779498</v>
      </c>
      <c r="G45" s="4">
        <f>$G$4*'NIFTY MEMBS'!H34</f>
        <v>18347.20121028744</v>
      </c>
      <c r="H45" s="4">
        <f>$H$4*'NIFTY MEMBS'!I34</f>
        <v>19583.001328021248</v>
      </c>
      <c r="I45" s="4">
        <f>$I$4*'NIFTY MEMBS'!J34</f>
        <v>19994.832263899058</v>
      </c>
      <c r="J45" s="4">
        <f>$J$4*'NIFTY MEMBS'!K34</f>
        <v>24249.85220538405</v>
      </c>
      <c r="K45" s="4">
        <f>$K$4*'NIFTY MEMBS'!L34</f>
        <v>17897.863789262155</v>
      </c>
      <c r="L45" s="4">
        <f>$L$4*'NIFTY MEMBS'!M34</f>
        <v>17797.68234492161</v>
      </c>
      <c r="M45" s="4">
        <f>$M$4*'NIFTY MEMBS'!N34</f>
        <v>22610.56538458107</v>
      </c>
      <c r="N45" s="4">
        <f>$N$4*'NIFTY MEMBS'!O34</f>
        <v>19325.113562621675</v>
      </c>
      <c r="O45" s="4">
        <f>$O$4*'NIFTY MEMBS'!P34</f>
        <v>22062.178483560721</v>
      </c>
      <c r="P45" s="4">
        <f>$P$4*'NIFTY MEMBS'!Q34</f>
        <v>17815.319438269828</v>
      </c>
      <c r="Q45" s="4">
        <f>$Q$4*'NIFTY MEMBS'!R34</f>
        <v>18480.383078917428</v>
      </c>
      <c r="R45" s="4">
        <f>$R$4*'NIFTY MEMBS'!S34</f>
        <v>20173.757316327421</v>
      </c>
      <c r="S45" s="4">
        <f>$S$4*'NIFTY MEMBS'!T34</f>
        <v>18813.211420041054</v>
      </c>
      <c r="T45" s="4">
        <f>$T$4*'NIFTY MEMBS'!U34</f>
        <v>23461.684851560516</v>
      </c>
      <c r="U45" s="4">
        <f>$U$4*'NIFTY MEMBS'!V34</f>
        <v>19862.62427585783</v>
      </c>
      <c r="V45" s="4">
        <f>$V$4*'NIFTY MEMBS'!W34</f>
        <v>18384.534692042558</v>
      </c>
      <c r="W45" s="4">
        <f>$W$4*'NIFTY MEMBS'!X34</f>
        <v>15759.132007233275</v>
      </c>
      <c r="X45" s="4">
        <f>$X$4*'NIFTY MEMBS'!Y34</f>
        <v>18241.568884877324</v>
      </c>
      <c r="Y45" s="4">
        <f>$Y$4*'NIFTY MEMBS'!Z34</f>
        <v>19831.18801434902</v>
      </c>
      <c r="Z45" s="4">
        <f>$Z$4*'NIFTY MEMBS'!AA34</f>
        <v>17798.570942497452</v>
      </c>
      <c r="AA45" s="4">
        <f>$AA$4*'NIFTY MEMBS'!AB34</f>
        <v>21421.392677674085</v>
      </c>
      <c r="AB45" s="4">
        <f>$AB$4*'NIFTY MEMBS'!AC34</f>
        <v>20549.45054945055</v>
      </c>
      <c r="AC45" s="4">
        <f>$AC$4*'NIFTY MEMBS'!AD34</f>
        <v>16697.809278350516</v>
      </c>
      <c r="AD45" s="4">
        <f>$AD$4*'NIFTY MEMBS'!AE34</f>
        <v>18254.254254254254</v>
      </c>
      <c r="AE45" s="4">
        <f>$AE$4*'NIFTY MEMBS'!AF34</f>
        <v>19887.421272116746</v>
      </c>
      <c r="AF45" s="4">
        <f>$AF$4*'NIFTY MEMBS'!AG34</f>
        <v>19407.719176447616</v>
      </c>
      <c r="AG45" s="4">
        <f>$AG$4*'NIFTY MEMBS'!AH34</f>
        <v>18718.944099378881</v>
      </c>
      <c r="AH45" s="4">
        <f>$AH$4*'NIFTY MEMBS'!AI34</f>
        <v>20076.708893437335</v>
      </c>
      <c r="AI45" s="4">
        <f>$AI$4*'NIFTY MEMBS'!AJ34</f>
        <v>19928.331139388618</v>
      </c>
      <c r="AJ45" s="4">
        <f>$AJ$4*'NIFTY MEMBS'!AK34</f>
        <v>14981.770405649535</v>
      </c>
      <c r="AK45" s="4">
        <f>$AK$4*'NIFTY MEMBS'!AL34</f>
        <v>20392.686771901805</v>
      </c>
      <c r="AL45" s="4">
        <f>$AL$4*'NIFTY MEMBS'!AM34</f>
        <v>19734.304955683372</v>
      </c>
      <c r="AM45" s="4">
        <f>$AM$4*'NIFTY MEMBS'!AN34</f>
        <v>14874.82403208806</v>
      </c>
      <c r="AN45" s="4">
        <f>$AN$4*'NIFTY MEMBS'!AO34</f>
        <v>21001.142530705511</v>
      </c>
      <c r="AO45" s="4">
        <f>$AO$4*'NIFTY MEMBS'!AP34</f>
        <v>20401.814646791961</v>
      </c>
      <c r="AP45" s="4">
        <f>$AP$4*'NIFTY MEMBS'!AQ34</f>
        <v>20322.118222447083</v>
      </c>
      <c r="AQ45" s="4">
        <f>$AQ$4*'NIFTY MEMBS'!AR34</f>
        <v>19664.876602987351</v>
      </c>
      <c r="AR45" s="4">
        <f>$AR$4*'NIFTY MEMBS'!AS34</f>
        <v>19255.117389313978</v>
      </c>
      <c r="AS45" s="4">
        <f>$AS$4*'NIFTY MEMBS'!AT34</f>
        <v>17293.08718867246</v>
      </c>
      <c r="AT45" s="4">
        <f>$AT$4*'NIFTY MEMBS'!AU34</f>
        <v>18798.074452229623</v>
      </c>
      <c r="AU45" s="4">
        <f>$AU$4*'NIFTY MEMBS'!AV34</f>
        <v>22227.534499619691</v>
      </c>
      <c r="AV45" s="4">
        <f>$AV$4*'NIFTY MEMBS'!AW34</f>
        <v>17875.82176771366</v>
      </c>
      <c r="AW45" s="4">
        <f>$AW$4*'NIFTY MEMBS'!AX34</f>
        <v>18911.180948056448</v>
      </c>
      <c r="AX45" s="4">
        <f>$AX$4*'NIFTY MEMBS'!AY34</f>
        <v>21606.148132865692</v>
      </c>
      <c r="AY45" s="4">
        <f t="shared" si="8"/>
        <v>951699.1973220153</v>
      </c>
      <c r="AZ45" s="4">
        <f t="shared" si="9"/>
        <v>97.112162992042371</v>
      </c>
    </row>
    <row r="46" spans="1:52" ht="14.25" customHeight="1" x14ac:dyDescent="0.3">
      <c r="A46" s="2">
        <v>45702</v>
      </c>
      <c r="B46" s="4">
        <f>$B$4*'NIFTY MEMBS'!C35</f>
        <v>19934.493346980551</v>
      </c>
      <c r="C46" s="4">
        <f>$C$4*'NIFTY MEMBS'!D35</f>
        <v>19013.664206062509</v>
      </c>
      <c r="D46" s="4">
        <f>$D$4*'NIFTY MEMBS'!E35</f>
        <v>21520.962586952432</v>
      </c>
      <c r="E46" s="4">
        <f>$E$4*'NIFTY MEMBS'!F35</f>
        <v>19136.281292173764</v>
      </c>
      <c r="F46" s="4">
        <f>$F$4*'NIFTY MEMBS'!G35</f>
        <v>19633.077552292289</v>
      </c>
      <c r="G46" s="4">
        <f>$G$4*'NIFTY MEMBS'!H35</f>
        <v>18208.522440746343</v>
      </c>
      <c r="H46" s="4">
        <f>$H$4*'NIFTY MEMBS'!I35</f>
        <v>19722.709163346615</v>
      </c>
      <c r="I46" s="4">
        <f>$I$4*'NIFTY MEMBS'!J35</f>
        <v>19967.701649369108</v>
      </c>
      <c r="J46" s="4">
        <f>$J$4*'NIFTY MEMBS'!K35</f>
        <v>24201.69278906464</v>
      </c>
      <c r="K46" s="4">
        <f>$K$4*'NIFTY MEMBS'!L35</f>
        <v>17921.890699401512</v>
      </c>
      <c r="L46" s="4">
        <f>$L$4*'NIFTY MEMBS'!M35</f>
        <v>17655.89638718473</v>
      </c>
      <c r="M46" s="4">
        <f>$M$4*'NIFTY MEMBS'!N35</f>
        <v>22626.535692299458</v>
      </c>
      <c r="N46" s="4">
        <f>$N$4*'NIFTY MEMBS'!O35</f>
        <v>19095.392602206357</v>
      </c>
      <c r="O46" s="4">
        <f>$O$4*'NIFTY MEMBS'!P35</f>
        <v>21834.041601431447</v>
      </c>
      <c r="P46" s="4">
        <f>$P$4*'NIFTY MEMBS'!Q35</f>
        <v>17900.572713721594</v>
      </c>
      <c r="Q46" s="4">
        <f>$Q$4*'NIFTY MEMBS'!R35</f>
        <v>17995.18505780576</v>
      </c>
      <c r="R46" s="4">
        <f>$R$4*'NIFTY MEMBS'!S35</f>
        <v>19680.003494365337</v>
      </c>
      <c r="S46" s="4">
        <f>$S$4*'NIFTY MEMBS'!T35</f>
        <v>18613.547303601419</v>
      </c>
      <c r="T46" s="4">
        <f>$T$4*'NIFTY MEMBS'!U35</f>
        <v>23360.822126363866</v>
      </c>
      <c r="U46" s="4">
        <f>$U$4*'NIFTY MEMBS'!V35</f>
        <v>19750.449467553823</v>
      </c>
      <c r="V46" s="4">
        <f>$V$4*'NIFTY MEMBS'!W35</f>
        <v>18003.896298516411</v>
      </c>
      <c r="W46" s="4">
        <f>$W$4*'NIFTY MEMBS'!X35</f>
        <v>15623.146473779387</v>
      </c>
      <c r="X46" s="4">
        <f>$X$4*'NIFTY MEMBS'!Y35</f>
        <v>17439.894970050053</v>
      </c>
      <c r="Y46" s="4">
        <f>$Y$4*'NIFTY MEMBS'!Z35</f>
        <v>19455.581346275587</v>
      </c>
      <c r="Z46" s="4">
        <f>$Z$4*'NIFTY MEMBS'!AA35</f>
        <v>17036.406941136443</v>
      </c>
      <c r="AA46" s="4">
        <f>$AA$4*'NIFTY MEMBS'!AB35</f>
        <v>21306.532663316582</v>
      </c>
      <c r="AB46" s="4">
        <f>$AB$4*'NIFTY MEMBS'!AC35</f>
        <v>20519.480519480519</v>
      </c>
      <c r="AC46" s="4">
        <f>$AC$4*'NIFTY MEMBS'!AD35</f>
        <v>16581.82989690722</v>
      </c>
      <c r="AD46" s="4">
        <f>$AD$4*'NIFTY MEMBS'!AE35</f>
        <v>18168.835502168833</v>
      </c>
      <c r="AE46" s="4">
        <f>$AE$4*'NIFTY MEMBS'!AF35</f>
        <v>19464.450177620402</v>
      </c>
      <c r="AF46" s="4">
        <f>$AF$4*'NIFTY MEMBS'!AG35</f>
        <v>19363.460829193154</v>
      </c>
      <c r="AG46" s="4">
        <f>$AG$4*'NIFTY MEMBS'!AH35</f>
        <v>18333.333333333332</v>
      </c>
      <c r="AH46" s="4">
        <f>$AH$4*'NIFTY MEMBS'!AI35</f>
        <v>20245.43157972378</v>
      </c>
      <c r="AI46" s="4">
        <f>$AI$4*'NIFTY MEMBS'!AJ35</f>
        <v>19667.98303349422</v>
      </c>
      <c r="AJ46" s="4">
        <f>$AJ$4*'NIFTY MEMBS'!AK35</f>
        <v>14602.726227623585</v>
      </c>
      <c r="AK46" s="4">
        <f>$AK$4*'NIFTY MEMBS'!AL35</f>
        <v>19911.143869131709</v>
      </c>
      <c r="AL46" s="4">
        <f>$AL$4*'NIFTY MEMBS'!AM35</f>
        <v>19255.112275602318</v>
      </c>
      <c r="AM46" s="4">
        <f>$AM$4*'NIFTY MEMBS'!AN35</f>
        <v>14480.23146412377</v>
      </c>
      <c r="AN46" s="4">
        <f>$AN$4*'NIFTY MEMBS'!AO35</f>
        <v>20929.02027992002</v>
      </c>
      <c r="AO46" s="4">
        <f>$AO$4*'NIFTY MEMBS'!AP35</f>
        <v>20291.639662994166</v>
      </c>
      <c r="AP46" s="4">
        <f>$AP$4*'NIFTY MEMBS'!AQ35</f>
        <v>20446.917952609831</v>
      </c>
      <c r="AQ46" s="4">
        <f>$AQ$4*'NIFTY MEMBS'!AR35</f>
        <v>19474.719018692958</v>
      </c>
      <c r="AR46" s="4">
        <f>$AR$4*'NIFTY MEMBS'!AS35</f>
        <v>19089.006605192597</v>
      </c>
      <c r="AS46" s="4">
        <f>$AS$4*'NIFTY MEMBS'!AT35</f>
        <v>17017.090363857169</v>
      </c>
      <c r="AT46" s="4">
        <f>$AT$4*'NIFTY MEMBS'!AU35</f>
        <v>18472.581501721685</v>
      </c>
      <c r="AU46" s="4">
        <f>$AU$4*'NIFTY MEMBS'!AV35</f>
        <v>22222.101488645007</v>
      </c>
      <c r="AV46" s="4">
        <f>$AV$4*'NIFTY MEMBS'!AW35</f>
        <v>17487.947406866326</v>
      </c>
      <c r="AW46" s="4">
        <f>$AW$4*'NIFTY MEMBS'!AX35</f>
        <v>18461.170791162305</v>
      </c>
      <c r="AX46" s="4">
        <f>$AX$4*'NIFTY MEMBS'!AY35</f>
        <v>21134.722508768315</v>
      </c>
      <c r="AY46" s="4">
        <f t="shared" si="8"/>
        <v>942259.83715483116</v>
      </c>
      <c r="AZ46" s="4">
        <f t="shared" si="9"/>
        <v>96.148962974982766</v>
      </c>
    </row>
    <row r="47" spans="1:52" ht="14.25" customHeight="1" x14ac:dyDescent="0.3">
      <c r="A47" s="2">
        <v>45705</v>
      </c>
      <c r="B47" s="4">
        <f>$B$4*'NIFTY MEMBS'!C36</f>
        <v>20059.774820880248</v>
      </c>
      <c r="C47" s="4">
        <f>$C$4*'NIFTY MEMBS'!D36</f>
        <v>19266.081805739417</v>
      </c>
      <c r="D47" s="4">
        <f>$D$4*'NIFTY MEMBS'!E36</f>
        <v>21000.814689477971</v>
      </c>
      <c r="E47" s="4">
        <f>$E$4*'NIFTY MEMBS'!F36</f>
        <v>18988.680713443326</v>
      </c>
      <c r="F47" s="4">
        <f>$F$4*'NIFTY MEMBS'!G36</f>
        <v>19493.631441592333</v>
      </c>
      <c r="G47" s="4">
        <f>$G$4*'NIFTY MEMBS'!H36</f>
        <v>18348.461926374181</v>
      </c>
      <c r="H47" s="4">
        <f>$H$4*'NIFTY MEMBS'!I36</f>
        <v>19572.908366533862</v>
      </c>
      <c r="I47" s="4">
        <f>$I$4*'NIFTY MEMBS'!J36</f>
        <v>20062.874122561476</v>
      </c>
      <c r="J47" s="4">
        <f>$J$4*'NIFTY MEMBS'!K36</f>
        <v>24300.607039349416</v>
      </c>
      <c r="K47" s="4">
        <f>$K$4*'NIFTY MEMBS'!L36</f>
        <v>17849.809968983445</v>
      </c>
      <c r="L47" s="4">
        <f>$L$4*'NIFTY MEMBS'!M36</f>
        <v>17569.734151329241</v>
      </c>
      <c r="M47" s="4">
        <f>$M$4*'NIFTY MEMBS'!N36</f>
        <v>22774.01568480501</v>
      </c>
      <c r="N47" s="4">
        <f>$N$4*'NIFTY MEMBS'!O36</f>
        <v>18377.352368591823</v>
      </c>
      <c r="O47" s="4">
        <f>$O$4*'NIFTY MEMBS'!P36</f>
        <v>21754.641019906059</v>
      </c>
      <c r="P47" s="4">
        <f>$P$4*'NIFTY MEMBS'!Q36</f>
        <v>17886.451005517927</v>
      </c>
      <c r="Q47" s="4">
        <f>$Q$4*'NIFTY MEMBS'!R36</f>
        <v>18140.162438159739</v>
      </c>
      <c r="R47" s="4">
        <f>$R$4*'NIFTY MEMBS'!S36</f>
        <v>20075.303572988556</v>
      </c>
      <c r="S47" s="4">
        <f>$S$4*'NIFTY MEMBS'!T36</f>
        <v>18528.643403620081</v>
      </c>
      <c r="T47" s="4">
        <f>$T$4*'NIFTY MEMBS'!U36</f>
        <v>24040.218218726208</v>
      </c>
      <c r="U47" s="4">
        <f>$U$4*'NIFTY MEMBS'!V36</f>
        <v>19873.07343608341</v>
      </c>
      <c r="V47" s="4">
        <f>$V$4*'NIFTY MEMBS'!W36</f>
        <v>18123.782406713624</v>
      </c>
      <c r="W47" s="4">
        <f>$W$4*'NIFTY MEMBS'!X36</f>
        <v>15806.871609403257</v>
      </c>
      <c r="X47" s="4">
        <f>$X$4*'NIFTY MEMBS'!Y36</f>
        <v>17771.395749569212</v>
      </c>
      <c r="Y47" s="4">
        <f>$Y$4*'NIFTY MEMBS'!Z36</f>
        <v>19721.460223675884</v>
      </c>
      <c r="Z47" s="4">
        <f>$Z$4*'NIFTY MEMBS'!AA36</f>
        <v>16910.513780197347</v>
      </c>
      <c r="AA47" s="4">
        <f>$AA$4*'NIFTY MEMBS'!AB36</f>
        <v>21504.224418797283</v>
      </c>
      <c r="AB47" s="4">
        <f>$AB$4*'NIFTY MEMBS'!AC36</f>
        <v>20336.330336330338</v>
      </c>
      <c r="AC47" s="4">
        <f>$AC$4*'NIFTY MEMBS'!AD36</f>
        <v>16958.762886597939</v>
      </c>
      <c r="AD47" s="4">
        <f>$AD$4*'NIFTY MEMBS'!AE36</f>
        <v>18327.66099432766</v>
      </c>
      <c r="AE47" s="4">
        <f>$AE$4*'NIFTY MEMBS'!AF36</f>
        <v>19534.583063994829</v>
      </c>
      <c r="AF47" s="4">
        <f>$AF$4*'NIFTY MEMBS'!AG36</f>
        <v>19533.11782700193</v>
      </c>
      <c r="AG47" s="4">
        <f>$AG$4*'NIFTY MEMBS'!AH36</f>
        <v>18638.716356107663</v>
      </c>
      <c r="AH47" s="4">
        <f>$AH$4*'NIFTY MEMBS'!AI36</f>
        <v>20435.728642289469</v>
      </c>
      <c r="AI47" s="4">
        <f>$AI$4*'NIFTY MEMBS'!AJ36</f>
        <v>19641.6556969431</v>
      </c>
      <c r="AJ47" s="4">
        <f>$AJ$4*'NIFTY MEMBS'!AK36</f>
        <v>14613.236984726558</v>
      </c>
      <c r="AK47" s="4">
        <f>$AK$4*'NIFTY MEMBS'!AL36</f>
        <v>20177.712261736582</v>
      </c>
      <c r="AL47" s="4">
        <f>$AL$4*'NIFTY MEMBS'!AM36</f>
        <v>19426.442593085376</v>
      </c>
      <c r="AM47" s="4">
        <f>$AM$4*'NIFTY MEMBS'!AN36</f>
        <v>14421.09209753751</v>
      </c>
      <c r="AN47" s="4">
        <f>$AN$4*'NIFTY MEMBS'!AO36</f>
        <v>21082.54784347329</v>
      </c>
      <c r="AO47" s="4">
        <f>$AO$4*'NIFTY MEMBS'!AP36</f>
        <v>20196.046662346074</v>
      </c>
      <c r="AP47" s="4">
        <f>$AP$4*'NIFTY MEMBS'!AQ36</f>
        <v>20603.760856733283</v>
      </c>
      <c r="AQ47" s="4">
        <f>$AQ$4*'NIFTY MEMBS'!AR36</f>
        <v>19543.387035243715</v>
      </c>
      <c r="AR47" s="4">
        <f>$AR$4*'NIFTY MEMBS'!AS36</f>
        <v>19287.816362566216</v>
      </c>
      <c r="AS47" s="4">
        <f>$AS$4*'NIFTY MEMBS'!AT36</f>
        <v>17097.691206502343</v>
      </c>
      <c r="AT47" s="4">
        <f>$AT$4*'NIFTY MEMBS'!AU36</f>
        <v>18856.320559162625</v>
      </c>
      <c r="AU47" s="4">
        <f>$AU$4*'NIFTY MEMBS'!AV36</f>
        <v>22237.313919374119</v>
      </c>
      <c r="AV47" s="4">
        <f>$AV$4*'NIFTY MEMBS'!AW36</f>
        <v>17515.704894083272</v>
      </c>
      <c r="AW47" s="4">
        <f>$AW$4*'NIFTY MEMBS'!AX36</f>
        <v>18528.325785366902</v>
      </c>
      <c r="AX47" s="4">
        <f>$AX$4*'NIFTY MEMBS'!AY36</f>
        <v>21626.779451206934</v>
      </c>
      <c r="AY47" s="4">
        <f t="shared" si="8"/>
        <v>946422.22269975801</v>
      </c>
      <c r="AZ47" s="4">
        <f t="shared" si="9"/>
        <v>96.573696193852854</v>
      </c>
    </row>
    <row r="48" spans="1:52" ht="14.25" customHeight="1" x14ac:dyDescent="0.3">
      <c r="A48" s="2">
        <v>45706</v>
      </c>
      <c r="B48" s="4">
        <f>$B$4*'NIFTY MEMBS'!C37</f>
        <v>20067.963152507677</v>
      </c>
      <c r="C48" s="4">
        <f>$C$4*'NIFTY MEMBS'!D37</f>
        <v>19330.251968857279</v>
      </c>
      <c r="D48" s="4">
        <f>$D$4*'NIFTY MEMBS'!E37</f>
        <v>20917.465689039294</v>
      </c>
      <c r="E48" s="4">
        <f>$E$4*'NIFTY MEMBS'!F37</f>
        <v>18836.460017750975</v>
      </c>
      <c r="F48" s="4">
        <f>$F$4*'NIFTY MEMBS'!G37</f>
        <v>19367.428816266114</v>
      </c>
      <c r="G48" s="4">
        <f>$G$4*'NIFTY MEMBS'!H37</f>
        <v>18300.55471507816</v>
      </c>
      <c r="H48" s="4">
        <f>$H$4*'NIFTY MEMBS'!I37</f>
        <v>19675.431606905709</v>
      </c>
      <c r="I48" s="4">
        <f>$I$4*'NIFTY MEMBS'!J37</f>
        <v>19775.203479608976</v>
      </c>
      <c r="J48" s="4">
        <f>$J$4*'NIFTY MEMBS'!K37</f>
        <v>24413.940276556168</v>
      </c>
      <c r="K48" s="4">
        <f>$K$4*'NIFTY MEMBS'!L37</f>
        <v>17703.464243589184</v>
      </c>
      <c r="L48" s="4">
        <f>$L$4*'NIFTY MEMBS'!M37</f>
        <v>17560.463531015677</v>
      </c>
      <c r="M48" s="4">
        <f>$M$4*'NIFTY MEMBS'!N37</f>
        <v>22815.592016630537</v>
      </c>
      <c r="N48" s="4">
        <f>$N$4*'NIFTY MEMBS'!O37</f>
        <v>18105.451005840365</v>
      </c>
      <c r="O48" s="4">
        <f>$O$4*'NIFTY MEMBS'!P37</f>
        <v>21956.497427868482</v>
      </c>
      <c r="P48" s="4">
        <f>$P$4*'NIFTY MEMBS'!Q37</f>
        <v>18049.635189204739</v>
      </c>
      <c r="Q48" s="4">
        <f>$Q$4*'NIFTY MEMBS'!R37</f>
        <v>18006.825577396226</v>
      </c>
      <c r="R48" s="4">
        <f>$R$4*'NIFTY MEMBS'!S37</f>
        <v>19758.714073556388</v>
      </c>
      <c r="S48" s="4">
        <f>$S$4*'NIFTY MEMBS'!T37</f>
        <v>18551.035640977796</v>
      </c>
      <c r="T48" s="4">
        <f>$T$4*'NIFTY MEMBS'!U37</f>
        <v>24025.628013194619</v>
      </c>
      <c r="U48" s="4">
        <f>$U$4*'NIFTY MEMBS'!V37</f>
        <v>19803.309925165573</v>
      </c>
      <c r="V48" s="4">
        <f>$V$4*'NIFTY MEMBS'!W37</f>
        <v>18654.278435486289</v>
      </c>
      <c r="W48" s="4">
        <f>$W$4*'NIFTY MEMBS'!X37</f>
        <v>16152.622061482822</v>
      </c>
      <c r="X48" s="4">
        <f>$X$4*'NIFTY MEMBS'!Y37</f>
        <v>17808.320341347335</v>
      </c>
      <c r="Y48" s="4">
        <f>$Y$4*'NIFTY MEMBS'!Z37</f>
        <v>19970.45790251108</v>
      </c>
      <c r="Z48" s="4">
        <f>$Z$4*'NIFTY MEMBS'!AA37</f>
        <v>16645.117386866285</v>
      </c>
      <c r="AA48" s="4">
        <f>$AA$4*'NIFTY MEMBS'!AB37</f>
        <v>21620.188856369761</v>
      </c>
      <c r="AB48" s="4">
        <f>$AB$4*'NIFTY MEMBS'!AC37</f>
        <v>20792.540792540793</v>
      </c>
      <c r="AC48" s="4">
        <f>$AC$4*'NIFTY MEMBS'!AD37</f>
        <v>17200.386597938144</v>
      </c>
      <c r="AD48" s="4">
        <f>$AD$4*'NIFTY MEMBS'!AE37</f>
        <v>18215.548882215546</v>
      </c>
      <c r="AE48" s="4">
        <f>$AE$4*'NIFTY MEMBS'!AF37</f>
        <v>19327.387864608063</v>
      </c>
      <c r="AF48" s="4">
        <f>$AF$4*'NIFTY MEMBS'!AG37</f>
        <v>19418.13290521337</v>
      </c>
      <c r="AG48" s="4">
        <f>$AG$4*'NIFTY MEMBS'!AH37</f>
        <v>18690.476190476191</v>
      </c>
      <c r="AH48" s="4">
        <f>$AH$4*'NIFTY MEMBS'!AI37</f>
        <v>20490.125573933732</v>
      </c>
      <c r="AI48" s="4">
        <f>$AI$4*'NIFTY MEMBS'!AJ37</f>
        <v>19678.22144215299</v>
      </c>
      <c r="AJ48" s="4">
        <f>$AJ$4*'NIFTY MEMBS'!AK37</f>
        <v>14519.297093118741</v>
      </c>
      <c r="AK48" s="4">
        <f>$AK$4*'NIFTY MEMBS'!AL37</f>
        <v>20172.389083389633</v>
      </c>
      <c r="AL48" s="4">
        <f>$AL$4*'NIFTY MEMBS'!AM37</f>
        <v>19320.819601662126</v>
      </c>
      <c r="AM48" s="4">
        <f>$AM$4*'NIFTY MEMBS'!AN37</f>
        <v>14141.8071462426</v>
      </c>
      <c r="AN48" s="4">
        <f>$AN$4*'NIFTY MEMBS'!AO37</f>
        <v>21070.408454727218</v>
      </c>
      <c r="AO48" s="4">
        <f>$AO$4*'NIFTY MEMBS'!AP37</f>
        <v>20056.707712248863</v>
      </c>
      <c r="AP48" s="4">
        <f>$AP$4*'NIFTY MEMBS'!AQ37</f>
        <v>20623.998650813726</v>
      </c>
      <c r="AQ48" s="4">
        <f>$AQ$4*'NIFTY MEMBS'!AR37</f>
        <v>20013.498840860404</v>
      </c>
      <c r="AR48" s="4">
        <f>$AR$4*'NIFTY MEMBS'!AS37</f>
        <v>19385.259302857889</v>
      </c>
      <c r="AS48" s="4">
        <f>$AS$4*'NIFTY MEMBS'!AT37</f>
        <v>17305.706512520948</v>
      </c>
      <c r="AT48" s="4">
        <f>$AT$4*'NIFTY MEMBS'!AU37</f>
        <v>18959.107806691449</v>
      </c>
      <c r="AU48" s="4">
        <f>$AU$4*'NIFTY MEMBS'!AV37</f>
        <v>22317.722481799414</v>
      </c>
      <c r="AV48" s="4">
        <f>$AV$4*'NIFTY MEMBS'!AW37</f>
        <v>17493.060628195766</v>
      </c>
      <c r="AW48" s="4">
        <f>$AW$4*'NIFTY MEMBS'!AX37</f>
        <v>18356.495035071155</v>
      </c>
      <c r="AX48" s="4">
        <f>$AX$4*'NIFTY MEMBS'!AY37</f>
        <v>21128.533113265938</v>
      </c>
      <c r="AY48" s="4">
        <f t="shared" si="8"/>
        <v>946549.93306361814</v>
      </c>
      <c r="AZ48" s="4">
        <f t="shared" si="9"/>
        <v>96.586727863634508</v>
      </c>
    </row>
    <row r="49" spans="1:52" ht="14.25" customHeight="1" x14ac:dyDescent="0.3">
      <c r="A49" s="2">
        <v>45707</v>
      </c>
      <c r="B49" s="4">
        <f>$B$4*'NIFTY MEMBS'!C38</f>
        <v>20101.535312180142</v>
      </c>
      <c r="C49" s="4">
        <f>$C$4*'NIFTY MEMBS'!D38</f>
        <v>19376.69680719783</v>
      </c>
      <c r="D49" s="4">
        <f>$D$4*'NIFTY MEMBS'!E38</f>
        <v>20620.417371686406</v>
      </c>
      <c r="E49" s="4">
        <f>$E$4*'NIFTY MEMBS'!F38</f>
        <v>18403.141679534099</v>
      </c>
      <c r="F49" s="4">
        <f>$F$4*'NIFTY MEMBS'!G38</f>
        <v>19657.22743738558</v>
      </c>
      <c r="G49" s="4">
        <f>$G$4*'NIFTY MEMBS'!H38</f>
        <v>18338.376197680278</v>
      </c>
      <c r="H49" s="4">
        <f>$H$4*'NIFTY MEMBS'!I38</f>
        <v>19238.247011952189</v>
      </c>
      <c r="I49" s="4">
        <f>$I$4*'NIFTY MEMBS'!J38</f>
        <v>19382.455535937301</v>
      </c>
      <c r="J49" s="4">
        <f>$J$4*'NIFTY MEMBS'!K38</f>
        <v>24337.808025608123</v>
      </c>
      <c r="K49" s="4">
        <f>$K$4*'NIFTY MEMBS'!L38</f>
        <v>17753.702328426018</v>
      </c>
      <c r="L49" s="4">
        <f>$L$4*'NIFTY MEMBS'!M38</f>
        <v>17864.485344239944</v>
      </c>
      <c r="M49" s="4">
        <f>$M$4*'NIFTY MEMBS'!N38</f>
        <v>22637.063604650128</v>
      </c>
      <c r="N49" s="4">
        <f>$N$4*'NIFTY MEMBS'!O38</f>
        <v>17893.57560025957</v>
      </c>
      <c r="O49" s="4">
        <f>$O$4*'NIFTY MEMBS'!P38</f>
        <v>22198.613285618427</v>
      </c>
      <c r="P49" s="4">
        <f>$P$4*'NIFTY MEMBS'!Q38</f>
        <v>17911.556264546667</v>
      </c>
      <c r="Q49" s="4">
        <f>$Q$4*'NIFTY MEMBS'!R38</f>
        <v>17742.268313976558</v>
      </c>
      <c r="R49" s="4">
        <f>$R$4*'NIFTY MEMBS'!S38</f>
        <v>19728.400454267492</v>
      </c>
      <c r="S49" s="4">
        <f>$S$4*'NIFTY MEMBS'!T38</f>
        <v>18871.991043105059</v>
      </c>
      <c r="T49" s="4">
        <f>$T$4*'NIFTY MEMBS'!U38</f>
        <v>23792.819081451406</v>
      </c>
      <c r="U49" s="4">
        <f>$U$4*'NIFTY MEMBS'!V38</f>
        <v>19732.317101280023</v>
      </c>
      <c r="V49" s="4">
        <f>$V$4*'NIFTY MEMBS'!W38</f>
        <v>18870.073430241271</v>
      </c>
      <c r="W49" s="4">
        <f>$W$4*'NIFTY MEMBS'!X38</f>
        <v>16933.092224231466</v>
      </c>
      <c r="X49" s="4">
        <f>$X$4*'NIFTY MEMBS'!Y38</f>
        <v>17770.575203085253</v>
      </c>
      <c r="Y49" s="4">
        <f>$Y$4*'NIFTY MEMBS'!Z38</f>
        <v>20113.948090314414</v>
      </c>
      <c r="Z49" s="4">
        <f>$Z$4*'NIFTY MEMBS'!AA38</f>
        <v>17243.960530792789</v>
      </c>
      <c r="AA49" s="4">
        <f>$AA$4*'NIFTY MEMBS'!AB38</f>
        <v>21588.160583135457</v>
      </c>
      <c r="AB49" s="4">
        <f>$AB$4*'NIFTY MEMBS'!AC38</f>
        <v>20919.08091908092</v>
      </c>
      <c r="AC49" s="4">
        <f>$AC$4*'NIFTY MEMBS'!AD38</f>
        <v>16949.097938144332</v>
      </c>
      <c r="AD49" s="4">
        <f>$AD$4*'NIFTY MEMBS'!AE38</f>
        <v>18178.178178178176</v>
      </c>
      <c r="AE49" s="4">
        <f>$AE$4*'NIFTY MEMBS'!AF38</f>
        <v>19402.669168416174</v>
      </c>
      <c r="AF49" s="4">
        <f>$AF$4*'NIFTY MEMBS'!AG38</f>
        <v>19431.150066170565</v>
      </c>
      <c r="AG49" s="4">
        <f>$AG$4*'NIFTY MEMBS'!AH38</f>
        <v>18752.587991718428</v>
      </c>
      <c r="AH49" s="4">
        <f>$AH$4*'NIFTY MEMBS'!AI38</f>
        <v>20329.147535542405</v>
      </c>
      <c r="AI49" s="4">
        <f>$AI$4*'NIFTY MEMBS'!AJ38</f>
        <v>19856.662278777239</v>
      </c>
      <c r="AJ49" s="4">
        <f>$AJ$4*'NIFTY MEMBS'!AK38</f>
        <v>15038.26572507801</v>
      </c>
      <c r="AK49" s="4">
        <f>$AK$4*'NIFTY MEMBS'!AL38</f>
        <v>20172.389083389633</v>
      </c>
      <c r="AL49" s="4">
        <f>$AL$4*'NIFTY MEMBS'!AM38</f>
        <v>19694.184594600127</v>
      </c>
      <c r="AM49" s="4">
        <f>$AM$4*'NIFTY MEMBS'!AN38</f>
        <v>14123.980447223774</v>
      </c>
      <c r="AN49" s="4">
        <f>$AN$4*'NIFTY MEMBS'!AO38</f>
        <v>21073.978863181943</v>
      </c>
      <c r="AO49" s="4">
        <f>$AO$4*'NIFTY MEMBS'!AP38</f>
        <v>20183.084899546335</v>
      </c>
      <c r="AP49" s="4">
        <f>$AP$4*'NIFTY MEMBS'!AQ38</f>
        <v>21124.884054304744</v>
      </c>
      <c r="AQ49" s="4">
        <f>$AQ$4*'NIFTY MEMBS'!AR38</f>
        <v>19788.126889104089</v>
      </c>
      <c r="AR49" s="4">
        <f>$AR$4*'NIFTY MEMBS'!AS38</f>
        <v>19150.480674906808</v>
      </c>
      <c r="AS49" s="4">
        <f>$AS$4*'NIFTY MEMBS'!AT38</f>
        <v>17430.000067845827</v>
      </c>
      <c r="AT49" s="4">
        <f>$AT$4*'NIFTY MEMBS'!AU38</f>
        <v>19111.575557192533</v>
      </c>
      <c r="AU49" s="4">
        <f>$AU$4*'NIFTY MEMBS'!AV38</f>
        <v>22281.864609366512</v>
      </c>
      <c r="AV49" s="4">
        <f>$AV$4*'NIFTY MEMBS'!AW38</f>
        <v>17032.140248356463</v>
      </c>
      <c r="AW49" s="4">
        <f>$AW$4*'NIFTY MEMBS'!AX38</f>
        <v>18541.23101556992</v>
      </c>
      <c r="AX49" s="4">
        <f>$AX$4*'NIFTY MEMBS'!AY38</f>
        <v>21369.91953785847</v>
      </c>
      <c r="AY49" s="4">
        <f t="shared" si="8"/>
        <v>948037.18820633739</v>
      </c>
      <c r="AZ49" s="4">
        <f t="shared" si="9"/>
        <v>96.738488592483407</v>
      </c>
    </row>
    <row r="50" spans="1:52" ht="14.25" customHeight="1" x14ac:dyDescent="0.3">
      <c r="A50" s="2">
        <v>45708</v>
      </c>
      <c r="B50" s="4">
        <f>$B$4*'NIFTY MEMBS'!C39</f>
        <v>20192.425793244627</v>
      </c>
      <c r="C50" s="4">
        <f>$C$4*'NIFTY MEMBS'!D39</f>
        <v>18926.832551773656</v>
      </c>
      <c r="D50" s="4">
        <f>$D$4*'NIFTY MEMBS'!E39</f>
        <v>20599.110108416367</v>
      </c>
      <c r="E50" s="4">
        <f>$E$4*'NIFTY MEMBS'!F39</f>
        <v>18380.284258775184</v>
      </c>
      <c r="F50" s="4">
        <f>$F$4*'NIFTY MEMBS'!G39</f>
        <v>19474.93475635882</v>
      </c>
      <c r="G50" s="4">
        <f>$G$4*'NIFTY MEMBS'!H39</f>
        <v>18398.890569843672</v>
      </c>
      <c r="H50" s="4">
        <f>$H$4*'NIFTY MEMBS'!I39</f>
        <v>19390.70385126162</v>
      </c>
      <c r="I50" s="4">
        <f>$I$4*'NIFTY MEMBS'!J39</f>
        <v>19362.215236208609</v>
      </c>
      <c r="J50" s="4">
        <f>$J$4*'NIFTY MEMBS'!K39</f>
        <v>24222.456130232291</v>
      </c>
      <c r="K50" s="4">
        <f>$K$4*'NIFTY MEMBS'!L39</f>
        <v>17563.671311869293</v>
      </c>
      <c r="L50" s="4">
        <f>$L$4*'NIFTY MEMBS'!M39</f>
        <v>17863.940013633266</v>
      </c>
      <c r="M50" s="4">
        <f>$M$4*'NIFTY MEMBS'!N39</f>
        <v>22198.995387346877</v>
      </c>
      <c r="N50" s="4">
        <f>$N$4*'NIFTY MEMBS'!O39</f>
        <v>18426.022063595065</v>
      </c>
      <c r="O50" s="4">
        <f>$O$4*'NIFTY MEMBS'!P39</f>
        <v>22037.016327443522</v>
      </c>
      <c r="P50" s="4">
        <f>$P$4*'NIFTY MEMBS'!Q39</f>
        <v>17652.658280812782</v>
      </c>
      <c r="Q50" s="4">
        <f>$Q$4*'NIFTY MEMBS'!R39</f>
        <v>17665.017593058015</v>
      </c>
      <c r="R50" s="4">
        <f>$R$4*'NIFTY MEMBS'!S39</f>
        <v>19721.4990827291</v>
      </c>
      <c r="S50" s="4">
        <f>$S$4*'NIFTY MEMBS'!T39</f>
        <v>18981.153200223926</v>
      </c>
      <c r="T50" s="4">
        <f>$T$4*'NIFTY MEMBS'!U39</f>
        <v>23867.67317939609</v>
      </c>
      <c r="U50" s="4">
        <f>$U$4*'NIFTY MEMBS'!V39</f>
        <v>19616.454354072866</v>
      </c>
      <c r="V50" s="4">
        <f>$V$4*'NIFTY MEMBS'!W39</f>
        <v>19490.484040161846</v>
      </c>
      <c r="W50" s="4">
        <f>$W$4*'NIFTY MEMBS'!X39</f>
        <v>16920.795660036169</v>
      </c>
      <c r="X50" s="4">
        <f>$X$4*'NIFTY MEMBS'!Y39</f>
        <v>18244.030524329202</v>
      </c>
      <c r="Y50" s="4">
        <f>$Y$4*'NIFTY MEMBS'!Z39</f>
        <v>20417.80966448618</v>
      </c>
      <c r="Z50" s="4">
        <f>$Z$4*'NIFTY MEMBS'!AA39</f>
        <v>17710.105478053763</v>
      </c>
      <c r="AA50" s="4">
        <f>$AA$4*'NIFTY MEMBS'!AB39</f>
        <v>21672.096747473632</v>
      </c>
      <c r="AB50" s="4">
        <f>$AB$4*'NIFTY MEMBS'!AC39</f>
        <v>20865.800865800866</v>
      </c>
      <c r="AC50" s="4">
        <f>$AC$4*'NIFTY MEMBS'!AD39</f>
        <v>17123.067010309282</v>
      </c>
      <c r="AD50" s="4">
        <f>$AD$4*'NIFTY MEMBS'!AE39</f>
        <v>18413.079746413077</v>
      </c>
      <c r="AE50" s="4">
        <f>$AE$4*'NIFTY MEMBS'!AF39</f>
        <v>19747.498727196802</v>
      </c>
      <c r="AF50" s="4">
        <f>$AF$4*'NIFTY MEMBS'!AG39</f>
        <v>19517.497233853297</v>
      </c>
      <c r="AG50" s="4">
        <f>$AG$4*'NIFTY MEMBS'!AH39</f>
        <v>19045.031055900621</v>
      </c>
      <c r="AH50" s="4">
        <f>$AH$4*'NIFTY MEMBS'!AI39</f>
        <v>20345.927605981822</v>
      </c>
      <c r="AI50" s="4">
        <f>$AI$4*'NIFTY MEMBS'!AJ39</f>
        <v>20190.141875091413</v>
      </c>
      <c r="AJ50" s="4">
        <f>$AJ$4*'NIFTY MEMBS'!AK39</f>
        <v>15455.411397602236</v>
      </c>
      <c r="AK50" s="4">
        <f>$AK$4*'NIFTY MEMBS'!AL39</f>
        <v>20094.588784472697</v>
      </c>
      <c r="AL50" s="4">
        <f>$AL$4*'NIFTY MEMBS'!AM39</f>
        <v>20012.69113462837</v>
      </c>
      <c r="AM50" s="4">
        <f>$AM$4*'NIFTY MEMBS'!AN39</f>
        <v>14429.722483570435</v>
      </c>
      <c r="AN50" s="4">
        <f>$AN$4*'NIFTY MEMBS'!AO39</f>
        <v>20991.145387032273</v>
      </c>
      <c r="AO50" s="4">
        <f>$AO$4*'NIFTY MEMBS'!AP39</f>
        <v>20090.73233959818</v>
      </c>
      <c r="AP50" s="4">
        <f>$AP$4*'NIFTY MEMBS'!AQ39</f>
        <v>21546.504764314021</v>
      </c>
      <c r="AQ50" s="4">
        <f>$AQ$4*'NIFTY MEMBS'!AR39</f>
        <v>19460.046365583825</v>
      </c>
      <c r="AR50" s="4">
        <f>$AR$4*'NIFTY MEMBS'!AS39</f>
        <v>19353.868288535741</v>
      </c>
      <c r="AS50" s="4">
        <f>$AS$4*'NIFTY MEMBS'!AT39</f>
        <v>17343.971559029262</v>
      </c>
      <c r="AT50" s="4">
        <f>$AT$4*'NIFTY MEMBS'!AU39</f>
        <v>19901.324242372328</v>
      </c>
      <c r="AU50" s="4">
        <f>$AU$4*'NIFTY MEMBS'!AV39</f>
        <v>21925.459089427361</v>
      </c>
      <c r="AV50" s="4">
        <f>$AV$4*'NIFTY MEMBS'!AW39</f>
        <v>17106.647187728271</v>
      </c>
      <c r="AW50" s="4">
        <f>$AW$4*'NIFTY MEMBS'!AX39</f>
        <v>18684.383476525622</v>
      </c>
      <c r="AX50" s="4">
        <f>$AX$4*'NIFTY MEMBS'!AY39</f>
        <v>21614.400660202191</v>
      </c>
      <c r="AY50" s="4">
        <f t="shared" si="8"/>
        <v>952256.21744600637</v>
      </c>
      <c r="AZ50" s="4">
        <f t="shared" si="9"/>
        <v>97.169001780204738</v>
      </c>
    </row>
    <row r="51" spans="1:52" ht="14.25" customHeight="1" x14ac:dyDescent="0.3">
      <c r="A51" s="2">
        <v>45709</v>
      </c>
      <c r="B51" s="4">
        <f>$B$4*'NIFTY MEMBS'!C40</f>
        <v>20112.998976458548</v>
      </c>
      <c r="C51" s="4">
        <f>$C$4*'NIFTY MEMBS'!D40</f>
        <v>18987.412775696113</v>
      </c>
      <c r="D51" s="4">
        <f>$D$4*'NIFTY MEMBS'!E40</f>
        <v>20545.841950241273</v>
      </c>
      <c r="E51" s="4">
        <f>$E$4*'NIFTY MEMBS'!F40</f>
        <v>18412.381913457913</v>
      </c>
      <c r="F51" s="4">
        <f>$F$4*'NIFTY MEMBS'!G40</f>
        <v>19210.06504888404</v>
      </c>
      <c r="G51" s="4">
        <f>$G$4*'NIFTY MEMBS'!H40</f>
        <v>18204.740292486131</v>
      </c>
      <c r="H51" s="4">
        <f>$H$4*'NIFTY MEMBS'!I40</f>
        <v>19282.868525896414</v>
      </c>
      <c r="I51" s="4">
        <f>$I$4*'NIFTY MEMBS'!J40</f>
        <v>19307.092717798547</v>
      </c>
      <c r="J51" s="4">
        <f>$J$4*'NIFTY MEMBS'!K40</f>
        <v>24214.38149755598</v>
      </c>
      <c r="K51" s="4">
        <f>$K$4*'NIFTY MEMBS'!L40</f>
        <v>17513.433227032456</v>
      </c>
      <c r="L51" s="4">
        <f>$L$4*'NIFTY MEMBS'!M40</f>
        <v>18078.254942058622</v>
      </c>
      <c r="M51" s="4">
        <f>$M$4*'NIFTY MEMBS'!N40</f>
        <v>21989.864653872581</v>
      </c>
      <c r="N51" s="4">
        <f>$N$4*'NIFTY MEMBS'!O40</f>
        <v>17322.193380921479</v>
      </c>
      <c r="O51" s="4">
        <f>$O$4*'NIFTY MEMBS'!P40</f>
        <v>21841.310668754191</v>
      </c>
      <c r="P51" s="4">
        <f>$P$4*'NIFTY MEMBS'!Q40</f>
        <v>17790.214179241088</v>
      </c>
      <c r="Q51" s="4">
        <f>$Q$4*'NIFTY MEMBS'!R40</f>
        <v>17394.640069843117</v>
      </c>
      <c r="R51" s="4">
        <f>$R$4*'NIFTY MEMBS'!S40</f>
        <v>19493.753821962084</v>
      </c>
      <c r="S51" s="4">
        <f>$S$4*'NIFTY MEMBS'!T40</f>
        <v>18827.206568389625</v>
      </c>
      <c r="T51" s="4">
        <f>$T$4*'NIFTY MEMBS'!U40</f>
        <v>23843.567622430852</v>
      </c>
      <c r="U51" s="4">
        <f>$U$4*'NIFTY MEMBS'!V40</f>
        <v>19545.46153018732</v>
      </c>
      <c r="V51" s="4">
        <f>$V$4*'NIFTY MEMBS'!W40</f>
        <v>19556.421399670315</v>
      </c>
      <c r="W51" s="4">
        <f>$W$4*'NIFTY MEMBS'!X40</f>
        <v>16662.567811934903</v>
      </c>
      <c r="X51" s="4">
        <f>$X$4*'NIFTY MEMBS'!Y40</f>
        <v>17777.13957495692</v>
      </c>
      <c r="Y51" s="4">
        <f>$Y$4*'NIFTY MEMBS'!Z40</f>
        <v>20248.9976788352</v>
      </c>
      <c r="Z51" s="4">
        <f>$Z$4*'NIFTY MEMBS'!AA40</f>
        <v>17427.696495406606</v>
      </c>
      <c r="AA51" s="4">
        <f>$AA$4*'NIFTY MEMBS'!AB40</f>
        <v>21688.66309569827</v>
      </c>
      <c r="AB51" s="4">
        <f>$AB$4*'NIFTY MEMBS'!AC40</f>
        <v>20402.930402930404</v>
      </c>
      <c r="AC51" s="4">
        <f>$AC$4*'NIFTY MEMBS'!AD40</f>
        <v>16875</v>
      </c>
      <c r="AD51" s="4">
        <f>$AD$4*'NIFTY MEMBS'!AE40</f>
        <v>17969.96996996997</v>
      </c>
      <c r="AE51" s="4">
        <f>$AE$4*'NIFTY MEMBS'!AF40</f>
        <v>19463.420494133665</v>
      </c>
      <c r="AF51" s="4">
        <f>$AF$4*'NIFTY MEMBS'!AG40</f>
        <v>19591.695051309307</v>
      </c>
      <c r="AG51" s="4">
        <f>$AG$4*'NIFTY MEMBS'!AH40</f>
        <v>19148.55072463768</v>
      </c>
      <c r="AH51" s="4">
        <f>$AH$4*'NIFTY MEMBS'!AI40</f>
        <v>20421.34572476997</v>
      </c>
      <c r="AI51" s="4">
        <f>$AI$4*'NIFTY MEMBS'!AJ40</f>
        <v>20587.977182974988</v>
      </c>
      <c r="AJ51" s="4">
        <f>$AJ$4*'NIFTY MEMBS'!AK40</f>
        <v>15350.30382657251</v>
      </c>
      <c r="AK51" s="4">
        <f>$AK$4*'NIFTY MEMBS'!AL40</f>
        <v>19909.096492844419</v>
      </c>
      <c r="AL51" s="4">
        <f>$AL$4*'NIFTY MEMBS'!AM40</f>
        <v>20315.845495670681</v>
      </c>
      <c r="AM51" s="4">
        <f>$AM$4*'NIFTY MEMBS'!AN40</f>
        <v>14284.562220131436</v>
      </c>
      <c r="AN51" s="4">
        <f>$AN$4*'NIFTY MEMBS'!AO40</f>
        <v>21356.755212796343</v>
      </c>
      <c r="AO51" s="4">
        <f>$AO$4*'NIFTY MEMBS'!AP40</f>
        <v>20183.084899546335</v>
      </c>
      <c r="AP51" s="4">
        <f>$AP$4*'NIFTY MEMBS'!AQ40</f>
        <v>22044.017202124964</v>
      </c>
      <c r="AQ51" s="4">
        <f>$AQ$4*'NIFTY MEMBS'!AR40</f>
        <v>19362.033042814801</v>
      </c>
      <c r="AR51" s="4">
        <f>$AR$4*'NIFTY MEMBS'!AS40</f>
        <v>19302.203910797201</v>
      </c>
      <c r="AS51" s="4">
        <f>$AS$4*'NIFTY MEMBS'!AT40</f>
        <v>17144.77621053917</v>
      </c>
      <c r="AT51" s="4">
        <f>$AT$4*'NIFTY MEMBS'!AU40</f>
        <v>20046.939509704829</v>
      </c>
      <c r="AU51" s="4">
        <f>$AU$4*'NIFTY MEMBS'!AV40</f>
        <v>21818.972074323592</v>
      </c>
      <c r="AV51" s="4">
        <f>$AV$4*'NIFTY MEMBS'!AW40</f>
        <v>16826.880934989043</v>
      </c>
      <c r="AW51" s="4">
        <f>$AW$4*'NIFTY MEMBS'!AX40</f>
        <v>18414.329585240237</v>
      </c>
      <c r="AX51" s="4">
        <f>$AX$4*'NIFTY MEMBS'!AY40</f>
        <v>21533.938518671344</v>
      </c>
      <c r="AY51" s="4">
        <f t="shared" si="8"/>
        <v>947633.79910716345</v>
      </c>
      <c r="AZ51" s="4">
        <f t="shared" si="9"/>
        <v>96.697326439506469</v>
      </c>
    </row>
    <row r="52" spans="1:52" ht="14.25" customHeight="1" x14ac:dyDescent="0.3">
      <c r="A52" s="2">
        <v>45712</v>
      </c>
      <c r="B52" s="4">
        <f>$B$4*'NIFTY MEMBS'!C41</f>
        <v>19890.276356192426</v>
      </c>
      <c r="C52" s="4">
        <f>$C$4*'NIFTY MEMBS'!D41</f>
        <v>18814.646951917253</v>
      </c>
      <c r="D52" s="4">
        <f>$D$4*'NIFTY MEMBS'!E41</f>
        <v>20070.18863194836</v>
      </c>
      <c r="E52" s="4">
        <f>$E$4*'NIFTY MEMBS'!F41</f>
        <v>17875.47568967404</v>
      </c>
      <c r="F52" s="4">
        <f>$F$4*'NIFTY MEMBS'!G41</f>
        <v>18982.588711876288</v>
      </c>
      <c r="G52" s="4">
        <f>$G$4*'NIFTY MEMBS'!H41</f>
        <v>18063.540090771556</v>
      </c>
      <c r="H52" s="4">
        <f>$H$4*'NIFTY MEMBS'!I41</f>
        <v>18742.098273572374</v>
      </c>
      <c r="I52" s="4">
        <f>$I$4*'NIFTY MEMBS'!J41</f>
        <v>19305.370139098231</v>
      </c>
      <c r="J52" s="4">
        <f>$J$4*'NIFTY MEMBS'!K41</f>
        <v>24093.838766888239</v>
      </c>
      <c r="K52" s="4">
        <f>$K$4*'NIFTY MEMBS'!L41</f>
        <v>17557.118518194922</v>
      </c>
      <c r="L52" s="4">
        <f>$L$4*'NIFTY MEMBS'!M41</f>
        <v>17765.23517382413</v>
      </c>
      <c r="M52" s="4">
        <f>$M$4*'NIFTY MEMBS'!N41</f>
        <v>22028.675178216148</v>
      </c>
      <c r="N52" s="4">
        <f>$N$4*'NIFTY MEMBS'!O41</f>
        <v>17580.791693705385</v>
      </c>
      <c r="O52" s="4">
        <f>$O$4*'NIFTY MEMBS'!P41</f>
        <v>21987.251174233948</v>
      </c>
      <c r="P52" s="4">
        <f>$P$4*'NIFTY MEMBS'!Q41</f>
        <v>17197.625460916865</v>
      </c>
      <c r="Q52" s="4">
        <f>$Q$4*'NIFTY MEMBS'!R41</f>
        <v>17349.665335061774</v>
      </c>
      <c r="R52" s="4">
        <f>$R$4*'NIFTY MEMBS'!S41</f>
        <v>19293.52668821525</v>
      </c>
      <c r="S52" s="4">
        <f>$S$4*'NIFTY MEMBS'!T41</f>
        <v>18847.732785967532</v>
      </c>
      <c r="T52" s="4">
        <f>$T$4*'NIFTY MEMBS'!U41</f>
        <v>23570.159857904084</v>
      </c>
      <c r="U52" s="4">
        <f>$U$4*'NIFTY MEMBS'!V41</f>
        <v>19503.050232801146</v>
      </c>
      <c r="V52" s="4">
        <f>$V$4*'NIFTY MEMBS'!W41</f>
        <v>19187.771616963884</v>
      </c>
      <c r="W52" s="4">
        <f>$W$4*'NIFTY MEMBS'!X41</f>
        <v>16107.775768535263</v>
      </c>
      <c r="X52" s="4">
        <f>$X$4*'NIFTY MEMBS'!Y41</f>
        <v>17566.259128579633</v>
      </c>
      <c r="Y52" s="4">
        <f>$Y$4*'NIFTY MEMBS'!Z41</f>
        <v>19780.544418653724</v>
      </c>
      <c r="Z52" s="4">
        <f>$Z$4*'NIFTY MEMBS'!AA41</f>
        <v>17444.709084722697</v>
      </c>
      <c r="AA52" s="4">
        <f>$AA$4*'NIFTY MEMBS'!AB41</f>
        <v>21355.127284775524</v>
      </c>
      <c r="AB52" s="4">
        <f>$AB$4*'NIFTY MEMBS'!AC41</f>
        <v>19650.34965034965</v>
      </c>
      <c r="AC52" s="4">
        <f>$AC$4*'NIFTY MEMBS'!AD41</f>
        <v>16697.809278350516</v>
      </c>
      <c r="AD52" s="4">
        <f>$AD$4*'NIFTY MEMBS'!AE41</f>
        <v>17837.837837837837</v>
      </c>
      <c r="AE52" s="4">
        <f>$AE$4*'NIFTY MEMBS'!AF41</f>
        <v>19328.188729542195</v>
      </c>
      <c r="AF52" s="4">
        <f>$AF$4*'NIFTY MEMBS'!AG41</f>
        <v>19492.764628034623</v>
      </c>
      <c r="AG52" s="4">
        <f>$AG$4*'NIFTY MEMBS'!AH41</f>
        <v>18881.987577639753</v>
      </c>
      <c r="AH52" s="4">
        <f>$AH$4*'NIFTY MEMBS'!AI41</f>
        <v>20471.685936088219</v>
      </c>
      <c r="AI52" s="4">
        <f>$AI$4*'NIFTY MEMBS'!AJ41</f>
        <v>20133.099312563991</v>
      </c>
      <c r="AJ52" s="4">
        <f>$AJ$4*'NIFTY MEMBS'!AK41</f>
        <v>15007.390376088029</v>
      </c>
      <c r="AK52" s="4">
        <f>$AK$4*'NIFTY MEMBS'!AL41</f>
        <v>19603.218475523612</v>
      </c>
      <c r="AL52" s="4">
        <f>$AL$4*'NIFTY MEMBS'!AM41</f>
        <v>20513.786256729371</v>
      </c>
      <c r="AM52" s="4">
        <f>$AM$4*'NIFTY MEMBS'!AN41</f>
        <v>14334.929718946527</v>
      </c>
      <c r="AN52" s="4">
        <f>$AN$4*'NIFTY MEMBS'!AO41</f>
        <v>21229.648671808052</v>
      </c>
      <c r="AO52" s="4">
        <f>$AO$4*'NIFTY MEMBS'!AP41</f>
        <v>19993.519118600125</v>
      </c>
      <c r="AP52" s="4">
        <f>$AP$4*'NIFTY MEMBS'!AQ41</f>
        <v>21651.066700396321</v>
      </c>
      <c r="AQ52" s="4">
        <f>$AQ$4*'NIFTY MEMBS'!AR41</f>
        <v>18941.808257769171</v>
      </c>
      <c r="AR52" s="4">
        <f>$AR$4*'NIFTY MEMBS'!AS41</f>
        <v>19315.283500098096</v>
      </c>
      <c r="AS52" s="4">
        <f>$AS$4*'NIFTY MEMBS'!AT41</f>
        <v>16965.256151920374</v>
      </c>
      <c r="AT52" s="4">
        <f>$AT$4*'NIFTY MEMBS'!AU41</f>
        <v>19776.266424545593</v>
      </c>
      <c r="AU52" s="4">
        <f>$AU$4*'NIFTY MEMBS'!AV41</f>
        <v>21784.200804085624</v>
      </c>
      <c r="AV52" s="4">
        <f>$AV$4*'NIFTY MEMBS'!AW41</f>
        <v>17013.148283418555</v>
      </c>
      <c r="AW52" s="4">
        <f>$AW$4*'NIFTY MEMBS'!AX41</f>
        <v>18568.47539044296</v>
      </c>
      <c r="AX52" s="4">
        <f>$AX$4*'NIFTY MEMBS'!AY41</f>
        <v>21232.721270889215</v>
      </c>
      <c r="AY52" s="4">
        <f t="shared" si="8"/>
        <v>938385.48536487925</v>
      </c>
      <c r="AZ52" s="4">
        <f t="shared" si="9"/>
        <v>95.753620955599928</v>
      </c>
    </row>
    <row r="53" spans="1:52" ht="14.25" customHeight="1" x14ac:dyDescent="0.3">
      <c r="A53" s="2">
        <v>45713</v>
      </c>
      <c r="B53" s="4">
        <f>$B$4*'NIFTY MEMBS'!C42</f>
        <v>19717.502558853634</v>
      </c>
      <c r="C53" s="4">
        <f>$C$4*'NIFTY MEMBS'!D42</f>
        <v>18873.432206242007</v>
      </c>
      <c r="D53" s="4">
        <f>$D$4*'NIFTY MEMBS'!E42</f>
        <v>20572.789371435734</v>
      </c>
      <c r="E53" s="4">
        <f>$E$4*'NIFTY MEMBS'!F42</f>
        <v>17651.521599046799</v>
      </c>
      <c r="F53" s="4">
        <f>$F$4*'NIFTY MEMBS'!G42</f>
        <v>19072.956023838273</v>
      </c>
      <c r="G53" s="4">
        <f>$G$4*'NIFTY MEMBS'!H42</f>
        <v>17924.861321230455</v>
      </c>
      <c r="H53" s="4">
        <f>$H$4*'NIFTY MEMBS'!I42</f>
        <v>18780.345285524567</v>
      </c>
      <c r="I53" s="4">
        <f>$I$4*'NIFTY MEMBS'!J42</f>
        <v>19459.110288101292</v>
      </c>
      <c r="J53" s="4">
        <f>$J$4*'NIFTY MEMBS'!K42</f>
        <v>24479.979236658834</v>
      </c>
      <c r="K53" s="4">
        <f>$K$4*'NIFTY MEMBS'!L42</f>
        <v>17685.990127124198</v>
      </c>
      <c r="L53" s="4">
        <f>$L$4*'NIFTY MEMBS'!M42</f>
        <v>17591.820040899795</v>
      </c>
      <c r="M53" s="4">
        <f>$M$4*'NIFTY MEMBS'!N42</f>
        <v>22262.698179028044</v>
      </c>
      <c r="N53" s="4">
        <f>$N$4*'NIFTY MEMBS'!O42</f>
        <v>18026.281635301752</v>
      </c>
      <c r="O53" s="4">
        <f>$O$4*'NIFTY MEMBS'!P42</f>
        <v>22000.111831804963</v>
      </c>
      <c r="P53" s="4">
        <f>$P$4*'NIFTY MEMBS'!Q42</f>
        <v>17114.464290384163</v>
      </c>
      <c r="Q53" s="4">
        <f>$Q$4*'NIFTY MEMBS'!R42</f>
        <v>17075.584010158997</v>
      </c>
      <c r="R53" s="4">
        <f>$R$4*'NIFTY MEMBS'!S42</f>
        <v>19156.372848781339</v>
      </c>
      <c r="S53" s="4">
        <f>$S$4*'NIFTY MEMBS'!T42</f>
        <v>18830.005598059342</v>
      </c>
      <c r="T53" s="4">
        <f>$T$4*'NIFTY MEMBS'!U42</f>
        <v>23789.647297640189</v>
      </c>
      <c r="U53" s="4">
        <f>$U$4*'NIFTY MEMBS'!V42</f>
        <v>19661.631605636401</v>
      </c>
      <c r="V53" s="4">
        <f>$V$4*'NIFTY MEMBS'!W42</f>
        <v>19103.851341225836</v>
      </c>
      <c r="W53" s="4">
        <f>$W$4*'NIFTY MEMBS'!X42</f>
        <v>16320.433996383365</v>
      </c>
      <c r="X53" s="4">
        <f>$X$4*'NIFTY MEMBS'!Y42</f>
        <v>17729.547878887333</v>
      </c>
      <c r="Y53" s="4">
        <f>$Y$4*'NIFTY MEMBS'!Z42</f>
        <v>19666.596328339314</v>
      </c>
      <c r="Z53" s="4">
        <f>$Z$4*'NIFTY MEMBS'!AA42</f>
        <v>17465.12419190201</v>
      </c>
      <c r="AA53" s="4">
        <f>$AA$4*'NIFTY MEMBS'!AB42</f>
        <v>21177.315147164394</v>
      </c>
      <c r="AB53" s="4">
        <f>$AB$4*'NIFTY MEMBS'!AC42</f>
        <v>19400.5994005994</v>
      </c>
      <c r="AC53" s="4">
        <f>$AC$4*'NIFTY MEMBS'!AD42</f>
        <v>16478.737113402065</v>
      </c>
      <c r="AD53" s="4">
        <f>$AD$4*'NIFTY MEMBS'!AE42</f>
        <v>17660.326993660328</v>
      </c>
      <c r="AE53" s="4">
        <f>$AE$4*'NIFTY MEMBS'!AF42</f>
        <v>19261.716940009497</v>
      </c>
      <c r="AF53" s="4">
        <f>$AF$4*'NIFTY MEMBS'!AG42</f>
        <v>19306.619226346731</v>
      </c>
      <c r="AG53" s="4">
        <f>$AG$4*'NIFTY MEMBS'!AH42</f>
        <v>18693.064182194616</v>
      </c>
      <c r="AH53" s="4">
        <f>$AH$4*'NIFTY MEMBS'!AI42</f>
        <v>20748.280503770911</v>
      </c>
      <c r="AI53" s="4">
        <f>$AI$4*'NIFTY MEMBS'!AJ42</f>
        <v>20048.266783677049</v>
      </c>
      <c r="AJ53" s="4">
        <f>$AJ$4*'NIFTY MEMBS'!AK42</f>
        <v>14867.465922154706</v>
      </c>
      <c r="AK53" s="4">
        <f>$AK$4*'NIFTY MEMBS'!AL42</f>
        <v>19485.289601375836</v>
      </c>
      <c r="AL53" s="4">
        <f>$AL$4*'NIFTY MEMBS'!AM42</f>
        <v>20427.814054408122</v>
      </c>
      <c r="AM53" s="4">
        <f>$AM$4*'NIFTY MEMBS'!AN42</f>
        <v>14034.705470391409</v>
      </c>
      <c r="AN53" s="4">
        <f>$AN$4*'NIFTY MEMBS'!AO42</f>
        <v>21018.994572979147</v>
      </c>
      <c r="AO53" s="4">
        <f>$AO$4*'NIFTY MEMBS'!AP42</f>
        <v>20160.401814646786</v>
      </c>
      <c r="AP53" s="4">
        <f>$AP$4*'NIFTY MEMBS'!AQ42</f>
        <v>20893.835905219665</v>
      </c>
      <c r="AQ53" s="4">
        <f>$AQ$4*'NIFTY MEMBS'!AR42</f>
        <v>18709.980338644833</v>
      </c>
      <c r="AR53" s="4">
        <f>$AR$4*'NIFTY MEMBS'!AS42</f>
        <v>19140.017003466091</v>
      </c>
      <c r="AS53" s="4">
        <f>$AS$4*'NIFTY MEMBS'!AT42</f>
        <v>16965.120460266091</v>
      </c>
      <c r="AT53" s="4">
        <f>$AT$4*'NIFTY MEMBS'!AU42</f>
        <v>19675.192297808917</v>
      </c>
      <c r="AU53" s="4">
        <f>$AU$4*'NIFTY MEMBS'!AV42</f>
        <v>21837.444311637511</v>
      </c>
      <c r="AV53" s="4">
        <f>$AV$4*'NIFTY MEMBS'!AW42</f>
        <v>16481.37326515705</v>
      </c>
      <c r="AW53" s="4">
        <f>$AW$4*'NIFTY MEMBS'!AX42</f>
        <v>18297.943527668573</v>
      </c>
      <c r="AX53" s="4">
        <f>$AX$4*'NIFTY MEMBS'!AY42</f>
        <v>21337.940994429548</v>
      </c>
      <c r="AY53" s="4">
        <f t="shared" si="8"/>
        <v>936121.1049235682</v>
      </c>
      <c r="AZ53" s="4">
        <f t="shared" si="9"/>
        <v>95.522561726894722</v>
      </c>
    </row>
    <row r="54" spans="1:52" ht="14.25" customHeight="1" x14ac:dyDescent="0.3">
      <c r="A54" s="2">
        <v>45715</v>
      </c>
      <c r="B54" s="4">
        <f>$B$4*'NIFTY MEMBS'!C43</f>
        <v>19768.270214943703</v>
      </c>
      <c r="C54" s="4">
        <f>$C$4*'NIFTY MEMBS'!D43</f>
        <v>19079.404967578364</v>
      </c>
      <c r="D54" s="4">
        <f>$D$4*'NIFTY MEMBS'!E43</f>
        <v>20685.592529924172</v>
      </c>
      <c r="E54" s="4">
        <f>$E$4*'NIFTY MEMBS'!F43</f>
        <v>17568.8458218337</v>
      </c>
      <c r="F54" s="4">
        <f>$F$4*'NIFTY MEMBS'!G43</f>
        <v>19046.469053090794</v>
      </c>
      <c r="G54" s="4">
        <f>$G$4*'NIFTY MEMBS'!H43</f>
        <v>17748.361069087241</v>
      </c>
      <c r="H54" s="4">
        <f>$H$4*'NIFTY MEMBS'!I43</f>
        <v>18744.22310756972</v>
      </c>
      <c r="I54" s="4">
        <f>$I$4*'NIFTY MEMBS'!J43</f>
        <v>19335.515266353734</v>
      </c>
      <c r="J54" s="4">
        <f>$J$4*'NIFTY MEMBS'!K43</f>
        <v>25104.609750118954</v>
      </c>
      <c r="K54" s="4">
        <f>$K$4*'NIFTY MEMBS'!L43</f>
        <v>17544.012930846184</v>
      </c>
      <c r="L54" s="4">
        <f>$L$4*'NIFTY MEMBS'!M43</f>
        <v>17502.385821404227</v>
      </c>
      <c r="M54" s="4">
        <f>$M$4*'NIFTY MEMBS'!N43</f>
        <v>22091.84265232016</v>
      </c>
      <c r="N54" s="4">
        <f>$N$4*'NIFTY MEMBS'!O43</f>
        <v>17693.380921479558</v>
      </c>
      <c r="O54" s="4">
        <f>$O$4*'NIFTY MEMBS'!P43</f>
        <v>21779.803176023259</v>
      </c>
      <c r="P54" s="4">
        <f>$P$4*'NIFTY MEMBS'!Q43</f>
        <v>17042.286670676534</v>
      </c>
      <c r="Q54" s="4">
        <f>$Q$4*'NIFTY MEMBS'!R43</f>
        <v>17434.323659356065</v>
      </c>
      <c r="R54" s="4">
        <f>$R$4*'NIFTY MEMBS'!S43</f>
        <v>18253.95300078623</v>
      </c>
      <c r="S54" s="4">
        <f>$S$4*'NIFTY MEMBS'!T43</f>
        <v>18971.823101324877</v>
      </c>
      <c r="T54" s="4">
        <f>$T$4*'NIFTY MEMBS'!U43</f>
        <v>24429.713270743465</v>
      </c>
      <c r="U54" s="4">
        <f>$U$4*'NIFTY MEMBS'!V43</f>
        <v>19810.993131213792</v>
      </c>
      <c r="V54" s="4">
        <f>$V$4*'NIFTY MEMBS'!W43</f>
        <v>18924.022178930016</v>
      </c>
      <c r="W54" s="4">
        <f>$W$4*'NIFTY MEMBS'!X43</f>
        <v>16567.088607594938</v>
      </c>
      <c r="X54" s="4">
        <f>$X$4*'NIFTY MEMBS'!Y43</f>
        <v>17706.572577336505</v>
      </c>
      <c r="Y54" s="4">
        <f>$Y$4*'NIFTY MEMBS'!Z43</f>
        <v>19497.78434268833</v>
      </c>
      <c r="Z54" s="4">
        <f>$Z$4*'NIFTY MEMBS'!AA43</f>
        <v>17179.312691391631</v>
      </c>
      <c r="AA54" s="4">
        <f>$AA$4*'NIFTY MEMBS'!AB43</f>
        <v>21536.252692031587</v>
      </c>
      <c r="AB54" s="4">
        <f>$AB$4*'NIFTY MEMBS'!AC43</f>
        <v>19613.719613719612</v>
      </c>
      <c r="AC54" s="4">
        <f>$AC$4*'NIFTY MEMBS'!AD43</f>
        <v>16510.953608247422</v>
      </c>
      <c r="AD54" s="4">
        <f>$AD$4*'NIFTY MEMBS'!AE43</f>
        <v>17311.978645311978</v>
      </c>
      <c r="AE54" s="4">
        <f>$AE$4*'NIFTY MEMBS'!AF43</f>
        <v>18837.144115644896</v>
      </c>
      <c r="AF54" s="4">
        <f>$AF$4*'NIFTY MEMBS'!AG43</f>
        <v>19210.292235263489</v>
      </c>
      <c r="AG54" s="4">
        <f>$AG$4*'NIFTY MEMBS'!AH43</f>
        <v>18832.81573498965</v>
      </c>
      <c r="AH54" s="4">
        <f>$AH$4*'NIFTY MEMBS'!AI43</f>
        <v>21004.591469823536</v>
      </c>
      <c r="AI54" s="4">
        <f>$AI$4*'NIFTY MEMBS'!AJ43</f>
        <v>20285.212812637121</v>
      </c>
      <c r="AJ54" s="4">
        <f>$AJ$4*'NIFTY MEMBS'!AK43</f>
        <v>14563.967810806373</v>
      </c>
      <c r="AK54" s="4">
        <f>$AK$4*'NIFTY MEMBS'!AL43</f>
        <v>19163.032573756729</v>
      </c>
      <c r="AL54" s="4">
        <f>$AL$4*'NIFTY MEMBS'!AM43</f>
        <v>20205.514502691745</v>
      </c>
      <c r="AM54" s="4">
        <f>$AM$4*'NIFTY MEMBS'!AN43</f>
        <v>13597.243935738996</v>
      </c>
      <c r="AN54" s="4">
        <f>$AN$4*'NIFTY MEMBS'!AO43</f>
        <v>20990.431305341328</v>
      </c>
      <c r="AO54" s="4">
        <f>$AO$4*'NIFTY MEMBS'!AP43</f>
        <v>20038.885288399219</v>
      </c>
      <c r="AP54" s="4">
        <f>$AP$4*'NIFTY MEMBS'!AQ43</f>
        <v>21315.456615228941</v>
      </c>
      <c r="AQ54" s="4">
        <f>$AQ$4*'NIFTY MEMBS'!AR43</f>
        <v>18643.073040467178</v>
      </c>
      <c r="AR54" s="4">
        <f>$AR$4*'NIFTY MEMBS'!AS43</f>
        <v>18849.650120986204</v>
      </c>
      <c r="AS54" s="4">
        <f>$AS$4*'NIFTY MEMBS'!AT43</f>
        <v>16785.600401647294</v>
      </c>
      <c r="AT54" s="4">
        <f>$AT$4*'NIFTY MEMBS'!AU43</f>
        <v>20790.433933496646</v>
      </c>
      <c r="AU54" s="4">
        <f>$AU$4*'NIFTY MEMBS'!AV43</f>
        <v>21905.900249918504</v>
      </c>
      <c r="AV54" s="4">
        <f>$AV$4*'NIFTY MEMBS'!AW43</f>
        <v>16443.389335281227</v>
      </c>
      <c r="AW54" s="4">
        <f>$AW$4*'NIFTY MEMBS'!AX43</f>
        <v>17969.577114725107</v>
      </c>
      <c r="AX54" s="4">
        <f>$AX$4*'NIFTY MEMBS'!AY43</f>
        <v>21594.800907778012</v>
      </c>
      <c r="AY54" s="4">
        <f t="shared" si="8"/>
        <v>935510.50857854891</v>
      </c>
      <c r="AZ54" s="4">
        <f t="shared" si="9"/>
        <v>95.460255977402952</v>
      </c>
    </row>
    <row r="55" spans="1:52" ht="14.25" customHeight="1" x14ac:dyDescent="0.3">
      <c r="A55" s="2">
        <v>45716</v>
      </c>
      <c r="B55" s="4">
        <f>$B$4*'NIFTY MEMBS'!C44</f>
        <v>19653.63357215967</v>
      </c>
      <c r="C55" s="4">
        <f>$C$4*'NIFTY MEMBS'!D44</f>
        <v>19435.033319123158</v>
      </c>
      <c r="D55" s="4">
        <f>$D$4*'NIFTY MEMBS'!E44</f>
        <v>19680.391050949427</v>
      </c>
      <c r="E55" s="4">
        <f>$E$4*'NIFTY MEMBS'!F44</f>
        <v>16940.02358691291</v>
      </c>
      <c r="F55" s="4">
        <f>$F$4*'NIFTY MEMBS'!G44</f>
        <v>18760.565574728313</v>
      </c>
      <c r="G55" s="4">
        <f>$G$4*'NIFTY MEMBS'!H44</f>
        <v>17367.624810892583</v>
      </c>
      <c r="H55" s="4">
        <f>$H$4*'NIFTY MEMBS'!I44</f>
        <v>17930.411686586984</v>
      </c>
      <c r="I55" s="4">
        <f>$I$4*'NIFTY MEMBS'!J44</f>
        <v>18864.389991817752</v>
      </c>
      <c r="J55" s="4">
        <f>$J$4*'NIFTY MEMBS'!K44</f>
        <v>24599.656828111256</v>
      </c>
      <c r="K55" s="4">
        <f>$K$4*'NIFTY MEMBS'!L44</f>
        <v>17255.690009173912</v>
      </c>
      <c r="L55" s="4">
        <f>$L$4*'NIFTY MEMBS'!M44</f>
        <v>17253.442399454667</v>
      </c>
      <c r="M55" s="4">
        <f>$M$4*'NIFTY MEMBS'!N44</f>
        <v>21316.078263429783</v>
      </c>
      <c r="N55" s="4">
        <f>$N$4*'NIFTY MEMBS'!O44</f>
        <v>16775.470473718364</v>
      </c>
      <c r="O55" s="4">
        <f>$O$4*'NIFTY MEMBS'!P44</f>
        <v>21281.033325877877</v>
      </c>
      <c r="P55" s="4">
        <f>$P$4*'NIFTY MEMBS'!Q44</f>
        <v>16475.849263840581</v>
      </c>
      <c r="Q55" s="4">
        <f>$Q$4*'NIFTY MEMBS'!R44</f>
        <v>16860.234397735388</v>
      </c>
      <c r="R55" s="4">
        <f>$R$4*'NIFTY MEMBS'!S44</f>
        <v>17696.252293177251</v>
      </c>
      <c r="S55" s="4">
        <f>$S$4*'NIFTY MEMBS'!T44</f>
        <v>18950.363873857063</v>
      </c>
      <c r="T55" s="4">
        <f>$T$4*'NIFTY MEMBS'!U44</f>
        <v>23754.123318954578</v>
      </c>
      <c r="U55" s="4">
        <f>$U$4*'NIFTY MEMBS'!V44</f>
        <v>18914.516649507506</v>
      </c>
      <c r="V55" s="4">
        <f>$V$4*'NIFTY MEMBS'!W44</f>
        <v>18669.264199010941</v>
      </c>
      <c r="W55" s="4">
        <f>$W$4*'NIFTY MEMBS'!X44</f>
        <v>16065.099457504522</v>
      </c>
      <c r="X55" s="4">
        <f>$X$4*'NIFTY MEMBS'!Y44</f>
        <v>17549.848198900469</v>
      </c>
      <c r="Y55" s="4">
        <f>$Y$4*'NIFTY MEMBS'!Z44</f>
        <v>19012.449883941761</v>
      </c>
      <c r="Z55" s="4">
        <f>$Z$4*'NIFTY MEMBS'!AA44</f>
        <v>16757.400476352504</v>
      </c>
      <c r="AA55" s="4">
        <f>$AA$4*'NIFTY MEMBS'!AB44</f>
        <v>20999.50300955326</v>
      </c>
      <c r="AB55" s="4">
        <f>$AB$4*'NIFTY MEMBS'!AC44</f>
        <v>18491.508491508488</v>
      </c>
      <c r="AC55" s="4">
        <f>$AC$4*'NIFTY MEMBS'!AD44</f>
        <v>16163.015463917527</v>
      </c>
      <c r="AD55" s="4">
        <f>$AD$4*'NIFTY MEMBS'!AE44</f>
        <v>16567.233900567233</v>
      </c>
      <c r="AE55" s="4">
        <f>$AE$4*'NIFTY MEMBS'!AF44</f>
        <v>18083.301394077032</v>
      </c>
      <c r="AF55" s="4">
        <f>$AF$4*'NIFTY MEMBS'!AG44</f>
        <v>18916.104397630876</v>
      </c>
      <c r="AG55" s="4">
        <f>$AG$4*'NIFTY MEMBS'!AH44</f>
        <v>19117.494824016565</v>
      </c>
      <c r="AH55" s="4">
        <f>$AH$4*'NIFTY MEMBS'!AI44</f>
        <v>20188.084306024233</v>
      </c>
      <c r="AI55" s="4">
        <f>$AI$4*'NIFTY MEMBS'!AJ44</f>
        <v>20067.280971186188</v>
      </c>
      <c r="AJ55" s="4">
        <f>$AJ$4*'NIFTY MEMBS'!AK44</f>
        <v>13638.364263425852</v>
      </c>
      <c r="AK55" s="4">
        <f>$AK$4*'NIFTY MEMBS'!AL44</f>
        <v>18890.32205228999</v>
      </c>
      <c r="AL55" s="4">
        <f>$AL$4*'NIFTY MEMBS'!AM44</f>
        <v>19542.709761938877</v>
      </c>
      <c r="AM55" s="4">
        <f>$AM$4*'NIFTY MEMBS'!AN44</f>
        <v>13728.114543615284</v>
      </c>
      <c r="AN55" s="4">
        <f>$AN$4*'NIFTY MEMBS'!AO44</f>
        <v>20429.877177949154</v>
      </c>
      <c r="AO55" s="4">
        <f>$AO$4*'NIFTY MEMBS'!AP44</f>
        <v>19718.081659105635</v>
      </c>
      <c r="AP55" s="4">
        <f>$AP$4*'NIFTY MEMBS'!AQ44</f>
        <v>21396.407791550719</v>
      </c>
      <c r="AQ55" s="4">
        <f>$AQ$4*'NIFTY MEMBS'!AR44</f>
        <v>17464.565542741439</v>
      </c>
      <c r="AR55" s="4">
        <f>$AR$4*'NIFTY MEMBS'!AS44</f>
        <v>18409.521941011051</v>
      </c>
      <c r="AS55" s="4">
        <f>$AS$4*'NIFTY MEMBS'!AT44</f>
        <v>16425.746134483998</v>
      </c>
      <c r="AT55" s="4">
        <f>$AT$4*'NIFTY MEMBS'!AU44</f>
        <v>21150.189299847527</v>
      </c>
      <c r="AU55" s="4">
        <f>$AU$4*'NIFTY MEMBS'!AV44</f>
        <v>20943.170705204826</v>
      </c>
      <c r="AV55" s="4">
        <f>$AV$4*'NIFTY MEMBS'!AW44</f>
        <v>16311.176040905772</v>
      </c>
      <c r="AW55" s="4">
        <f>$AW$4*'NIFTY MEMBS'!AX44</f>
        <v>17594.608481604071</v>
      </c>
      <c r="AX55" s="4">
        <f>$AX$4*'NIFTY MEMBS'!AY44</f>
        <v>20427.068289663712</v>
      </c>
      <c r="AY55" s="4">
        <f t="shared" si="8"/>
        <v>912482.29734953854</v>
      </c>
      <c r="AZ55" s="4">
        <f t="shared" si="9"/>
        <v>93.110438505054944</v>
      </c>
    </row>
    <row r="56" spans="1:52" ht="14.25" customHeight="1" x14ac:dyDescent="0.3">
      <c r="A56" s="2">
        <v>45719</v>
      </c>
      <c r="B56" s="4">
        <f>$B$4*'NIFTY MEMBS'!C45</f>
        <v>19181.166837256907</v>
      </c>
      <c r="C56" s="4">
        <f>$C$4*'NIFTY MEMBS'!D45</f>
        <v>19089.052929166013</v>
      </c>
      <c r="D56" s="4">
        <f>$D$4*'NIFTY MEMBS'!E45</f>
        <v>20001.25336842765</v>
      </c>
      <c r="E56" s="4">
        <f>$E$4*'NIFTY MEMBS'!F45</f>
        <v>16987.683740835757</v>
      </c>
      <c r="F56" s="4">
        <f>$F$4*'NIFTY MEMBS'!G45</f>
        <v>18793.284773886964</v>
      </c>
      <c r="G56" s="4">
        <f>$G$4*'NIFTY MEMBS'!H45</f>
        <v>17531.517902168427</v>
      </c>
      <c r="H56" s="4">
        <f>$H$4*'NIFTY MEMBS'!I45</f>
        <v>18152.456839309427</v>
      </c>
      <c r="I56" s="4">
        <f>$I$4*'NIFTY MEMBS'!J45</f>
        <v>18748.977218896689</v>
      </c>
      <c r="J56" s="4">
        <f>$J$4*'NIFTY MEMBS'!K45</f>
        <v>24880.827073089844</v>
      </c>
      <c r="K56" s="4">
        <f>$K$4*'NIFTY MEMBS'!L45</f>
        <v>17362.71897252195</v>
      </c>
      <c r="L56" s="4">
        <f>$L$4*'NIFTY MEMBS'!M45</f>
        <v>17435.855487389232</v>
      </c>
      <c r="M56" s="4">
        <f>$M$4*'NIFTY MEMBS'!N45</f>
        <v>21012.285538395656</v>
      </c>
      <c r="N56" s="4">
        <f>$N$4*'NIFTY MEMBS'!O45</f>
        <v>16949.383517196624</v>
      </c>
      <c r="O56" s="4">
        <f>$O$4*'NIFTY MEMBS'!P45</f>
        <v>21411.317378662487</v>
      </c>
      <c r="P56" s="4">
        <f>$P$4*'NIFTY MEMBS'!Q45</f>
        <v>16448.128873663016</v>
      </c>
      <c r="Q56" s="4">
        <f>$Q$4*'NIFTY MEMBS'!R45</f>
        <v>16773.988729860575</v>
      </c>
      <c r="R56" s="4">
        <f>$R$4*'NIFTY MEMBS'!S45</f>
        <v>18067.266532715992</v>
      </c>
      <c r="S56" s="4">
        <f>$S$4*'NIFTY MEMBS'!T45</f>
        <v>18795.484232132862</v>
      </c>
      <c r="T56" s="4">
        <f>$T$4*'NIFTY MEMBS'!U45</f>
        <v>23325.932504440494</v>
      </c>
      <c r="U56" s="4">
        <f>$U$4*'NIFTY MEMBS'!V45</f>
        <v>18943.712832490743</v>
      </c>
      <c r="V56" s="4">
        <f>$V$4*'NIFTY MEMBS'!W45</f>
        <v>18846.096208601826</v>
      </c>
      <c r="W56" s="4">
        <f>$W$4*'NIFTY MEMBS'!X45</f>
        <v>16067.992766726944</v>
      </c>
      <c r="X56" s="4">
        <f>$X$4*'NIFTY MEMBS'!Y45</f>
        <v>17281.529498646094</v>
      </c>
      <c r="Y56" s="4">
        <f>$Y$4*'NIFTY MEMBS'!Z45</f>
        <v>19002.321164802703</v>
      </c>
      <c r="Z56" s="4">
        <f>$Z$4*'NIFTY MEMBS'!AA45</f>
        <v>17515.481456277648</v>
      </c>
      <c r="AA56" s="4">
        <f>$AA$4*'NIFTY MEMBS'!AB45</f>
        <v>21559.445579546082</v>
      </c>
      <c r="AB56" s="4">
        <f>$AB$4*'NIFTY MEMBS'!AC45</f>
        <v>18884.448884448884</v>
      </c>
      <c r="AC56" s="4">
        <f>$AC$4*'NIFTY MEMBS'!AD45</f>
        <v>16269.329896907218</v>
      </c>
      <c r="AD56" s="4">
        <f>$AD$4*'NIFTY MEMBS'!AE45</f>
        <v>16580.580580580579</v>
      </c>
      <c r="AE56" s="4">
        <f>$AE$4*'NIFTY MEMBS'!AF45</f>
        <v>17652.893696620922</v>
      </c>
      <c r="AF56" s="4">
        <f>$AF$4*'NIFTY MEMBS'!AG45</f>
        <v>18800.251665111839</v>
      </c>
      <c r="AG56" s="4">
        <f>$AG$4*'NIFTY MEMBS'!AH45</f>
        <v>18651.656314699794</v>
      </c>
      <c r="AH56" s="4">
        <f>$AH$4*'NIFTY MEMBS'!AI45</f>
        <v>20150.467444819387</v>
      </c>
      <c r="AI56" s="4">
        <f>$AI$4*'NIFTY MEMBS'!AJ45</f>
        <v>20267.661254936374</v>
      </c>
      <c r="AJ56" s="4">
        <f>$AJ$4*'NIFTY MEMBS'!AK45</f>
        <v>13198.883232057809</v>
      </c>
      <c r="AK56" s="4">
        <f>$AK$4*'NIFTY MEMBS'!AL45</f>
        <v>19470.139016849906</v>
      </c>
      <c r="AL56" s="4">
        <f>$AL$4*'NIFTY MEMBS'!AM45</f>
        <v>20087.200376640125</v>
      </c>
      <c r="AM56" s="4">
        <f>$AM$4*'NIFTY MEMBS'!AN45</f>
        <v>13997.920218447804</v>
      </c>
      <c r="AN56" s="4">
        <f>$AN$4*'NIFTY MEMBS'!AO45</f>
        <v>20115.681233933159</v>
      </c>
      <c r="AO56" s="4">
        <f>$AO$4*'NIFTY MEMBS'!AP45</f>
        <v>20025.923525599479</v>
      </c>
      <c r="AP56" s="4">
        <f>$AP$4*'NIFTY MEMBS'!AQ45</f>
        <v>21470.61303651235</v>
      </c>
      <c r="AQ56" s="4">
        <f>$AQ$4*'NIFTY MEMBS'!AR45</f>
        <v>17525.603779675439</v>
      </c>
      <c r="AR56" s="4">
        <f>$AR$4*'NIFTY MEMBS'!AS45</f>
        <v>18410.175920476097</v>
      </c>
      <c r="AS56" s="4">
        <f>$AS$4*'NIFTY MEMBS'!AT45</f>
        <v>16745.978438596136</v>
      </c>
      <c r="AT56" s="4">
        <f>$AT$4*'NIFTY MEMBS'!AU45</f>
        <v>21287.238963219294</v>
      </c>
      <c r="AU56" s="4">
        <f>$AU$4*'NIFTY MEMBS'!AV45</f>
        <v>20730.196674997285</v>
      </c>
      <c r="AV56" s="4">
        <f>$AV$4*'NIFTY MEMBS'!AW45</f>
        <v>16356.464572680788</v>
      </c>
      <c r="AW56" s="4">
        <f>$AW$4*'NIFTY MEMBS'!AX45</f>
        <v>17353.949836892229</v>
      </c>
      <c r="AX56" s="4">
        <f>$AX$4*'NIFTY MEMBS'!AY45</f>
        <v>20301.217247782137</v>
      </c>
      <c r="AY56" s="4">
        <f t="shared" si="8"/>
        <v>914499.63776959386</v>
      </c>
      <c r="AZ56" s="4">
        <f t="shared" si="9"/>
        <v>93.316289568325899</v>
      </c>
    </row>
    <row r="57" spans="1:52" ht="14.25" customHeight="1" x14ac:dyDescent="0.3">
      <c r="A57" s="2">
        <v>45720</v>
      </c>
      <c r="B57" s="4">
        <f>$B$4*'NIFTY MEMBS'!C46</f>
        <v>19028.04503582395</v>
      </c>
      <c r="C57" s="4">
        <f>$C$4*'NIFTY MEMBS'!D46</f>
        <v>19183.737575444819</v>
      </c>
      <c r="D57" s="4">
        <f>$D$4*'NIFTY MEMBS'!E46</f>
        <v>19744.939524973364</v>
      </c>
      <c r="E57" s="4">
        <f>$E$4*'NIFTY MEMBS'!F46</f>
        <v>17177.351700324627</v>
      </c>
      <c r="F57" s="4">
        <f>$F$4*'NIFTY MEMBS'!G46</f>
        <v>18858.72317220426</v>
      </c>
      <c r="G57" s="4">
        <f>$G$4*'NIFTY MEMBS'!H46</f>
        <v>18054.715078164394</v>
      </c>
      <c r="H57" s="4">
        <f>$H$4*'NIFTY MEMBS'!I46</f>
        <v>17936.786188579015</v>
      </c>
      <c r="I57" s="4">
        <f>$I$4*'NIFTY MEMBS'!J46</f>
        <v>18581.025795616039</v>
      </c>
      <c r="J57" s="4">
        <f>$J$4*'NIFTY MEMBS'!K46</f>
        <v>24759.995962683661</v>
      </c>
      <c r="K57" s="4">
        <f>$K$4*'NIFTY MEMBS'!L46</f>
        <v>17249.137215499541</v>
      </c>
      <c r="L57" s="4">
        <f>$L$4*'NIFTY MEMBS'!M46</f>
        <v>17521.472392638036</v>
      </c>
      <c r="M57" s="4">
        <f>$M$4*'NIFTY MEMBS'!N46</f>
        <v>20727.942685331407</v>
      </c>
      <c r="N57" s="4">
        <f>$N$4*'NIFTY MEMBS'!O46</f>
        <v>16958.792991563918</v>
      </c>
      <c r="O57" s="4">
        <f>$O$4*'NIFTY MEMBS'!P46</f>
        <v>21335.271751286062</v>
      </c>
      <c r="P57" s="4">
        <f>$P$4*'NIFTY MEMBS'!Q46</f>
        <v>16062.135516096132</v>
      </c>
      <c r="Q57" s="4">
        <f>$Q$4*'NIFTY MEMBS'!R46</f>
        <v>16577.158125876344</v>
      </c>
      <c r="R57" s="4">
        <f>$R$4*'NIFTY MEMBS'!S46</f>
        <v>18118.458984886871</v>
      </c>
      <c r="S57" s="4">
        <f>$S$4*'NIFTY MEMBS'!T46</f>
        <v>18693.786154133235</v>
      </c>
      <c r="T57" s="4">
        <f>$T$4*'NIFTY MEMBS'!U46</f>
        <v>22713.778228875919</v>
      </c>
      <c r="U57" s="4">
        <f>$U$4*'NIFTY MEMBS'!V46</f>
        <v>18737.802910398452</v>
      </c>
      <c r="V57" s="4">
        <f>$V$4*'NIFTY MEMBS'!W46</f>
        <v>18807.133223437733</v>
      </c>
      <c r="W57" s="4">
        <f>$W$4*'NIFTY MEMBS'!X46</f>
        <v>16463.65280289331</v>
      </c>
      <c r="X57" s="4">
        <f>$X$4*'NIFTY MEMBS'!Y46</f>
        <v>17361.94305407401</v>
      </c>
      <c r="Y57" s="4">
        <f>$Y$4*'NIFTY MEMBS'!Z46</f>
        <v>19139.902933108249</v>
      </c>
      <c r="Z57" s="4">
        <f>$Z$4*'NIFTY MEMBS'!AA46</f>
        <v>18013.610071452877</v>
      </c>
      <c r="AA57" s="4">
        <f>$AA$4*'NIFTY MEMBS'!AB46</f>
        <v>21516.37307416202</v>
      </c>
      <c r="AB57" s="4">
        <f>$AB$4*'NIFTY MEMBS'!AC46</f>
        <v>18648.018648018646</v>
      </c>
      <c r="AC57" s="4">
        <f>$AC$4*'NIFTY MEMBS'!AD46</f>
        <v>16365.9793814433</v>
      </c>
      <c r="AD57" s="4">
        <f>$AD$4*'NIFTY MEMBS'!AE46</f>
        <v>16528.528528528528</v>
      </c>
      <c r="AE57" s="4">
        <f>$AE$4*'NIFTY MEMBS'!AF46</f>
        <v>16779.950918420465</v>
      </c>
      <c r="AF57" s="4">
        <f>$AF$4*'NIFTY MEMBS'!AG46</f>
        <v>18502.592584557307</v>
      </c>
      <c r="AG57" s="4">
        <f>$AG$4*'NIFTY MEMBS'!AH46</f>
        <v>18832.81573498965</v>
      </c>
      <c r="AH57" s="4">
        <f>$AH$4*'NIFTY MEMBS'!AI46</f>
        <v>19790.341317696522</v>
      </c>
      <c r="AI57" s="4">
        <f>$AI$4*'NIFTY MEMBS'!AJ46</f>
        <v>20380.283750182829</v>
      </c>
      <c r="AJ57" s="4">
        <f>$AJ$4*'NIFTY MEMBS'!AK46</f>
        <v>13557.56281819675</v>
      </c>
      <c r="AK57" s="4">
        <f>$AK$4*'NIFTY MEMBS'!AL46</f>
        <v>19610.998505415311</v>
      </c>
      <c r="AL57" s="4">
        <f>$AL$4*'NIFTY MEMBS'!AM46</f>
        <v>19712.607209383252</v>
      </c>
      <c r="AM57" s="4">
        <f>$AM$4*'NIFTY MEMBS'!AN46</f>
        <v>14147.60789751063</v>
      </c>
      <c r="AN57" s="4">
        <f>$AN$4*'NIFTY MEMBS'!AO46</f>
        <v>19895.744073121961</v>
      </c>
      <c r="AO57" s="4">
        <f>$AO$4*'NIFTY MEMBS'!AP46</f>
        <v>19977.316915100451</v>
      </c>
      <c r="AP57" s="4">
        <f>$AP$4*'NIFTY MEMBS'!AQ46</f>
        <v>21642.634286196135</v>
      </c>
      <c r="AQ57" s="4">
        <f>$AQ$4*'NIFTY MEMBS'!AR46</f>
        <v>17469.260791736364</v>
      </c>
      <c r="AR57" s="4">
        <f>$AR$4*'NIFTY MEMBS'!AS46</f>
        <v>18334.968281995945</v>
      </c>
      <c r="AS57" s="4">
        <f>$AS$4*'NIFTY MEMBS'!AT46</f>
        <v>16793.606209250098</v>
      </c>
      <c r="AT57" s="4">
        <f>$AT$4*'NIFTY MEMBS'!AU46</f>
        <v>21684.68298699741</v>
      </c>
      <c r="AU57" s="4">
        <f>$AU$4*'NIFTY MEMBS'!AV46</f>
        <v>20744.322503531457</v>
      </c>
      <c r="AV57" s="4">
        <f>$AV$4*'NIFTY MEMBS'!AW46</f>
        <v>16364.499634769907</v>
      </c>
      <c r="AW57" s="4">
        <f>$AW$4*'NIFTY MEMBS'!AX46</f>
        <v>16799.980881140436</v>
      </c>
      <c r="AX57" s="4">
        <f>$AX$4*'NIFTY MEMBS'!AY46</f>
        <v>20375.489993810606</v>
      </c>
      <c r="AY57" s="4">
        <f t="shared" si="8"/>
        <v>912263.46600152215</v>
      </c>
      <c r="AZ57" s="4">
        <f t="shared" si="9"/>
        <v>93.088108775665518</v>
      </c>
    </row>
    <row r="58" spans="1:52" ht="14.25" customHeight="1" x14ac:dyDescent="0.3">
      <c r="A58" s="2">
        <v>45721</v>
      </c>
      <c r="B58" s="4">
        <f>$B$4*'NIFTY MEMBS'!C47</f>
        <v>19252.405322415554</v>
      </c>
      <c r="C58" s="4">
        <f>$C$4*'NIFTY MEMBS'!D47</f>
        <v>18959.366375732014</v>
      </c>
      <c r="D58" s="4">
        <f>$D$4*'NIFTY MEMBS'!E47</f>
        <v>20282.634580434918</v>
      </c>
      <c r="E58" s="4">
        <f>$E$4*'NIFTY MEMBS'!F47</f>
        <v>17250.300915512653</v>
      </c>
      <c r="F58" s="4">
        <f>$F$4*'NIFTY MEMBS'!G47</f>
        <v>18941.30019865228</v>
      </c>
      <c r="G58" s="4">
        <f>$G$4*'NIFTY MEMBS'!H47</f>
        <v>18415.279878971254</v>
      </c>
      <c r="H58" s="4">
        <f>$H$4*'NIFTY MEMBS'!I47</f>
        <v>18183.266932270915</v>
      </c>
      <c r="I58" s="4">
        <f>$I$4*'NIFTY MEMBS'!J47</f>
        <v>18693.85470048663</v>
      </c>
      <c r="J58" s="4">
        <f>$J$4*'NIFTY MEMBS'!K47</f>
        <v>23931.769353885196</v>
      </c>
      <c r="K58" s="4">
        <f>$K$4*'NIFTY MEMBS'!L47</f>
        <v>17694.727185356689</v>
      </c>
      <c r="L58" s="4">
        <f>$L$4*'NIFTY MEMBS'!M47</f>
        <v>17666.802999318337</v>
      </c>
      <c r="M58" s="4">
        <f>$M$4*'NIFTY MEMBS'!N47</f>
        <v>20729.905516447634</v>
      </c>
      <c r="N58" s="4">
        <f>$N$4*'NIFTY MEMBS'!O47</f>
        <v>17693.705386112913</v>
      </c>
      <c r="O58" s="4">
        <f>$O$4*'NIFTY MEMBS'!P47</f>
        <v>21618.206217848354</v>
      </c>
      <c r="P58" s="4">
        <f>$P$4*'NIFTY MEMBS'!Q47</f>
        <v>16453.882162190435</v>
      </c>
      <c r="Q58" s="4">
        <f>$Q$4*'NIFTY MEMBS'!R47</f>
        <v>16745.945659938094</v>
      </c>
      <c r="R58" s="4">
        <f>$R$4*'NIFTY MEMBS'!S47</f>
        <v>18282.86887394077</v>
      </c>
      <c r="S58" s="4">
        <f>$S$4*'NIFTY MEMBS'!T47</f>
        <v>18929.83765627916</v>
      </c>
      <c r="T58" s="4">
        <f>$T$4*'NIFTY MEMBS'!U47</f>
        <v>22859.680284191829</v>
      </c>
      <c r="U58" s="4">
        <f>$U$4*'NIFTY MEMBS'!V47</f>
        <v>18971.679702506266</v>
      </c>
      <c r="V58" s="4">
        <f>$V$4*'NIFTY MEMBS'!W47</f>
        <v>19553.424246965384</v>
      </c>
      <c r="W58" s="4">
        <f>$W$4*'NIFTY MEMBS'!X47</f>
        <v>16420.97649186257</v>
      </c>
      <c r="X58" s="4">
        <f>$X$4*'NIFTY MEMBS'!Y47</f>
        <v>18260.441454008367</v>
      </c>
      <c r="Y58" s="4">
        <f>$Y$4*'NIFTY MEMBS'!Z47</f>
        <v>19323.907997467821</v>
      </c>
      <c r="Z58" s="4">
        <f>$Z$4*'NIFTY MEMBS'!AA47</f>
        <v>18708.404219122156</v>
      </c>
      <c r="AA58" s="4">
        <f>$AA$4*'NIFTY MEMBS'!AB47</f>
        <v>22148.103153128279</v>
      </c>
      <c r="AB58" s="4">
        <f>$AB$4*'NIFTY MEMBS'!AC47</f>
        <v>18987.678987678988</v>
      </c>
      <c r="AC58" s="4">
        <f>$AC$4*'NIFTY MEMBS'!AD47</f>
        <v>17036.082474226805</v>
      </c>
      <c r="AD58" s="4">
        <f>$AD$4*'NIFTY MEMBS'!AE47</f>
        <v>17105.105105105104</v>
      </c>
      <c r="AE58" s="4">
        <f>$AE$4*'NIFTY MEMBS'!AF47</f>
        <v>16979.02305918964</v>
      </c>
      <c r="AF58" s="4">
        <f>$AF$4*'NIFTY MEMBS'!AG47</f>
        <v>18780.725923676044</v>
      </c>
      <c r="AG58" s="4">
        <f>$AG$4*'NIFTY MEMBS'!AH47</f>
        <v>19060.559006211181</v>
      </c>
      <c r="AH58" s="4">
        <f>$AH$4*'NIFTY MEMBS'!AI47</f>
        <v>20255.94217329572</v>
      </c>
      <c r="AI58" s="4">
        <f>$AI$4*'NIFTY MEMBS'!AJ47</f>
        <v>21369.021500658182</v>
      </c>
      <c r="AJ58" s="4">
        <f>$AJ$4*'NIFTY MEMBS'!AK47</f>
        <v>14261.783544095912</v>
      </c>
      <c r="AK58" s="4">
        <f>$AK$4*'NIFTY MEMBS'!AL47</f>
        <v>19586.429989967855</v>
      </c>
      <c r="AL58" s="4">
        <f>$AL$4*'NIFTY MEMBS'!AM47</f>
        <v>20421.673182813745</v>
      </c>
      <c r="AM58" s="4">
        <f>$AM$4*'NIFTY MEMBS'!AN47</f>
        <v>14448.398073018727</v>
      </c>
      <c r="AN58" s="4">
        <f>$AN$4*'NIFTY MEMBS'!AO47</f>
        <v>20289.91716652385</v>
      </c>
      <c r="AO58" s="4">
        <f>$AO$4*'NIFTY MEMBS'!AP47</f>
        <v>20129.617627997406</v>
      </c>
      <c r="AP58" s="4">
        <f>$AP$4*'NIFTY MEMBS'!AQ47</f>
        <v>22172.189897967786</v>
      </c>
      <c r="AQ58" s="4">
        <f>$AQ$4*'NIFTY MEMBS'!AR47</f>
        <v>18054.406197728673</v>
      </c>
      <c r="AR58" s="4">
        <f>$AR$4*'NIFTY MEMBS'!AS47</f>
        <v>18569.746909947029</v>
      </c>
      <c r="AS58" s="4">
        <f>$AS$4*'NIFTY MEMBS'!AT47</f>
        <v>16864.844327749619</v>
      </c>
      <c r="AT58" s="4">
        <f>$AT$4*'NIFTY MEMBS'!AU47</f>
        <v>21629.863121648705</v>
      </c>
      <c r="AU58" s="4">
        <f>$AU$4*'NIFTY MEMBS'!AV47</f>
        <v>20793.219602303598</v>
      </c>
      <c r="AV58" s="4">
        <f>$AV$4*'NIFTY MEMBS'!AW47</f>
        <v>16455.807158509862</v>
      </c>
      <c r="AW58" s="4">
        <f>$AW$4*'NIFTY MEMBS'!AX47</f>
        <v>17153.201811511943</v>
      </c>
      <c r="AX58" s="4">
        <f>$AX$4*'NIFTY MEMBS'!AY47</f>
        <v>20050.546729936046</v>
      </c>
      <c r="AY58" s="4">
        <f t="shared" si="8"/>
        <v>926428.46103680902</v>
      </c>
      <c r="AZ58" s="4">
        <f t="shared" si="9"/>
        <v>94.533516432327446</v>
      </c>
    </row>
    <row r="59" spans="1:52" ht="14.25" customHeight="1" x14ac:dyDescent="0.3">
      <c r="A59" s="2">
        <v>45722</v>
      </c>
      <c r="B59" s="4">
        <f>$B$4*'NIFTY MEMBS'!C48</f>
        <v>19809.211873080858</v>
      </c>
      <c r="C59" s="4">
        <f>$C$4*'NIFTY MEMBS'!D48</f>
        <v>18972.828647714781</v>
      </c>
      <c r="D59" s="4">
        <f>$D$4*'NIFTY MEMBS'!E48</f>
        <v>20391.050949426586</v>
      </c>
      <c r="E59" s="4">
        <f>$E$4*'NIFTY MEMBS'!F48</f>
        <v>17515.592894746442</v>
      </c>
      <c r="F59" s="4">
        <f>$F$4*'NIFTY MEMBS'!G48</f>
        <v>18977.914540567908</v>
      </c>
      <c r="G59" s="4">
        <f>$G$4*'NIFTY MEMBS'!H48</f>
        <v>18458.144225920321</v>
      </c>
      <c r="H59" s="4">
        <f>$H$4*'NIFTY MEMBS'!I48</f>
        <v>18229.482071713144</v>
      </c>
      <c r="I59" s="4">
        <f>$I$4*'NIFTY MEMBS'!J48</f>
        <v>19111.580035312865</v>
      </c>
      <c r="J59" s="4">
        <f>$J$4*'NIFTY MEMBS'!K48</f>
        <v>24255.331420414401</v>
      </c>
      <c r="K59" s="4">
        <f>$K$4*'NIFTY MEMBS'!L48</f>
        <v>17723.122624612293</v>
      </c>
      <c r="L59" s="4">
        <f>$L$4*'NIFTY MEMBS'!M48</f>
        <v>17777.232447171096</v>
      </c>
      <c r="M59" s="4">
        <f>$M$4*'NIFTY MEMBS'!N48</f>
        <v>20817.429940312089</v>
      </c>
      <c r="N59" s="4">
        <f>$N$4*'NIFTY MEMBS'!O48</f>
        <v>17796.236210253082</v>
      </c>
      <c r="O59" s="4">
        <f>$O$4*'NIFTY MEMBS'!P48</f>
        <v>21490.717960187874</v>
      </c>
      <c r="P59" s="4">
        <f>$P$4*'NIFTY MEMBS'!Q48</f>
        <v>16584.638719631788</v>
      </c>
      <c r="Q59" s="4">
        <f>$Q$4*'NIFTY MEMBS'!R48</f>
        <v>17079.816926373711</v>
      </c>
      <c r="R59" s="4">
        <f>$R$4*'NIFTY MEMBS'!S48</f>
        <v>18334.061326111645</v>
      </c>
      <c r="S59" s="4">
        <f>$S$4*'NIFTY MEMBS'!T48</f>
        <v>19296.510543011755</v>
      </c>
      <c r="T59" s="4">
        <f>$T$4*'NIFTY MEMBS'!U48</f>
        <v>23413.47373763004</v>
      </c>
      <c r="U59" s="4">
        <f>$U$4*'NIFTY MEMBS'!V48</f>
        <v>19184.043517679056</v>
      </c>
      <c r="V59" s="4">
        <f>$V$4*'NIFTY MEMBS'!W48</f>
        <v>20254.757979919075</v>
      </c>
      <c r="W59" s="4">
        <f>$W$4*'NIFTY MEMBS'!X48</f>
        <v>16305.96745027125</v>
      </c>
      <c r="X59" s="4">
        <f>$X$4*'NIFTY MEMBS'!Y48</f>
        <v>18646.098301468777</v>
      </c>
      <c r="Y59" s="4">
        <f>$Y$4*'NIFTY MEMBS'!Z48</f>
        <v>19632.833931209116</v>
      </c>
      <c r="Z59" s="4">
        <f>$Z$4*'NIFTY MEMBS'!AA48</f>
        <v>18574.345015311334</v>
      </c>
      <c r="AA59" s="4">
        <f>$AA$4*'NIFTY MEMBS'!AB48</f>
        <v>22333.646253244242</v>
      </c>
      <c r="AB59" s="4">
        <f>$AB$4*'NIFTY MEMBS'!AC48</f>
        <v>19040.959040959038</v>
      </c>
      <c r="AC59" s="4">
        <f>$AC$4*'NIFTY MEMBS'!AD48</f>
        <v>17181.056701030928</v>
      </c>
      <c r="AD59" s="4">
        <f>$AD$4*'NIFTY MEMBS'!AE48</f>
        <v>17074.407741074407</v>
      </c>
      <c r="AE59" s="4">
        <f>$AE$4*'NIFTY MEMBS'!AF48</f>
        <v>17075.0124420088</v>
      </c>
      <c r="AF59" s="4">
        <f>$AF$4*'NIFTY MEMBS'!AG48</f>
        <v>19679.343935087752</v>
      </c>
      <c r="AG59" s="4">
        <f>$AG$4*'NIFTY MEMBS'!AH48</f>
        <v>19803.312629399588</v>
      </c>
      <c r="AH59" s="4">
        <f>$AH$4*'NIFTY MEMBS'!AI48</f>
        <v>20294.665412771294</v>
      </c>
      <c r="AI59" s="4">
        <f>$AI$4*'NIFTY MEMBS'!AJ48</f>
        <v>22003.802837501826</v>
      </c>
      <c r="AJ59" s="4">
        <f>$AJ$4*'NIFTY MEMBS'!AK48</f>
        <v>14448.349482673675</v>
      </c>
      <c r="AK59" s="4">
        <f>$AK$4*'NIFTY MEMBS'!AL48</f>
        <v>19602.809000266159</v>
      </c>
      <c r="AL59" s="4">
        <f>$AL$4*'NIFTY MEMBS'!AM48</f>
        <v>20856.037500255865</v>
      </c>
      <c r="AM59" s="4">
        <f>$AM$4*'NIFTY MEMBS'!AN48</f>
        <v>14344.833440623652</v>
      </c>
      <c r="AN59" s="4">
        <f>$AN$4*'NIFTY MEMBS'!AO48</f>
        <v>20298.486146815194</v>
      </c>
      <c r="AO59" s="4">
        <f>$AO$4*'NIFTY MEMBS'!AP48</f>
        <v>20034.024627349318</v>
      </c>
      <c r="AP59" s="4">
        <f>$AP$4*'NIFTY MEMBS'!AQ48</f>
        <v>23001.939455266041</v>
      </c>
      <c r="AQ59" s="4">
        <f>$AQ$4*'NIFTY MEMBS'!AR48</f>
        <v>17647.680253543447</v>
      </c>
      <c r="AR59" s="4">
        <f>$AR$4*'NIFTY MEMBS'!AS48</f>
        <v>19119.089660584657</v>
      </c>
      <c r="AS59" s="4">
        <f>$AS$4*'NIFTY MEMBS'!AT48</f>
        <v>17026.860162965677</v>
      </c>
      <c r="AT59" s="4">
        <f>$AT$4*'NIFTY MEMBS'!AU48</f>
        <v>22076.987648399085</v>
      </c>
      <c r="AU59" s="4">
        <f>$AU$4*'NIFTY MEMBS'!AV48</f>
        <v>20822.557861566882</v>
      </c>
      <c r="AV59" s="4">
        <f>$AV$4*'NIFTY MEMBS'!AW48</f>
        <v>16655.953250547846</v>
      </c>
      <c r="AW59" s="4">
        <f>$AW$4*'NIFTY MEMBS'!AX48</f>
        <v>17439.984704912349</v>
      </c>
      <c r="AX59" s="4">
        <f>$AX$4*'NIFTY MEMBS'!AY48</f>
        <v>20047.452032184861</v>
      </c>
      <c r="AY59" s="4">
        <f t="shared" si="8"/>
        <v>936541.67551108391</v>
      </c>
      <c r="AZ59" s="4">
        <f t="shared" si="9"/>
        <v>95.56547709296774</v>
      </c>
    </row>
    <row r="60" spans="1:52" ht="14.25" customHeight="1" x14ac:dyDescent="0.3">
      <c r="A60" s="2">
        <v>45723</v>
      </c>
      <c r="B60" s="4">
        <f>$B$4*'NIFTY MEMBS'!C49</f>
        <v>20467.553735926303</v>
      </c>
      <c r="C60" s="4">
        <f>$C$4*'NIFTY MEMBS'!D49</f>
        <v>18950.840270142926</v>
      </c>
      <c r="D60" s="4">
        <f>$D$4*'NIFTY MEMBS'!E49</f>
        <v>20438.678949677258</v>
      </c>
      <c r="E60" s="4">
        <f>$E$4*'NIFTY MEMBS'!F49</f>
        <v>17562.280392466779</v>
      </c>
      <c r="F60" s="4">
        <f>$F$4*'NIFTY MEMBS'!G49</f>
        <v>18923.382541970161</v>
      </c>
      <c r="G60" s="4">
        <f>$G$4*'NIFTY MEMBS'!H49</f>
        <v>18475.794251134641</v>
      </c>
      <c r="H60" s="4">
        <f>$H$4*'NIFTY MEMBS'!I49</f>
        <v>17912.350597609562</v>
      </c>
      <c r="I60" s="4">
        <f>$I$4*'NIFTY MEMBS'!J49</f>
        <v>18987.554368890233</v>
      </c>
      <c r="J60" s="4">
        <f>$J$4*'NIFTY MEMBS'!K49</f>
        <v>24236.875117154268</v>
      </c>
      <c r="K60" s="4">
        <f>$K$4*'NIFTY MEMBS'!L49</f>
        <v>17644.489100519851</v>
      </c>
      <c r="L60" s="4">
        <f>$L$4*'NIFTY MEMBS'!M49</f>
        <v>17694.342194955691</v>
      </c>
      <c r="M60" s="4">
        <f>$M$4*'NIFTY MEMBS'!N49</f>
        <v>20813.415058483446</v>
      </c>
      <c r="N60" s="4">
        <f>$N$4*'NIFTY MEMBS'!O49</f>
        <v>17701.817001946787</v>
      </c>
      <c r="O60" s="4">
        <f>$O$4*'NIFTY MEMBS'!P49</f>
        <v>21643.927532990383</v>
      </c>
      <c r="P60" s="4">
        <f>$P$4*'NIFTY MEMBS'!Q49</f>
        <v>16296.974293260808</v>
      </c>
      <c r="Q60" s="4">
        <f>$Q$4*'NIFTY MEMBS'!R49</f>
        <v>17030.080160850815</v>
      </c>
      <c r="R60" s="4">
        <f>$R$4*'NIFTY MEMBS'!S49</f>
        <v>18489.385865292214</v>
      </c>
      <c r="S60" s="4">
        <f>$S$4*'NIFTY MEMBS'!T49</f>
        <v>19362.754245195003</v>
      </c>
      <c r="T60" s="4">
        <f>$T$4*'NIFTY MEMBS'!U49</f>
        <v>23411.570667343312</v>
      </c>
      <c r="U60" s="4">
        <f>$U$4*'NIFTY MEMBS'!V49</f>
        <v>18927.424435668516</v>
      </c>
      <c r="V60" s="4">
        <f>$V$4*'NIFTY MEMBS'!W49</f>
        <v>19754.233478195714</v>
      </c>
      <c r="W60" s="4">
        <f>$W$4*'NIFTY MEMBS'!X49</f>
        <v>15683.905967450273</v>
      </c>
      <c r="X60" s="4">
        <f>$X$4*'NIFTY MEMBS'!Y49</f>
        <v>18782.309017805856</v>
      </c>
      <c r="Y60" s="4">
        <f>$Y$4*'NIFTY MEMBS'!Z49</f>
        <v>19657.311669128507</v>
      </c>
      <c r="Z60" s="4">
        <f>$Z$4*'NIFTY MEMBS'!AA49</f>
        <v>18849.268458659411</v>
      </c>
      <c r="AA60" s="4">
        <f>$AA$4*'NIFTY MEMBS'!AB49</f>
        <v>22334.750676459218</v>
      </c>
      <c r="AB60" s="4">
        <f>$AB$4*'NIFTY MEMBS'!AC49</f>
        <v>18967.698967698969</v>
      </c>
      <c r="AC60" s="4">
        <f>$AC$4*'NIFTY MEMBS'!AD49</f>
        <v>16965.206185567011</v>
      </c>
      <c r="AD60" s="4">
        <f>$AD$4*'NIFTY MEMBS'!AE49</f>
        <v>17305.305305305305</v>
      </c>
      <c r="AE60" s="4">
        <f>$AE$4*'NIFTY MEMBS'!AF49</f>
        <v>17332.433313693076</v>
      </c>
      <c r="AF60" s="4">
        <f>$AF$4*'NIFTY MEMBS'!AG49</f>
        <v>19699.303581888787</v>
      </c>
      <c r="AG60" s="4">
        <f>$AG$4*'NIFTY MEMBS'!AH49</f>
        <v>19702.38095238095</v>
      </c>
      <c r="AH60" s="4">
        <f>$AH$4*'NIFTY MEMBS'!AI49</f>
        <v>20638.011469454745</v>
      </c>
      <c r="AI60" s="4">
        <f>$AI$4*'NIFTY MEMBS'!AJ49</f>
        <v>22167.617376042122</v>
      </c>
      <c r="AJ60" s="4">
        <f>$AJ$4*'NIFTY MEMBS'!AK49</f>
        <v>14571.193956314668</v>
      </c>
      <c r="AK60" s="4">
        <f>$AK$4*'NIFTY MEMBS'!AL49</f>
        <v>19714.186270294616</v>
      </c>
      <c r="AL60" s="4">
        <f>$AL$4*'NIFTY MEMBS'!AM49</f>
        <v>20881.829160952242</v>
      </c>
      <c r="AM60" s="4">
        <f>$AM$4*'NIFTY MEMBS'!AN49</f>
        <v>14147.749379248875</v>
      </c>
      <c r="AN60" s="4">
        <f>$AN$4*'NIFTY MEMBS'!AO49</f>
        <v>20159.954298771776</v>
      </c>
      <c r="AO60" s="4">
        <f>$AO$4*'NIFTY MEMBS'!AP49</f>
        <v>20259.235255994812</v>
      </c>
      <c r="AP60" s="4">
        <f>$AP$4*'NIFTY MEMBS'!AQ49</f>
        <v>23318.998229193017</v>
      </c>
      <c r="AQ60" s="4">
        <f>$AQ$4*'NIFTY MEMBS'!AR49</f>
        <v>17517.387093934325</v>
      </c>
      <c r="AR60" s="4">
        <f>$AR$4*'NIFTY MEMBS'!AS49</f>
        <v>19075.927015891702</v>
      </c>
      <c r="AS60" s="4">
        <f>$AS$4*'NIFTY MEMBS'!AT49</f>
        <v>16869.457843995304</v>
      </c>
      <c r="AT60" s="4">
        <f>$AT$4*'NIFTY MEMBS'!AU49</f>
        <v>21614.445034519384</v>
      </c>
      <c r="AU60" s="4">
        <f>$AU$4*'NIFTY MEMBS'!AV49</f>
        <v>20907.312832771921</v>
      </c>
      <c r="AV60" s="4">
        <f>$AV$4*'NIFTY MEMBS'!AW49</f>
        <v>16555.880204528854</v>
      </c>
      <c r="AW60" s="4">
        <f>$AW$4*'NIFTY MEMBS'!AX49</f>
        <v>17457.908635749875</v>
      </c>
      <c r="AX60" s="4">
        <f>$AX$4*'NIFTY MEMBS'!AY49</f>
        <v>19326.387456158449</v>
      </c>
      <c r="AY60" s="4">
        <f t="shared" si="8"/>
        <v>935189.07986952865</v>
      </c>
      <c r="AZ60" s="4">
        <f t="shared" si="9"/>
        <v>95.42745712954374</v>
      </c>
    </row>
    <row r="61" spans="1:52" ht="14.25" customHeight="1" x14ac:dyDescent="0.3">
      <c r="A61" s="2">
        <v>45726</v>
      </c>
      <c r="B61" s="4">
        <f>$B$4*'NIFTY MEMBS'!C50</f>
        <v>20280.859774820881</v>
      </c>
      <c r="C61" s="4">
        <f>$C$4*'NIFTY MEMBS'!D50</f>
        <v>18931.31997576791</v>
      </c>
      <c r="D61" s="4">
        <f>$D$4*'NIFTY MEMBS'!E50</f>
        <v>20441.812370746382</v>
      </c>
      <c r="E61" s="4">
        <f>$E$4*'NIFTY MEMBS'!F50</f>
        <v>17457.476686646645</v>
      </c>
      <c r="F61" s="4">
        <f>$F$4*'NIFTY MEMBS'!G50</f>
        <v>18928.05671327854</v>
      </c>
      <c r="G61" s="4">
        <f>$G$4*'NIFTY MEMBS'!H50</f>
        <v>18378.719112455874</v>
      </c>
      <c r="H61" s="4">
        <f>$H$4*'NIFTY MEMBS'!I50</f>
        <v>18076.494023904383</v>
      </c>
      <c r="I61" s="4">
        <f>$I$4*'NIFTY MEMBS'!J50</f>
        <v>19359.631368158134</v>
      </c>
      <c r="J61" s="4">
        <f>$J$4*'NIFTY MEMBS'!K50</f>
        <v>24058.368059060169</v>
      </c>
      <c r="K61" s="4">
        <f>$K$4*'NIFTY MEMBS'!L50</f>
        <v>17692.542920798565</v>
      </c>
      <c r="L61" s="4">
        <f>$L$4*'NIFTY MEMBS'!M50</f>
        <v>17328.970688479891</v>
      </c>
      <c r="M61" s="4">
        <f>$M$4*'NIFTY MEMBS'!N50</f>
        <v>20674.054049231374</v>
      </c>
      <c r="N61" s="4">
        <f>$N$4*'NIFTY MEMBS'!O50</f>
        <v>17537.962362102531</v>
      </c>
      <c r="O61" s="4">
        <f>$O$4*'NIFTY MEMBS'!P50</f>
        <v>21491.2771192127</v>
      </c>
      <c r="P61" s="4">
        <f>$P$4*'NIFTY MEMBS'!Q50</f>
        <v>16206.490755511388</v>
      </c>
      <c r="Q61" s="4">
        <f>$Q$4*'NIFTY MEMBS'!R50</f>
        <v>17053.361200031744</v>
      </c>
      <c r="R61" s="4">
        <f>$R$4*'NIFTY MEMBS'!S50</f>
        <v>18380.53638507906</v>
      </c>
      <c r="S61" s="4">
        <f>$S$4*'NIFTY MEMBS'!T50</f>
        <v>19329.165889158423</v>
      </c>
      <c r="T61" s="4">
        <f>$T$4*'NIFTY MEMBS'!U50</f>
        <v>23348.769347881247</v>
      </c>
      <c r="U61" s="4">
        <f>$U$4*'NIFTY MEMBS'!V50</f>
        <v>18604.422453401359</v>
      </c>
      <c r="V61" s="4">
        <f>$V$4*'NIFTY MEMBS'!W50</f>
        <v>19745.242020080921</v>
      </c>
      <c r="W61" s="4">
        <f>$W$4*'NIFTY MEMBS'!X50</f>
        <v>15282.459312839061</v>
      </c>
      <c r="X61" s="4">
        <f>$X$4*'NIFTY MEMBS'!Y50</f>
        <v>18756.051530319193</v>
      </c>
      <c r="Y61" s="4">
        <f>$Y$4*'NIFTY MEMBS'!Z50</f>
        <v>18838.573538721252</v>
      </c>
      <c r="Z61" s="4">
        <f>$Z$4*'NIFTY MEMBS'!AA50</f>
        <v>18532.153793807418</v>
      </c>
      <c r="AA61" s="4">
        <f>$AA$4*'NIFTY MEMBS'!AB50</f>
        <v>22386.658567563089</v>
      </c>
      <c r="AB61" s="4">
        <f>$AB$4*'NIFTY MEMBS'!AC50</f>
        <v>18707.958707958707</v>
      </c>
      <c r="AC61" s="4">
        <f>$AC$4*'NIFTY MEMBS'!AD50</f>
        <v>17480.670103092787</v>
      </c>
      <c r="AD61" s="4">
        <f>$AD$4*'NIFTY MEMBS'!AE50</f>
        <v>17301.301301301301</v>
      </c>
      <c r="AE61" s="4">
        <f>$AE$4*'NIFTY MEMBS'!AF50</f>
        <v>16894.589013277196</v>
      </c>
      <c r="AF61" s="4">
        <f>$AF$4*'NIFTY MEMBS'!AG50</f>
        <v>19773.935304710041</v>
      </c>
      <c r="AG61" s="4">
        <f>$AG$4*'NIFTY MEMBS'!AH50</f>
        <v>19417.701863354036</v>
      </c>
      <c r="AH61" s="4">
        <f>$AH$4*'NIFTY MEMBS'!AI50</f>
        <v>20729.840865925398</v>
      </c>
      <c r="AI61" s="4">
        <f>$AI$4*'NIFTY MEMBS'!AJ50</f>
        <v>22093.023255813954</v>
      </c>
      <c r="AJ61" s="4">
        <f>$AJ$4*'NIFTY MEMBS'!AK50</f>
        <v>14222.368204959766</v>
      </c>
      <c r="AK61" s="4">
        <f>$AK$4*'NIFTY MEMBS'!AL50</f>
        <v>19523.37080031939</v>
      </c>
      <c r="AL61" s="4">
        <f>$AL$4*'NIFTY MEMBS'!AM50</f>
        <v>20430.88449020531</v>
      </c>
      <c r="AM61" s="4">
        <f>$AM$4*'NIFTY MEMBS'!AN50</f>
        <v>13581.397981055596</v>
      </c>
      <c r="AN61" s="4">
        <f>$AN$4*'NIFTY MEMBS'!AO50</f>
        <v>20272.065124250214</v>
      </c>
      <c r="AO61" s="4">
        <f>$AO$4*'NIFTY MEMBS'!AP50</f>
        <v>20281.918340894357</v>
      </c>
      <c r="AP61" s="4">
        <f>$AP$4*'NIFTY MEMBS'!AQ50</f>
        <v>23244.792984231382</v>
      </c>
      <c r="AQ61" s="4">
        <f>$AQ$4*'NIFTY MEMBS'!AR50</f>
        <v>17452.827420254129</v>
      </c>
      <c r="AR61" s="4">
        <f>$AR$4*'NIFTY MEMBS'!AS50</f>
        <v>19132.169249885555</v>
      </c>
      <c r="AS61" s="4">
        <f>$AS$4*'NIFTY MEMBS'!AT50</f>
        <v>16688.987943796517</v>
      </c>
      <c r="AT61" s="4">
        <f>$AT$4*'NIFTY MEMBS'!AU50</f>
        <v>21434.56735134394</v>
      </c>
      <c r="AU61" s="4">
        <f>$AU$4*'NIFTY MEMBS'!AV50</f>
        <v>20804.085624252963</v>
      </c>
      <c r="AV61" s="4">
        <f>$AV$4*'NIFTY MEMBS'!AW50</f>
        <v>16365.230094959827</v>
      </c>
      <c r="AW61" s="4">
        <f>$AW$4*'NIFTY MEMBS'!AX50</f>
        <v>17125.0014936609</v>
      </c>
      <c r="AX61" s="4">
        <f>$AX$4*'NIFTY MEMBS'!AY50</f>
        <v>18578.502166288428</v>
      </c>
      <c r="AY61" s="4">
        <f t="shared" si="8"/>
        <v>928638.61970485013</v>
      </c>
      <c r="AZ61" s="4">
        <f t="shared" si="9"/>
        <v>94.759042827025525</v>
      </c>
    </row>
    <row r="62" spans="1:52" ht="14.25" customHeight="1" x14ac:dyDescent="0.3">
      <c r="A62" s="2">
        <v>45727</v>
      </c>
      <c r="B62" s="4">
        <f>$B$4*'NIFTY MEMBS'!C51</f>
        <v>20426.612077789148</v>
      </c>
      <c r="C62" s="4">
        <f>$C$4*'NIFTY MEMBS'!D51</f>
        <v>18908.88285579663</v>
      </c>
      <c r="D62" s="4">
        <f>$D$4*'NIFTY MEMBS'!E51</f>
        <v>20842.890267594161</v>
      </c>
      <c r="E62" s="4">
        <f>$E$4*'NIFTY MEMBS'!F51</f>
        <v>17387.688604116767</v>
      </c>
      <c r="F62" s="4">
        <f>$F$4*'NIFTY MEMBS'!G51</f>
        <v>19404.043158181747</v>
      </c>
      <c r="G62" s="4">
        <f>$G$4*'NIFTY MEMBS'!H51</f>
        <v>18402.67271810388</v>
      </c>
      <c r="H62" s="4">
        <f>$H$4*'NIFTY MEMBS'!I51</f>
        <v>17653.120849933595</v>
      </c>
      <c r="I62" s="4">
        <f>$I$4*'NIFTY MEMBS'!J51</f>
        <v>19094.354248309719</v>
      </c>
      <c r="J62" s="4">
        <f>$J$4*'NIFTY MEMBS'!K51</f>
        <v>24052.023704814499</v>
      </c>
      <c r="K62" s="4">
        <f>$K$4*'NIFTY MEMBS'!L51</f>
        <v>17744.965270193523</v>
      </c>
      <c r="L62" s="4">
        <f>$L$4*'NIFTY MEMBS'!M51</f>
        <v>17425.766871165644</v>
      </c>
      <c r="M62" s="4">
        <f>$M$4*'NIFTY MEMBS'!N51</f>
        <v>20782.723517393362</v>
      </c>
      <c r="N62" s="4">
        <f>$N$4*'NIFTY MEMBS'!O51</f>
        <v>17168.072680077868</v>
      </c>
      <c r="O62" s="4">
        <f>$O$4*'NIFTY MEMBS'!P51</f>
        <v>21641.690896891076</v>
      </c>
      <c r="P62" s="4">
        <f>$P$4*'NIFTY MEMBS'!Q51</f>
        <v>16400.533486754361</v>
      </c>
      <c r="Q62" s="4">
        <f>$Q$4*'NIFTY MEMBS'!R51</f>
        <v>17516.865525543002</v>
      </c>
      <c r="R62" s="4">
        <f>$R$4*'NIFTY MEMBS'!S51</f>
        <v>18239.27666637547</v>
      </c>
      <c r="S62" s="4">
        <f>$S$4*'NIFTY MEMBS'!T51</f>
        <v>19138.831871617844</v>
      </c>
      <c r="T62" s="4">
        <f>$T$4*'NIFTY MEMBS'!U51</f>
        <v>22905.353971073331</v>
      </c>
      <c r="U62" s="4">
        <f>$U$4*'NIFTY MEMBS'!V51</f>
        <v>18724.895124237442</v>
      </c>
      <c r="V62" s="4">
        <f>$V$4*'NIFTY MEMBS'!W51</f>
        <v>19799.190768769669</v>
      </c>
      <c r="W62" s="4">
        <f>$W$4*'NIFTY MEMBS'!X51</f>
        <v>15050.271247739603</v>
      </c>
      <c r="X62" s="4">
        <f>$X$4*'NIFTY MEMBS'!Y51</f>
        <v>18626.405185853775</v>
      </c>
      <c r="Y62" s="4">
        <f>$Y$4*'NIFTY MEMBS'!Z51</f>
        <v>19136.526693395233</v>
      </c>
      <c r="Z62" s="4">
        <f>$Z$4*'NIFTY MEMBS'!AA51</f>
        <v>18862.198026539641</v>
      </c>
      <c r="AA62" s="4">
        <f>$AA$4*'NIFTY MEMBS'!AB51</f>
        <v>22500.414158705615</v>
      </c>
      <c r="AB62" s="4">
        <f>$AB$4*'NIFTY MEMBS'!AC51</f>
        <v>18498.168498168496</v>
      </c>
      <c r="AC62" s="4">
        <f>$AC$4*'NIFTY MEMBS'!AD51</f>
        <v>17222.938144329899</v>
      </c>
      <c r="AD62" s="4">
        <f>$AD$4*'NIFTY MEMBS'!AE51</f>
        <v>17298.631965298631</v>
      </c>
      <c r="AE62" s="4">
        <f>$AE$4*'NIFTY MEMBS'!AF51</f>
        <v>17161.277036342108</v>
      </c>
      <c r="AF62" s="4">
        <f>$AF$4*'NIFTY MEMBS'!AG51</f>
        <v>19850.302648992252</v>
      </c>
      <c r="AG62" s="4">
        <f>$AG$4*'NIFTY MEMBS'!AH51</f>
        <v>19619.565217391304</v>
      </c>
      <c r="AH62" s="4">
        <f>$AH$4*'NIFTY MEMBS'!AI51</f>
        <v>20757.500322693668</v>
      </c>
      <c r="AI62" s="4">
        <f>$AI$4*'NIFTY MEMBS'!AJ51</f>
        <v>22049.144361562088</v>
      </c>
      <c r="AJ62" s="4">
        <f>$AJ$4*'NIFTY MEMBS'!AK51</f>
        <v>14292.00197076696</v>
      </c>
      <c r="AK62" s="4">
        <f>$AK$4*'NIFTY MEMBS'!AL51</f>
        <v>19765.780152734271</v>
      </c>
      <c r="AL62" s="4">
        <f>$AL$4*'NIFTY MEMBS'!AM51</f>
        <v>20410.414918224058</v>
      </c>
      <c r="AM62" s="4">
        <f>$AM$4*'NIFTY MEMBS'!AN51</f>
        <v>14135.298986283346</v>
      </c>
      <c r="AN62" s="4">
        <f>$AN$4*'NIFTY MEMBS'!AO51</f>
        <v>20240.645529848611</v>
      </c>
      <c r="AO62" s="4">
        <f>$AO$4*'NIFTY MEMBS'!AP51</f>
        <v>20639.987038237199</v>
      </c>
      <c r="AP62" s="4">
        <f>$AP$4*'NIFTY MEMBS'!AQ51</f>
        <v>23458.976304916094</v>
      </c>
      <c r="AQ62" s="4">
        <f>$AQ$4*'NIFTY MEMBS'!AR51</f>
        <v>17363.030783226222</v>
      </c>
      <c r="AR62" s="4">
        <f>$AR$4*'NIFTY MEMBS'!AS51</f>
        <v>18909.816231770321</v>
      </c>
      <c r="AS62" s="4">
        <f>$AS$4*'NIFTY MEMBS'!AT51</f>
        <v>16648.823214128213</v>
      </c>
      <c r="AT62" s="4">
        <f>$AT$4*'NIFTY MEMBS'!AU51</f>
        <v>21867.986911757143</v>
      </c>
      <c r="AU62" s="4">
        <f>$AU$4*'NIFTY MEMBS'!AV51</f>
        <v>20859.502336194721</v>
      </c>
      <c r="AV62" s="4">
        <f>$AV$4*'NIFTY MEMBS'!AW51</f>
        <v>16313.367421475532</v>
      </c>
      <c r="AW62" s="4">
        <f>$AW$4*'NIFTY MEMBS'!AX51</f>
        <v>17449.066163203363</v>
      </c>
      <c r="AX62" s="4">
        <f>$AX$4*'NIFTY MEMBS'!AY51</f>
        <v>13533.113265937696</v>
      </c>
      <c r="AY62" s="4">
        <f t="shared" si="8"/>
        <v>926181.60987044906</v>
      </c>
      <c r="AZ62" s="4">
        <f t="shared" si="9"/>
        <v>94.508327537800923</v>
      </c>
    </row>
    <row r="63" spans="1:52" ht="14.25" customHeight="1" x14ac:dyDescent="0.3">
      <c r="A63" s="2">
        <v>45728</v>
      </c>
      <c r="B63" s="4">
        <f>$B$4*'NIFTY MEMBS'!C52</f>
        <v>20586.284544524053</v>
      </c>
      <c r="C63" s="4">
        <f>$C$4*'NIFTY MEMBS'!D52</f>
        <v>19196.751105028161</v>
      </c>
      <c r="D63" s="4">
        <f>$D$4*'NIFTY MEMBS'!E52</f>
        <v>20590.963213636645</v>
      </c>
      <c r="E63" s="4">
        <f>$E$4*'NIFTY MEMBS'!F52</f>
        <v>17051.635886150591</v>
      </c>
      <c r="F63" s="4">
        <f>$F$4*'NIFTY MEMBS'!G52</f>
        <v>19381.451330191252</v>
      </c>
      <c r="G63" s="4">
        <f>$G$4*'NIFTY MEMBS'!H52</f>
        <v>18231.215330307612</v>
      </c>
      <c r="H63" s="4">
        <f>$H$4*'NIFTY MEMBS'!I52</f>
        <v>16901.460823373171</v>
      </c>
      <c r="I63" s="4">
        <f>$I$4*'NIFTY MEMBS'!J52</f>
        <v>18887.214159596919</v>
      </c>
      <c r="J63" s="4">
        <f>$J$4*'NIFTY MEMBS'!K52</f>
        <v>24467.578907905932</v>
      </c>
      <c r="K63" s="4">
        <f>$K$4*'NIFTY MEMBS'!L52</f>
        <v>18015.814075400809</v>
      </c>
      <c r="L63" s="4">
        <f>$L$4*'NIFTY MEMBS'!M52</f>
        <v>17415.950920245399</v>
      </c>
      <c r="M63" s="4">
        <f>$M$4*'NIFTY MEMBS'!N52</f>
        <v>20770.500432715045</v>
      </c>
      <c r="N63" s="4">
        <f>$N$4*'NIFTY MEMBS'!O52</f>
        <v>17218.040233614538</v>
      </c>
      <c r="O63" s="4">
        <f>$O$4*'NIFTY MEMBS'!P52</f>
        <v>22171.21449340192</v>
      </c>
      <c r="P63" s="4">
        <f>$P$4*'NIFTY MEMBS'!Q52</f>
        <v>16115.484191532203</v>
      </c>
      <c r="Q63" s="4">
        <f>$Q$4*'NIFTY MEMBS'!R52</f>
        <v>17744.913886610753</v>
      </c>
      <c r="R63" s="4">
        <f>$R$4*'NIFTY MEMBS'!S52</f>
        <v>18381.060539879443</v>
      </c>
      <c r="S63" s="4">
        <f>$S$4*'NIFTY MEMBS'!T52</f>
        <v>18869.192013435346</v>
      </c>
      <c r="T63" s="4">
        <f>$T$4*'NIFTY MEMBS'!U52</f>
        <v>23083.608221263636</v>
      </c>
      <c r="U63" s="4">
        <f>$U$4*'NIFTY MEMBS'!V52</f>
        <v>18556.171919418535</v>
      </c>
      <c r="V63" s="4">
        <f>$V$4*'NIFTY MEMBS'!W52</f>
        <v>19790.199310654876</v>
      </c>
      <c r="W63" s="4">
        <f>$W$4*'NIFTY MEMBS'!X52</f>
        <v>14861.482820976493</v>
      </c>
      <c r="X63" s="4">
        <f>$X$4*'NIFTY MEMBS'!Y52</f>
        <v>18516.451957003363</v>
      </c>
      <c r="Y63" s="4">
        <f>$Y$4*'NIFTY MEMBS'!Z52</f>
        <v>18940.704790040094</v>
      </c>
      <c r="Z63" s="4">
        <f>$Z$4*'NIFTY MEMBS'!AA52</f>
        <v>18838.38040149711</v>
      </c>
      <c r="AA63" s="4">
        <f>$AA$4*'NIFTY MEMBS'!AB52</f>
        <v>22318.18432823458</v>
      </c>
      <c r="AB63" s="4">
        <f>$AB$4*'NIFTY MEMBS'!AC52</f>
        <v>17885.447885447884</v>
      </c>
      <c r="AC63" s="4">
        <f>$AC$4*'NIFTY MEMBS'!AD52</f>
        <v>17210.051546391755</v>
      </c>
      <c r="AD63" s="4">
        <f>$AD$4*'NIFTY MEMBS'!AE52</f>
        <v>17839.172505839171</v>
      </c>
      <c r="AE63" s="4">
        <f>$AE$4*'NIFTY MEMBS'!AF52</f>
        <v>17195.828637785951</v>
      </c>
      <c r="AF63" s="4">
        <f>$AF$4*'NIFTY MEMBS'!AG52</f>
        <v>19537.022975289088</v>
      </c>
      <c r="AG63" s="4">
        <f>$AG$4*'NIFTY MEMBS'!AH52</f>
        <v>19704.968944099379</v>
      </c>
      <c r="AH63" s="4">
        <f>$AH$4*'NIFTY MEMBS'!AI52</f>
        <v>20242.112444911585</v>
      </c>
      <c r="AI63" s="4">
        <f>$AI$4*'NIFTY MEMBS'!AJ52</f>
        <v>21983.326020184293</v>
      </c>
      <c r="AJ63" s="4">
        <f>$AJ$4*'NIFTY MEMBS'!AK52</f>
        <v>14815.569058958781</v>
      </c>
      <c r="AK63" s="4">
        <f>$AK$4*'NIFTY MEMBS'!AL52</f>
        <v>19645.803902299202</v>
      </c>
      <c r="AL63" s="4">
        <f>$AL$4*'NIFTY MEMBS'!AM52</f>
        <v>20541.010787464431</v>
      </c>
      <c r="AM63" s="4">
        <f>$AM$4*'NIFTY MEMBS'!AN52</f>
        <v>14191.608718104711</v>
      </c>
      <c r="AN63" s="4">
        <f>$AN$4*'NIFTY MEMBS'!AO52</f>
        <v>20122.822050842613</v>
      </c>
      <c r="AO63" s="4">
        <f>$AO$4*'NIFTY MEMBS'!AP52</f>
        <v>20479.585223590406</v>
      </c>
      <c r="AP63" s="4">
        <f>$AP$4*'NIFTY MEMBS'!AQ52</f>
        <v>23268.403743991905</v>
      </c>
      <c r="AQ63" s="4">
        <f>$AQ$4*'NIFTY MEMBS'!AR52</f>
        <v>16882.941573495318</v>
      </c>
      <c r="AR63" s="4">
        <f>$AR$4*'NIFTY MEMBS'!AS52</f>
        <v>19021.646720292982</v>
      </c>
      <c r="AS63" s="4">
        <f>$AS$4*'NIFTY MEMBS'!AT52</f>
        <v>16673.112020245193</v>
      </c>
      <c r="AT63" s="4">
        <f>$AT$4*'NIFTY MEMBS'!AU52</f>
        <v>21823.445771161325</v>
      </c>
      <c r="AU63" s="4">
        <f>$AU$4*'NIFTY MEMBS'!AV52</f>
        <v>20546.560904053029</v>
      </c>
      <c r="AV63" s="4">
        <f>$AV$4*'NIFTY MEMBS'!AW52</f>
        <v>16145.361577794012</v>
      </c>
      <c r="AW63" s="4">
        <f>$AW$4*'NIFTY MEMBS'!AX52</f>
        <v>17255.965681647089</v>
      </c>
      <c r="AX63" s="4">
        <f>$AX$4*'NIFTY MEMBS'!AY52</f>
        <v>14126.263668248403</v>
      </c>
      <c r="AY63" s="4">
        <f t="shared" si="8"/>
        <v>924039.94219877699</v>
      </c>
      <c r="AZ63" s="4">
        <f t="shared" si="9"/>
        <v>94.289790020283377</v>
      </c>
    </row>
    <row r="64" spans="1:52" ht="14.25" customHeight="1" x14ac:dyDescent="0.3">
      <c r="A64" s="2">
        <v>45729</v>
      </c>
      <c r="B64" s="4">
        <f>$B$4*'NIFTY MEMBS'!C53</f>
        <v>20436.438075742069</v>
      </c>
      <c r="C64" s="4">
        <f>$C$4*'NIFTY MEMBS'!D53</f>
        <v>19145.594471493638</v>
      </c>
      <c r="D64" s="4">
        <f>$D$4*'NIFTY MEMBS'!E53</f>
        <v>20461.239581374943</v>
      </c>
      <c r="E64" s="4">
        <f>$E$4*'NIFTY MEMBS'!F53</f>
        <v>17075.222799061386</v>
      </c>
      <c r="F64" s="4">
        <f>$F$4*'NIFTY MEMBS'!G53</f>
        <v>19476.492813461613</v>
      </c>
      <c r="G64" s="4">
        <f>$G$4*'NIFTY MEMBS'!H53</f>
        <v>18352.244074634393</v>
      </c>
      <c r="H64" s="4">
        <f>$H$4*'NIFTY MEMBS'!I53</f>
        <v>16784.594953519256</v>
      </c>
      <c r="I64" s="4">
        <f>$I$4*'NIFTY MEMBS'!J53</f>
        <v>18731.320787218468</v>
      </c>
      <c r="J64" s="4">
        <f>$J$4*'NIFTY MEMBS'!K53</f>
        <v>24282.72749556616</v>
      </c>
      <c r="K64" s="4">
        <f>$K$4*'NIFTY MEMBS'!L53</f>
        <v>18000.524223493951</v>
      </c>
      <c r="L64" s="4">
        <f>$L$4*'NIFTY MEMBS'!M53</f>
        <v>17381.322426721199</v>
      </c>
      <c r="M64" s="4">
        <f>$M$4*'NIFTY MEMBS'!N53</f>
        <v>20545.131732733778</v>
      </c>
      <c r="N64" s="4">
        <f>$N$4*'NIFTY MEMBS'!O53</f>
        <v>17154.445165476962</v>
      </c>
      <c r="O64" s="4">
        <f>$O$4*'NIFTY MEMBS'!P53</f>
        <v>22199.731603668079</v>
      </c>
      <c r="P64" s="4">
        <f>$P$4*'NIFTY MEMBS'!Q53</f>
        <v>16054.290122649651</v>
      </c>
      <c r="Q64" s="4">
        <f>$Q$4*'NIFTY MEMBS'!R53</f>
        <v>17814.757004153547</v>
      </c>
      <c r="R64" s="4">
        <f>$R$4*'NIFTY MEMBS'!S53</f>
        <v>18261.727963658599</v>
      </c>
      <c r="S64" s="4">
        <f>$S$4*'NIFTY MEMBS'!T53</f>
        <v>18850.531815637249</v>
      </c>
      <c r="T64" s="4">
        <f>$T$4*'NIFTY MEMBS'!U53</f>
        <v>22931.362598325297</v>
      </c>
      <c r="U64" s="4">
        <f>$U$4*'NIFTY MEMBS'!V53</f>
        <v>18502.082148839068</v>
      </c>
      <c r="V64" s="4">
        <f>$V$4*'NIFTY MEMBS'!W53</f>
        <v>19895.099655327438</v>
      </c>
      <c r="W64" s="4">
        <f>$W$4*'NIFTY MEMBS'!X53</f>
        <v>14569.981916817362</v>
      </c>
      <c r="X64" s="4">
        <f>$X$4*'NIFTY MEMBS'!Y53</f>
        <v>18367.11249692295</v>
      </c>
      <c r="Y64" s="4">
        <f>$Y$4*'NIFTY MEMBS'!Z53</f>
        <v>19027.642962650349</v>
      </c>
      <c r="Z64" s="4">
        <f>$Z$4*'NIFTY MEMBS'!AA53</f>
        <v>19058.863559033689</v>
      </c>
      <c r="AA64" s="4">
        <f>$AA$4*'NIFTY MEMBS'!AB53</f>
        <v>22114.970456678999</v>
      </c>
      <c r="AB64" s="4">
        <f>$AB$4*'NIFTY MEMBS'!AC53</f>
        <v>17582.41758241758</v>
      </c>
      <c r="AC64" s="4">
        <f>$AC$4*'NIFTY MEMBS'!AD53</f>
        <v>17245.48969072165</v>
      </c>
      <c r="AD64" s="4">
        <f>$AD$4*'NIFTY MEMBS'!AE53</f>
        <v>17497.497497497498</v>
      </c>
      <c r="AE64" s="4">
        <f>$AE$4*'NIFTY MEMBS'!AF53</f>
        <v>17172.145917590999</v>
      </c>
      <c r="AF64" s="4">
        <f>$AF$4*'NIFTY MEMBS'!AG53</f>
        <v>19363.460829193154</v>
      </c>
      <c r="AG64" s="4">
        <f>$AG$4*'NIFTY MEMBS'!AH53</f>
        <v>19580.745341614907</v>
      </c>
      <c r="AH64" s="4">
        <f>$AH$4*'NIFTY MEMBS'!AI53</f>
        <v>20209.289889546573</v>
      </c>
      <c r="AI64" s="4">
        <f>$AI$4*'NIFTY MEMBS'!AJ53</f>
        <v>22068.158549071228</v>
      </c>
      <c r="AJ64" s="4">
        <f>$AJ$4*'NIFTY MEMBS'!AK53</f>
        <v>14623.090819510595</v>
      </c>
      <c r="AK64" s="4">
        <f>$AK$4*'NIFTY MEMBS'!AL53</f>
        <v>19410.765104518556</v>
      </c>
      <c r="AL64" s="4">
        <f>$AL$4*'NIFTY MEMBS'!AM53</f>
        <v>20532.004175792681</v>
      </c>
      <c r="AM64" s="4">
        <f>$AM$4*'NIFTY MEMBS'!AN53</f>
        <v>14211.557643197204</v>
      </c>
      <c r="AN64" s="4">
        <f>$AN$4*'NIFTY MEMBS'!AO53</f>
        <v>19787.917737789201</v>
      </c>
      <c r="AO64" s="4">
        <f>$AO$4*'NIFTY MEMBS'!AP53</f>
        <v>20168.502916396625</v>
      </c>
      <c r="AP64" s="4">
        <f>$AP$4*'NIFTY MEMBS'!AQ53</f>
        <v>22846.783033982629</v>
      </c>
      <c r="AQ64" s="4">
        <f>$AQ$4*'NIFTY MEMBS'!AR53</f>
        <v>16910.526161340495</v>
      </c>
      <c r="AR64" s="4">
        <f>$AR$4*'NIFTY MEMBS'!AS53</f>
        <v>19121.051598979793</v>
      </c>
      <c r="AS64" s="4">
        <f>$AS$4*'NIFTY MEMBS'!AT53</f>
        <v>16569.714979680175</v>
      </c>
      <c r="AT64" s="4">
        <f>$AT$4*'NIFTY MEMBS'!AU53</f>
        <v>21227.279735494147</v>
      </c>
      <c r="AU64" s="4">
        <f>$AU$4*'NIFTY MEMBS'!AV53</f>
        <v>20560.686732587201</v>
      </c>
      <c r="AV64" s="4">
        <f>$AV$4*'NIFTY MEMBS'!AW53</f>
        <v>16186.267348429512</v>
      </c>
      <c r="AW64" s="4">
        <f>$AW$4*'NIFTY MEMBS'!AX53</f>
        <v>16868.330804067537</v>
      </c>
      <c r="AX64" s="4">
        <f>$AX$4*'NIFTY MEMBS'!AY53</f>
        <v>13871.466886734064</v>
      </c>
      <c r="AY64" s="4">
        <f t="shared" si="8"/>
        <v>919090.60388101405</v>
      </c>
      <c r="AZ64" s="4">
        <f t="shared" si="9"/>
        <v>93.784755498062651</v>
      </c>
    </row>
    <row r="65" spans="1:52" ht="14.25" customHeight="1" x14ac:dyDescent="0.3">
      <c r="A65" s="2">
        <v>45733</v>
      </c>
      <c r="B65" s="4">
        <f>$B$4*'NIFTY MEMBS'!C54</f>
        <v>20288.229273285564</v>
      </c>
      <c r="C65" s="4">
        <f>$C$4*'NIFTY MEMBS'!D54</f>
        <v>19188.224999439073</v>
      </c>
      <c r="D65" s="4">
        <f>$D$4*'NIFTY MEMBS'!E54</f>
        <v>20544.588581813623</v>
      </c>
      <c r="E65" s="4">
        <f>$E$4*'NIFTY MEMBS'!F54</f>
        <v>17010.297997544043</v>
      </c>
      <c r="F65" s="4">
        <f>$F$4*'NIFTY MEMBS'!G54</f>
        <v>19771.744634440853</v>
      </c>
      <c r="G65" s="4">
        <f>$G$4*'NIFTY MEMBS'!H54</f>
        <v>18233.736762481087</v>
      </c>
      <c r="H65" s="4">
        <f>$H$4*'NIFTY MEMBS'!I54</f>
        <v>16892.961487383796</v>
      </c>
      <c r="I65" s="4">
        <f>$I$4*'NIFTY MEMBS'!J54</f>
        <v>18700.745015287888</v>
      </c>
      <c r="J65" s="4">
        <f>$J$4*'NIFTY MEMBS'!K54</f>
        <v>24743.846697331046</v>
      </c>
      <c r="K65" s="4">
        <f>$K$4*'NIFTY MEMBS'!L54</f>
        <v>17821.414529727841</v>
      </c>
      <c r="L65" s="4">
        <f>$L$4*'NIFTY MEMBS'!M54</f>
        <v>17305.794137695975</v>
      </c>
      <c r="M65" s="4">
        <f>$M$4*'NIFTY MEMBS'!N54</f>
        <v>20616.328970495084</v>
      </c>
      <c r="N65" s="4">
        <f>$N$4*'NIFTY MEMBS'!O54</f>
        <v>17554.510058403634</v>
      </c>
      <c r="O65" s="4">
        <f>$O$4*'NIFTY MEMBS'!P54</f>
        <v>22289.197047640344</v>
      </c>
      <c r="P65" s="4">
        <f>$P$4*'NIFTY MEMBS'!Q54</f>
        <v>16163.07957844086</v>
      </c>
      <c r="Q65" s="4">
        <f>$Q$4*'NIFTY MEMBS'!R54</f>
        <v>18035.39776184555</v>
      </c>
      <c r="R65" s="4">
        <f>$R$4*'NIFTY MEMBS'!S54</f>
        <v>18427.710317113655</v>
      </c>
      <c r="S65" s="4">
        <f>$S$4*'NIFTY MEMBS'!T54</f>
        <v>19297.443552901663</v>
      </c>
      <c r="T65" s="4">
        <f>$T$4*'NIFTY MEMBS'!U54</f>
        <v>23745.242324283176</v>
      </c>
      <c r="U65" s="4">
        <f>$U$4*'NIFTY MEMBS'!V54</f>
        <v>18546.337415676815</v>
      </c>
      <c r="V65" s="4">
        <f>$V$4*'NIFTY MEMBS'!W54</f>
        <v>19880.113891802786</v>
      </c>
      <c r="W65" s="4">
        <f>$W$4*'NIFTY MEMBS'!X54</f>
        <v>14733.453887884269</v>
      </c>
      <c r="X65" s="4">
        <f>$X$4*'NIFTY MEMBS'!Y54</f>
        <v>18661.688684663986</v>
      </c>
      <c r="Y65" s="4">
        <f>$Y$4*'NIFTY MEMBS'!Z54</f>
        <v>19391.432791728213</v>
      </c>
      <c r="Z65" s="4">
        <f>$Z$4*'NIFTY MEMBS'!AA54</f>
        <v>19049.336509016677</v>
      </c>
      <c r="AA65" s="4">
        <f>$AA$4*'NIFTY MEMBS'!AB54</f>
        <v>22214.368546026839</v>
      </c>
      <c r="AB65" s="4">
        <f>$AB$4*'NIFTY MEMBS'!AC54</f>
        <v>17306.027306027307</v>
      </c>
      <c r="AC65" s="4">
        <f>$AC$4*'NIFTY MEMBS'!AD54</f>
        <v>17226.159793814437</v>
      </c>
      <c r="AD65" s="4">
        <f>$AD$4*'NIFTY MEMBS'!AE54</f>
        <v>17645.645645645644</v>
      </c>
      <c r="AE65" s="4">
        <f>$AE$4*'NIFTY MEMBS'!AF54</f>
        <v>17129.47125752956</v>
      </c>
      <c r="AF65" s="4">
        <f>$AF$4*'NIFTY MEMBS'!AG54</f>
        <v>19261.493068361789</v>
      </c>
      <c r="AG65" s="4">
        <f>$AG$4*'NIFTY MEMBS'!AH54</f>
        <v>19966.356107660456</v>
      </c>
      <c r="AH65" s="4">
        <f>$AH$4*'NIFTY MEMBS'!AI54</f>
        <v>20047.205472884518</v>
      </c>
      <c r="AI65" s="4">
        <f>$AI$4*'NIFTY MEMBS'!AJ54</f>
        <v>22204.183121252008</v>
      </c>
      <c r="AJ65" s="4">
        <f>$AJ$4*'NIFTY MEMBS'!AK54</f>
        <v>14420.758745278374</v>
      </c>
      <c r="AK65" s="4">
        <f>$AK$4*'NIFTY MEMBS'!AL54</f>
        <v>19649.489179616321</v>
      </c>
      <c r="AL65" s="4">
        <f>$AL$4*'NIFTY MEMBS'!AM54</f>
        <v>20675.291179661432</v>
      </c>
      <c r="AM65" s="4">
        <f>$AM$4*'NIFTY MEMBS'!AN54</f>
        <v>14599.642051202241</v>
      </c>
      <c r="AN65" s="4">
        <f>$AN$4*'NIFTY MEMBS'!AO54</f>
        <v>20483.433304770064</v>
      </c>
      <c r="AO65" s="4">
        <f>$AO$4*'NIFTY MEMBS'!AP54</f>
        <v>20408.295528191829</v>
      </c>
      <c r="AP65" s="4">
        <f>$AP$4*'NIFTY MEMBS'!AQ54</f>
        <v>22961.463867105151</v>
      </c>
      <c r="AQ65" s="4">
        <f>$AQ$4*'NIFTY MEMBS'!AR54</f>
        <v>16904.070193972475</v>
      </c>
      <c r="AR65" s="4">
        <f>$AR$4*'NIFTY MEMBS'!AS54</f>
        <v>19522.594990517297</v>
      </c>
      <c r="AS65" s="4">
        <f>$AS$4*'NIFTY MEMBS'!AT54</f>
        <v>16708.120467050674</v>
      </c>
      <c r="AT65" s="4">
        <f>$AT$4*'NIFTY MEMBS'!AU54</f>
        <v>21354.05067411303</v>
      </c>
      <c r="AU65" s="4">
        <f>$AU$4*'NIFTY MEMBS'!AV54</f>
        <v>20437.900684559383</v>
      </c>
      <c r="AV65" s="4">
        <f>$AV$4*'NIFTY MEMBS'!AW54</f>
        <v>16810.810810810814</v>
      </c>
      <c r="AW65" s="4">
        <f>$AW$4*'NIFTY MEMBS'!AX54</f>
        <v>16696.022082282791</v>
      </c>
      <c r="AX65" s="4">
        <f>$AX$4*'NIFTY MEMBS'!AY54</f>
        <v>13975.655044357336</v>
      </c>
      <c r="AY65" s="4">
        <f t="shared" si="8"/>
        <v>925501.36603101902</v>
      </c>
      <c r="AZ65" s="4">
        <f t="shared" si="9"/>
        <v>94.438914901124392</v>
      </c>
    </row>
    <row r="66" spans="1:52" ht="14.25" customHeight="1" x14ac:dyDescent="0.3">
      <c r="A66" s="2">
        <v>45734</v>
      </c>
      <c r="B66" s="4">
        <f>$B$4*'NIFTY MEMBS'!C55</f>
        <v>20287.410440122825</v>
      </c>
      <c r="C66" s="4">
        <f>$C$4*'NIFTY MEMBS'!D55</f>
        <v>19432.789607126033</v>
      </c>
      <c r="D66" s="4">
        <f>$D$4*'NIFTY MEMBS'!E55</f>
        <v>20396.064423137181</v>
      </c>
      <c r="E66" s="4">
        <f>$E$4*'NIFTY MEMBS'!F55</f>
        <v>17276.562632980338</v>
      </c>
      <c r="F66" s="4">
        <f>$F$4*'NIFTY MEMBS'!G55</f>
        <v>20408.210960931716</v>
      </c>
      <c r="G66" s="4">
        <f>$G$4*'NIFTY MEMBS'!H55</f>
        <v>18575.390821986886</v>
      </c>
      <c r="H66" s="4">
        <f>$H$4*'NIFTY MEMBS'!I55</f>
        <v>17098.007968127487</v>
      </c>
      <c r="I66" s="4">
        <f>$I$4*'NIFTY MEMBS'!J55</f>
        <v>18960.423754360279</v>
      </c>
      <c r="J66" s="4">
        <f>$J$4*'NIFTY MEMBS'!K55</f>
        <v>25038.570790016292</v>
      </c>
      <c r="K66" s="4">
        <f>$K$4*'NIFTY MEMBS'!L55</f>
        <v>17871.652614564675</v>
      </c>
      <c r="L66" s="4">
        <f>$L$4*'NIFTY MEMBS'!M55</f>
        <v>17836.128152692567</v>
      </c>
      <c r="M66" s="4">
        <f>$M$4*'NIFTY MEMBS'!N55</f>
        <v>20903.348411445091</v>
      </c>
      <c r="N66" s="4">
        <f>$N$4*'NIFTY MEMBS'!O55</f>
        <v>18114.211550940949</v>
      </c>
      <c r="O66" s="4">
        <f>$O$4*'NIFTY MEMBS'!P55</f>
        <v>22746.589129948556</v>
      </c>
      <c r="P66" s="4">
        <f>$P$4*'NIFTY MEMBS'!Q55</f>
        <v>16299.589424409634</v>
      </c>
      <c r="Q66" s="4">
        <f>$Q$4*'NIFTY MEMBS'!R55</f>
        <v>18495.72740019577</v>
      </c>
      <c r="R66" s="4">
        <f>$R$4*'NIFTY MEMBS'!S55</f>
        <v>18691.534899973791</v>
      </c>
      <c r="S66" s="4">
        <f>$S$4*'NIFTY MEMBS'!T55</f>
        <v>19504.571748460534</v>
      </c>
      <c r="T66" s="4">
        <f>$T$4*'NIFTY MEMBS'!U55</f>
        <v>23403.324029434152</v>
      </c>
      <c r="U66" s="4">
        <f>$U$4*'NIFTY MEMBS'!V55</f>
        <v>18941.86886303917</v>
      </c>
      <c r="V66" s="4">
        <f>$V$4*'NIFTY MEMBS'!W55</f>
        <v>20221.789300164844</v>
      </c>
      <c r="W66" s="4">
        <f>$W$4*'NIFTY MEMBS'!X55</f>
        <v>15782.27848101266</v>
      </c>
      <c r="X66" s="4">
        <f>$X$4*'NIFTY MEMBS'!Y55</f>
        <v>19016.985312217934</v>
      </c>
      <c r="Y66" s="4">
        <f>$Y$4*'NIFTY MEMBS'!Z55</f>
        <v>19592.319054652882</v>
      </c>
      <c r="Z66" s="4">
        <f>$Z$4*'NIFTY MEMBS'!AA55</f>
        <v>19415.447431099015</v>
      </c>
      <c r="AA66" s="4">
        <f>$AA$4*'NIFTY MEMBS'!AB55</f>
        <v>22487.161080125901</v>
      </c>
      <c r="AB66" s="4">
        <f>$AB$4*'NIFTY MEMBS'!AC55</f>
        <v>17399.267399267399</v>
      </c>
      <c r="AC66" s="4">
        <f>$AC$4*'NIFTY MEMBS'!AD55</f>
        <v>17448.453608247426</v>
      </c>
      <c r="AD66" s="4">
        <f>$AD$4*'NIFTY MEMBS'!AE55</f>
        <v>18152.819486152817</v>
      </c>
      <c r="AE66" s="4">
        <f>$AE$4*'NIFTY MEMBS'!AF55</f>
        <v>17420.871684276161</v>
      </c>
      <c r="AF66" s="4">
        <f>$AF$4*'NIFTY MEMBS'!AG55</f>
        <v>19733.582105742735</v>
      </c>
      <c r="AG66" s="4">
        <f>$AG$4*'NIFTY MEMBS'!AH55</f>
        <v>20150.103519668737</v>
      </c>
      <c r="AH66" s="4">
        <f>$AH$4*'NIFTY MEMBS'!AI55</f>
        <v>20302.594457044866</v>
      </c>
      <c r="AI66" s="4">
        <f>$AI$4*'NIFTY MEMBS'!AJ55</f>
        <v>22621.032616644727</v>
      </c>
      <c r="AJ66" s="4">
        <f>$AJ$4*'NIFTY MEMBS'!AK55</f>
        <v>14792.576777796028</v>
      </c>
      <c r="AK66" s="4">
        <f>$AK$4*'NIFTY MEMBS'!AL55</f>
        <v>19832.115144442396</v>
      </c>
      <c r="AL66" s="4">
        <f>$AL$4*'NIFTY MEMBS'!AM55</f>
        <v>20991.136675332116</v>
      </c>
      <c r="AM66" s="4">
        <f>$AM$4*'NIFTY MEMBS'!AN55</f>
        <v>14884.586272026938</v>
      </c>
      <c r="AN66" s="4">
        <f>$AN$4*'NIFTY MEMBS'!AO55</f>
        <v>20815.481291059696</v>
      </c>
      <c r="AO66" s="4">
        <f>$AO$4*'NIFTY MEMBS'!AP55</f>
        <v>20756.642903434862</v>
      </c>
      <c r="AP66" s="4">
        <f>$AP$4*'NIFTY MEMBS'!AQ55</f>
        <v>23538.24099839784</v>
      </c>
      <c r="AQ66" s="4">
        <f>$AQ$4*'NIFTY MEMBS'!AR55</f>
        <v>16793.144936467412</v>
      </c>
      <c r="AR66" s="4">
        <f>$AR$4*'NIFTY MEMBS'!AS55</f>
        <v>19732.522398796678</v>
      </c>
      <c r="AS66" s="4">
        <f>$AS$4*'NIFTY MEMBS'!AT55</f>
        <v>16952.772519726175</v>
      </c>
      <c r="AT66" s="4">
        <f>$AT$4*'NIFTY MEMBS'!AU55</f>
        <v>22006.749695921055</v>
      </c>
      <c r="AU66" s="4">
        <f>$AU$4*'NIFTY MEMBS'!AV55</f>
        <v>20576.985765511246</v>
      </c>
      <c r="AV66" s="4">
        <f>$AV$4*'NIFTY MEMBS'!AW55</f>
        <v>17000.73046018992</v>
      </c>
      <c r="AW66" s="4">
        <f>$AW$4*'NIFTY MEMBS'!AX55</f>
        <v>17038.010682662778</v>
      </c>
      <c r="AX66" s="4">
        <f>$AX$4*'NIFTY MEMBS'!AY55</f>
        <v>14059.211883639367</v>
      </c>
      <c r="AY66" s="4">
        <f t="shared" si="8"/>
        <v>939797.59156561643</v>
      </c>
      <c r="AZ66" s="4">
        <f t="shared" si="9"/>
        <v>95.897713425062904</v>
      </c>
    </row>
    <row r="67" spans="1:52" ht="14.25" customHeight="1" x14ac:dyDescent="0.3">
      <c r="A67" s="2">
        <v>45735</v>
      </c>
      <c r="B67" s="4">
        <f>$B$4*'NIFTY MEMBS'!C56</f>
        <v>20424.155578300921</v>
      </c>
      <c r="C67" s="4">
        <f>$C$4*'NIFTY MEMBS'!D56</f>
        <v>19566.290470955148</v>
      </c>
      <c r="D67" s="4">
        <f>$D$4*'NIFTY MEMBS'!E56</f>
        <v>20519.521213260639</v>
      </c>
      <c r="E67" s="4">
        <f>$E$4*'NIFTY MEMBS'!F56</f>
        <v>17007.380028936521</v>
      </c>
      <c r="F67" s="4">
        <f>$F$4*'NIFTY MEMBS'!G56</f>
        <v>20458.847816772482</v>
      </c>
      <c r="G67" s="4">
        <f>$G$4*'NIFTY MEMBS'!H56</f>
        <v>18787.191124558747</v>
      </c>
      <c r="H67" s="4">
        <f>$H$4*'NIFTY MEMBS'!I56</f>
        <v>16855.776892430276</v>
      </c>
      <c r="I67" s="4">
        <f>$I$4*'NIFTY MEMBS'!J56</f>
        <v>18948.796348133157</v>
      </c>
      <c r="J67" s="4">
        <f>$J$4*'NIFTY MEMBS'!K56</f>
        <v>25180.165241590126</v>
      </c>
      <c r="K67" s="4">
        <f>$K$4*'NIFTY MEMBS'!L56</f>
        <v>17607.35660303176</v>
      </c>
      <c r="L67" s="4">
        <f>$L$4*'NIFTY MEMBS'!M56</f>
        <v>18102.522154055896</v>
      </c>
      <c r="M67" s="4">
        <f>$M$4*'NIFTY MEMBS'!N56</f>
        <v>20726.693610984716</v>
      </c>
      <c r="N67" s="4">
        <f>$N$4*'NIFTY MEMBS'!O56</f>
        <v>18099.286177806618</v>
      </c>
      <c r="O67" s="4">
        <f>$O$4*'NIFTY MEMBS'!P56</f>
        <v>22607.358532766717</v>
      </c>
      <c r="P67" s="4">
        <f>$P$4*'NIFTY MEMBS'!Q56</f>
        <v>16155.757211224143</v>
      </c>
      <c r="Q67" s="4">
        <f>$Q$4*'NIFTY MEMBS'!R56</f>
        <v>18332.231011402415</v>
      </c>
      <c r="R67" s="4">
        <f>$R$4*'NIFTY MEMBS'!S56</f>
        <v>19102.384904341747</v>
      </c>
      <c r="S67" s="4">
        <f>$S$4*'NIFTY MEMBS'!T56</f>
        <v>19631.461093487593</v>
      </c>
      <c r="T67" s="4">
        <f>$T$4*'NIFTY MEMBS'!U56</f>
        <v>23372.874904846485</v>
      </c>
      <c r="U67" s="4">
        <f>$U$4*'NIFTY MEMBS'!V56</f>
        <v>18908.677412910863</v>
      </c>
      <c r="V67" s="4">
        <f>$V$4*'NIFTY MEMBS'!W56</f>
        <v>20458.564363854341</v>
      </c>
      <c r="W67" s="4">
        <f>$W$4*'NIFTY MEMBS'!X56</f>
        <v>16168.535262206149</v>
      </c>
      <c r="X67" s="4">
        <f>$X$4*'NIFTY MEMBS'!Y56</f>
        <v>19258.225978501679</v>
      </c>
      <c r="Y67" s="4">
        <f>$Y$4*'NIFTY MEMBS'!Z56</f>
        <v>19630.301751424351</v>
      </c>
      <c r="Z67" s="4">
        <f>$Z$4*'NIFTY MEMBS'!AA56</f>
        <v>19734.603606668938</v>
      </c>
      <c r="AA67" s="4">
        <f>$AA$4*'NIFTY MEMBS'!AB56</f>
        <v>22825.114583908551</v>
      </c>
      <c r="AB67" s="4">
        <f>$AB$4*'NIFTY MEMBS'!AC56</f>
        <v>17695.637695637695</v>
      </c>
      <c r="AC67" s="4">
        <f>$AC$4*'NIFTY MEMBS'!AD56</f>
        <v>17860.824742268043</v>
      </c>
      <c r="AD67" s="4">
        <f>$AD$4*'NIFTY MEMBS'!AE56</f>
        <v>18211.544878211545</v>
      </c>
      <c r="AE67" s="4">
        <f>$AE$4*'NIFTY MEMBS'!AF56</f>
        <v>17669.025404579806</v>
      </c>
      <c r="AF67" s="4">
        <f>$AF$4*'NIFTY MEMBS'!AG56</f>
        <v>19792.159330050112</v>
      </c>
      <c r="AG67" s="4">
        <f>$AG$4*'NIFTY MEMBS'!AH56</f>
        <v>20489.130434782612</v>
      </c>
      <c r="AH67" s="4">
        <f>$AH$4*'NIFTY MEMBS'!AI56</f>
        <v>20136.084527299889</v>
      </c>
      <c r="AI67" s="4">
        <f>$AI$4*'NIFTY MEMBS'!AJ56</f>
        <v>23197.308761152548</v>
      </c>
      <c r="AJ67" s="4">
        <f>$AJ$4*'NIFTY MEMBS'!AK56</f>
        <v>15033.010346526526</v>
      </c>
      <c r="AK67" s="4">
        <f>$AK$4*'NIFTY MEMBS'!AL56</f>
        <v>20131.441557643877</v>
      </c>
      <c r="AL67" s="4">
        <f>$AL$4*'NIFTY MEMBS'!AM56</f>
        <v>20882.647943831489</v>
      </c>
      <c r="AM67" s="4">
        <f>$AM$4*'NIFTY MEMBS'!AN56</f>
        <v>14801.395009939093</v>
      </c>
      <c r="AN67" s="4">
        <f>$AN$4*'NIFTY MEMBS'!AO56</f>
        <v>21206.798057697801</v>
      </c>
      <c r="AO67" s="4">
        <f>$AO$4*'NIFTY MEMBS'!AP56</f>
        <v>21534.348671419306</v>
      </c>
      <c r="AP67" s="4">
        <f>$AP$4*'NIFTY MEMBS'!AQ56</f>
        <v>23561.851758158358</v>
      </c>
      <c r="AQ67" s="4">
        <f>$AQ$4*'NIFTY MEMBS'!AR56</f>
        <v>16388.17971065528</v>
      </c>
      <c r="AR67" s="4">
        <f>$AR$4*'NIFTY MEMBS'!AS56</f>
        <v>19608.266300438168</v>
      </c>
      <c r="AS67" s="4">
        <f>$AS$4*'NIFTY MEMBS'!AT56</f>
        <v>17443.297849965737</v>
      </c>
      <c r="AT67" s="4">
        <f>$AT$4*'NIFTY MEMBS'!AU56</f>
        <v>22885.580662292497</v>
      </c>
      <c r="AU67" s="4">
        <f>$AU$4*'NIFTY MEMBS'!AV56</f>
        <v>20642.181897207432</v>
      </c>
      <c r="AV67" s="4">
        <f>$AV$4*'NIFTY MEMBS'!AW56</f>
        <v>17123.447772096421</v>
      </c>
      <c r="AW67" s="4">
        <f>$AW$4*'NIFTY MEMBS'!AX56</f>
        <v>16905.85156595409</v>
      </c>
      <c r="AX67" s="4">
        <f>$AX$4*'NIFTY MEMBS'!AY56</f>
        <v>14291.31421497834</v>
      </c>
      <c r="AY67" s="4">
        <f t="shared" si="8"/>
        <v>945961.40297114768</v>
      </c>
      <c r="AZ67" s="4">
        <f t="shared" si="9"/>
        <v>96.526673772566085</v>
      </c>
    </row>
    <row r="68" spans="1:52" ht="14.25" customHeight="1" x14ac:dyDescent="0.3">
      <c r="A68" s="2">
        <v>45736</v>
      </c>
      <c r="B68" s="4">
        <f>$B$4*'NIFTY MEMBS'!C57</f>
        <v>20784.442169907881</v>
      </c>
      <c r="C68" s="4">
        <f>$C$4*'NIFTY MEMBS'!D57</f>
        <v>19842.940160201037</v>
      </c>
      <c r="D68" s="4">
        <f>$D$4*'NIFTY MEMBS'!E57</f>
        <v>21373.065112489814</v>
      </c>
      <c r="E68" s="4">
        <f>$E$4*'NIFTY MEMBS'!F57</f>
        <v>17328.599739814468</v>
      </c>
      <c r="F68" s="4">
        <f>$F$4*'NIFTY MEMBS'!G57</f>
        <v>20592.840727612667</v>
      </c>
      <c r="G68" s="4">
        <f>$G$4*'NIFTY MEMBS'!H57</f>
        <v>18899.394856278363</v>
      </c>
      <c r="H68" s="4">
        <f>$H$4*'NIFTY MEMBS'!I57</f>
        <v>17163.877822045153</v>
      </c>
      <c r="I68" s="4">
        <f>$I$4*'NIFTY MEMBS'!J57</f>
        <v>19313.552387924727</v>
      </c>
      <c r="J68" s="4">
        <f>$J$4*'NIFTY MEMBS'!K57</f>
        <v>25030.496157339985</v>
      </c>
      <c r="K68" s="4">
        <f>$K$4*'NIFTY MEMBS'!L57</f>
        <v>17646.673365077975</v>
      </c>
      <c r="L68" s="4">
        <f>$L$4*'NIFTY MEMBS'!M57</f>
        <v>18274.301295160192</v>
      </c>
      <c r="M68" s="4">
        <f>$M$4*'NIFTY MEMBS'!N57</f>
        <v>20931.274145053223</v>
      </c>
      <c r="N68" s="4">
        <f>$N$4*'NIFTY MEMBS'!O57</f>
        <v>18352.368591823491</v>
      </c>
      <c r="O68" s="4">
        <f>$O$4*'NIFTY MEMBS'!P57</f>
        <v>22765.041377767837</v>
      </c>
      <c r="P68" s="4">
        <f>$P$4*'NIFTY MEMBS'!Q57</f>
        <v>16339.339417871806</v>
      </c>
      <c r="Q68" s="4">
        <f>$Q$4*'NIFTY MEMBS'!R57</f>
        <v>18521.654012010898</v>
      </c>
      <c r="R68" s="4">
        <f>$R$4*'NIFTY MEMBS'!S57</f>
        <v>19128.417926094171</v>
      </c>
      <c r="S68" s="4">
        <f>$S$4*'NIFTY MEMBS'!T57</f>
        <v>19674.379548423214</v>
      </c>
      <c r="T68" s="4">
        <f>$T$4*'NIFTY MEMBS'!U57</f>
        <v>23494.671403197153</v>
      </c>
      <c r="U68" s="4">
        <f>$U$4*'NIFTY MEMBS'!V57</f>
        <v>19626.596186056518</v>
      </c>
      <c r="V68" s="4">
        <f>$V$4*'NIFTY MEMBS'!W57</f>
        <v>20485.538738198713</v>
      </c>
      <c r="W68" s="4">
        <f>$W$4*'NIFTY MEMBS'!X57</f>
        <v>16236.528028933093</v>
      </c>
      <c r="X68" s="4">
        <f>$X$4*'NIFTY MEMBS'!Y57</f>
        <v>19323.049150734387</v>
      </c>
      <c r="Y68" s="4">
        <f>$Y$4*'NIFTY MEMBS'!Z57</f>
        <v>19885.207849757335</v>
      </c>
      <c r="Z68" s="4">
        <f>$Z$4*'NIFTY MEMBS'!AA57</f>
        <v>20214.358625382789</v>
      </c>
      <c r="AA68" s="4">
        <f>$AA$4*'NIFTY MEMBS'!AB57</f>
        <v>23198.409630570433</v>
      </c>
      <c r="AB68" s="4">
        <f>$AB$4*'NIFTY MEMBS'!AC57</f>
        <v>17848.817848817849</v>
      </c>
      <c r="AC68" s="4">
        <f>$AC$4*'NIFTY MEMBS'!AD57</f>
        <v>18063.788659793816</v>
      </c>
      <c r="AD68" s="4">
        <f>$AD$4*'NIFTY MEMBS'!AE57</f>
        <v>18419.753086419751</v>
      </c>
      <c r="AE68" s="4">
        <f>$AE$4*'NIFTY MEMBS'!AF57</f>
        <v>18122.429366573044</v>
      </c>
      <c r="AF68" s="4">
        <f>$AF$4*'NIFTY MEMBS'!AG57</f>
        <v>19848.567027531291</v>
      </c>
      <c r="AG68" s="4">
        <f>$AG$4*'NIFTY MEMBS'!AH57</f>
        <v>20517.598343685298</v>
      </c>
      <c r="AH68" s="4">
        <f>$AH$4*'NIFTY MEMBS'!AI57</f>
        <v>20482.380926038615</v>
      </c>
      <c r="AI68" s="4">
        <f>$AI$4*'NIFTY MEMBS'!AJ57</f>
        <v>23261.66447272195</v>
      </c>
      <c r="AJ68" s="4">
        <f>$AJ$4*'NIFTY MEMBS'!AK57</f>
        <v>15220.233207423224</v>
      </c>
      <c r="AK68" s="4">
        <f>$AK$4*'NIFTY MEMBS'!AL57</f>
        <v>20212.927133877936</v>
      </c>
      <c r="AL68" s="4">
        <f>$AL$4*'NIFTY MEMBS'!AM57</f>
        <v>21408.511248029801</v>
      </c>
      <c r="AM68" s="4">
        <f>$AM$4*'NIFTY MEMBS'!AN57</f>
        <v>14775.079406625591</v>
      </c>
      <c r="AN68" s="4">
        <f>$AN$4*'NIFTY MEMBS'!AO57</f>
        <v>21398.886032562121</v>
      </c>
      <c r="AO68" s="4">
        <f>$AO$4*'NIFTY MEMBS'!AP57</f>
        <v>21851.911860012959</v>
      </c>
      <c r="AP68" s="4">
        <f>$AP$4*'NIFTY MEMBS'!AQ57</f>
        <v>23811.45121848385</v>
      </c>
      <c r="AQ68" s="4">
        <f>$AQ$4*'NIFTY MEMBS'!AR57</f>
        <v>16557.208674472517</v>
      </c>
      <c r="AR68" s="4">
        <f>$AR$4*'NIFTY MEMBS'!AS57</f>
        <v>19776.993002419724</v>
      </c>
      <c r="AS68" s="4">
        <f>$AS$4*'NIFTY MEMBS'!AT57</f>
        <v>17570.305238376313</v>
      </c>
      <c r="AT68" s="4">
        <f>$AT$4*'NIFTY MEMBS'!AU57</f>
        <v>22883.867541500349</v>
      </c>
      <c r="AU68" s="4">
        <f>$AU$4*'NIFTY MEMBS'!AV57</f>
        <v>20989.894599587093</v>
      </c>
      <c r="AV68" s="4">
        <f>$AV$4*'NIFTY MEMBS'!AW57</f>
        <v>17344.046749452154</v>
      </c>
      <c r="AW68" s="4">
        <f>$AW$4*'NIFTY MEMBS'!AX57</f>
        <v>17193.351416588001</v>
      </c>
      <c r="AX68" s="4">
        <f>$AX$4*'NIFTY MEMBS'!AY57</f>
        <v>14113.884877243658</v>
      </c>
      <c r="AY68" s="4">
        <f t="shared" si="8"/>
        <v>956100.57036396384</v>
      </c>
      <c r="AZ68" s="4">
        <f t="shared" si="9"/>
        <v>97.561282690200386</v>
      </c>
    </row>
    <row r="69" spans="1:52" ht="14.25" customHeight="1" x14ac:dyDescent="0.3">
      <c r="A69" s="2">
        <v>45737</v>
      </c>
      <c r="B69" s="4">
        <f>$B$4*'NIFTY MEMBS'!C58</f>
        <v>20902.354145342884</v>
      </c>
      <c r="C69" s="4">
        <f>$C$4*'NIFTY MEMBS'!D58</f>
        <v>19860.665484978348</v>
      </c>
      <c r="D69" s="4">
        <f>$D$4*'NIFTY MEMBS'!E58</f>
        <v>21630.632324371749</v>
      </c>
      <c r="E69" s="4">
        <f>$E$4*'NIFTY MEMBS'!F58</f>
        <v>17401.305790951865</v>
      </c>
      <c r="F69" s="4">
        <f>$F$4*'NIFTY MEMBS'!G58</f>
        <v>20926.264947610329</v>
      </c>
      <c r="G69" s="4">
        <f>$G$4*'NIFTY MEMBS'!H58</f>
        <v>18991.427130610187</v>
      </c>
      <c r="H69" s="4">
        <f>$H$4*'NIFTY MEMBS'!I58</f>
        <v>16919.521912350596</v>
      </c>
      <c r="I69" s="4">
        <f>$I$4*'NIFTY MEMBS'!J58</f>
        <v>19346.281383230697</v>
      </c>
      <c r="J69" s="4">
        <f>$J$4*'NIFTY MEMBS'!K58</f>
        <v>25712.225859011145</v>
      </c>
      <c r="K69" s="4">
        <f>$K$4*'NIFTY MEMBS'!L58</f>
        <v>17716.569830937922</v>
      </c>
      <c r="L69" s="4">
        <f>$L$4*'NIFTY MEMBS'!M58</f>
        <v>18628.220858895704</v>
      </c>
      <c r="M69" s="4">
        <f>$M$4*'NIFTY MEMBS'!N58</f>
        <v>20935.913564055209</v>
      </c>
      <c r="N69" s="4">
        <f>$N$4*'NIFTY MEMBS'!O58</f>
        <v>18182.024659312134</v>
      </c>
      <c r="O69" s="4">
        <f>$O$4*'NIFTY MEMBS'!P58</f>
        <v>23249.832252292548</v>
      </c>
      <c r="P69" s="4">
        <f>$P$4*'NIFTY MEMBS'!Q58</f>
        <v>16388.503883469755</v>
      </c>
      <c r="Q69" s="4">
        <f>$Q$4*'NIFTY MEMBS'!R58</f>
        <v>18884.097462895843</v>
      </c>
      <c r="R69" s="4">
        <f>$R$4*'NIFTY MEMBS'!S58</f>
        <v>19178.387350397483</v>
      </c>
      <c r="S69" s="4">
        <f>$S$4*'NIFTY MEMBS'!T58</f>
        <v>19969.210673633144</v>
      </c>
      <c r="T69" s="4">
        <f>$T$4*'NIFTY MEMBS'!U58</f>
        <v>23436.310581070793</v>
      </c>
      <c r="U69" s="4">
        <f>$U$4*'NIFTY MEMBS'!V58</f>
        <v>19439.740614963812</v>
      </c>
      <c r="V69" s="4">
        <f>$V$4*'NIFTY MEMBS'!W58</f>
        <v>21057.994904840401</v>
      </c>
      <c r="W69" s="4">
        <f>$W$4*'NIFTY MEMBS'!X58</f>
        <v>16457.142857142859</v>
      </c>
      <c r="X69" s="4">
        <f>$X$4*'NIFTY MEMBS'!Y58</f>
        <v>19509.313202592923</v>
      </c>
      <c r="Y69" s="4">
        <f>$Y$4*'NIFTY MEMBS'!Z58</f>
        <v>20461.700780755433</v>
      </c>
      <c r="Z69" s="4">
        <f>$Z$4*'NIFTY MEMBS'!AA58</f>
        <v>20125.212657366454</v>
      </c>
      <c r="AA69" s="4">
        <f>$AA$4*'NIFTY MEMBS'!AB58</f>
        <v>23385.057153901376</v>
      </c>
      <c r="AB69" s="4">
        <f>$AB$4*'NIFTY MEMBS'!AC58</f>
        <v>17602.397602397603</v>
      </c>
      <c r="AC69" s="4">
        <f>$AC$4*'NIFTY MEMBS'!AD58</f>
        <v>18240.979381443303</v>
      </c>
      <c r="AD69" s="4">
        <f>$AD$4*'NIFTY MEMBS'!AE58</f>
        <v>18764.097430764097</v>
      </c>
      <c r="AE69" s="4">
        <f>$AE$4*'NIFTY MEMBS'!AF58</f>
        <v>18460.737596604333</v>
      </c>
      <c r="AF69" s="4">
        <f>$AF$4*'NIFTY MEMBS'!AG58</f>
        <v>19963.118043954611</v>
      </c>
      <c r="AG69" s="4">
        <f>$AG$4*'NIFTY MEMBS'!AH58</f>
        <v>20983.436853002069</v>
      </c>
      <c r="AH69" s="4">
        <f>$AH$4*'NIFTY MEMBS'!AI58</f>
        <v>20918.478361084992</v>
      </c>
      <c r="AI69" s="4">
        <f>$AI$4*'NIFTY MEMBS'!AJ58</f>
        <v>23004.241626444345</v>
      </c>
      <c r="AJ69" s="4">
        <f>$AJ$4*'NIFTY MEMBS'!AK58</f>
        <v>15051.404171456728</v>
      </c>
      <c r="AK69" s="4">
        <f>$AK$4*'NIFTY MEMBS'!AL58</f>
        <v>20223.164015314374</v>
      </c>
      <c r="AL69" s="4">
        <f>$AL$4*'NIFTY MEMBS'!AM58</f>
        <v>21722.105090782548</v>
      </c>
      <c r="AM69" s="4">
        <f>$AM$4*'NIFTY MEMBS'!AN58</f>
        <v>14572.760520935761</v>
      </c>
      <c r="AN69" s="4">
        <f>$AN$4*'NIFTY MEMBS'!AO58</f>
        <v>22085.118537560695</v>
      </c>
      <c r="AO69" s="4">
        <f>$AO$4*'NIFTY MEMBS'!AP58</f>
        <v>22022.034996759558</v>
      </c>
      <c r="AP69" s="4">
        <f>$AP$4*'NIFTY MEMBS'!AQ58</f>
        <v>23453.916856395983</v>
      </c>
      <c r="AQ69" s="4">
        <f>$AQ$4*'NIFTY MEMBS'!AR58</f>
        <v>16541.949115239018</v>
      </c>
      <c r="AR69" s="4">
        <f>$AR$4*'NIFTY MEMBS'!AS58</f>
        <v>19931.332156170294</v>
      </c>
      <c r="AS69" s="4">
        <f>$AS$4*'NIFTY MEMBS'!AT58</f>
        <v>17942.643137733812</v>
      </c>
      <c r="AT69" s="4">
        <f>$AT$4*'NIFTY MEMBS'!AU58</f>
        <v>23188.803042502521</v>
      </c>
      <c r="AU69" s="4">
        <f>$AU$4*'NIFTY MEMBS'!AV58</f>
        <v>20888.840595458005</v>
      </c>
      <c r="AV69" s="4">
        <f>$AV$4*'NIFTY MEMBS'!AW58</f>
        <v>17533.235938641345</v>
      </c>
      <c r="AW69" s="4">
        <f>$AW$4*'NIFTY MEMBS'!AX58</f>
        <v>17345.585335834716</v>
      </c>
      <c r="AX69" s="4">
        <f>$AX$4*'NIFTY MEMBS'!AY58</f>
        <v>14171.652568599135</v>
      </c>
      <c r="AY69" s="4">
        <f t="shared" si="8"/>
        <v>963307.94524206151</v>
      </c>
      <c r="AZ69" s="4">
        <f t="shared" si="9"/>
        <v>98.296729106332805</v>
      </c>
    </row>
    <row r="70" spans="1:52" ht="14.25" customHeight="1" x14ac:dyDescent="0.3">
      <c r="A70" s="2">
        <v>45740</v>
      </c>
      <c r="B70" s="4">
        <f>$B$4*'NIFTY MEMBS'!C59</f>
        <v>21324.053224155577</v>
      </c>
      <c r="C70" s="4">
        <f>$C$4*'NIFTY MEMBS'!D59</f>
        <v>20193.40797415244</v>
      </c>
      <c r="D70" s="4">
        <f>$D$4*'NIFTY MEMBS'!E59</f>
        <v>21542.896534436295</v>
      </c>
      <c r="E70" s="4">
        <f>$E$4*'NIFTY MEMBS'!F59</f>
        <v>17648.603630439276</v>
      </c>
      <c r="F70" s="4">
        <f>$F$4*'NIFTY MEMBS'!G59</f>
        <v>21160.752541580649</v>
      </c>
      <c r="G70" s="4">
        <f>$G$4*'NIFTY MEMBS'!H59</f>
        <v>19687.342410489156</v>
      </c>
      <c r="H70" s="4">
        <f>$H$4*'NIFTY MEMBS'!I59</f>
        <v>16921.646746347942</v>
      </c>
      <c r="I70" s="4">
        <f>$I$4*'NIFTY MEMBS'!J59</f>
        <v>19432.410318246417</v>
      </c>
      <c r="J70" s="4">
        <f>$J$4*'NIFTY MEMBS'!K59</f>
        <v>26214.00660389601</v>
      </c>
      <c r="K70" s="4">
        <f>$K$4*'NIFTY MEMBS'!L59</f>
        <v>17950.286138657113</v>
      </c>
      <c r="L70" s="4">
        <f>$L$4*'NIFTY MEMBS'!M59</f>
        <v>18987.593728698022</v>
      </c>
      <c r="M70" s="4">
        <f>$M$4*'NIFTY MEMBS'!N59</f>
        <v>21273.966614027107</v>
      </c>
      <c r="N70" s="4">
        <f>$N$4*'NIFTY MEMBS'!O59</f>
        <v>18005.840363400388</v>
      </c>
      <c r="O70" s="4">
        <f>$O$4*'NIFTY MEMBS'!P59</f>
        <v>24336.278237530751</v>
      </c>
      <c r="P70" s="4">
        <f>$P$4*'NIFTY MEMBS'!Q59</f>
        <v>16780.250529564059</v>
      </c>
      <c r="Q70" s="4">
        <f>$Q$4*'NIFTY MEMBS'!R59</f>
        <v>18887.272150056877</v>
      </c>
      <c r="R70" s="4">
        <f>$R$4*'NIFTY MEMBS'!S59</f>
        <v>19308.465100026209</v>
      </c>
      <c r="S70" s="4">
        <f>$S$4*'NIFTY MEMBS'!T59</f>
        <v>20486.098152640418</v>
      </c>
      <c r="T70" s="4">
        <f>$T$4*'NIFTY MEMBS'!U59</f>
        <v>24031.337224054809</v>
      </c>
      <c r="U70" s="4">
        <f>$U$4*'NIFTY MEMBS'!V59</f>
        <v>18925.887794458871</v>
      </c>
      <c r="V70" s="4">
        <f>$V$4*'NIFTY MEMBS'!W59</f>
        <v>21996.103701483589</v>
      </c>
      <c r="W70" s="4">
        <f>$W$4*'NIFTY MEMBS'!X59</f>
        <v>16115.732368896928</v>
      </c>
      <c r="X70" s="4">
        <f>$X$4*'NIFTY MEMBS'!Y59</f>
        <v>19706.244358742919</v>
      </c>
      <c r="Y70" s="4">
        <f>$Y$4*'NIFTY MEMBS'!Z59</f>
        <v>20580.713230639376</v>
      </c>
      <c r="Z70" s="4">
        <f>$Z$4*'NIFTY MEMBS'!AA59</f>
        <v>20558.012929567885</v>
      </c>
      <c r="AA70" s="4">
        <f>$AA$4*'NIFTY MEMBS'!AB59</f>
        <v>23443.5915842951</v>
      </c>
      <c r="AB70" s="4">
        <f>$AB$4*'NIFTY MEMBS'!AC59</f>
        <v>17942.057942057942</v>
      </c>
      <c r="AC70" s="4">
        <f>$AC$4*'NIFTY MEMBS'!AD59</f>
        <v>18804.768041237116</v>
      </c>
      <c r="AD70" s="4">
        <f>$AD$4*'NIFTY MEMBS'!AE59</f>
        <v>19045.712379045712</v>
      </c>
      <c r="AE70" s="4">
        <f>$AE$4*'NIFTY MEMBS'!AF59</f>
        <v>18592.76590145929</v>
      </c>
      <c r="AF70" s="4">
        <f>$AF$4*'NIFTY MEMBS'!AG59</f>
        <v>20154.904215390623</v>
      </c>
      <c r="AG70" s="4">
        <f>$AG$4*'NIFTY MEMBS'!AH59</f>
        <v>21014.492753623188</v>
      </c>
      <c r="AH70" s="4">
        <f>$AH$4*'NIFTY MEMBS'!AI59</f>
        <v>20869.613320794382</v>
      </c>
      <c r="AI70" s="4">
        <f>$AI$4*'NIFTY MEMBS'!AJ59</f>
        <v>23170.981424601428</v>
      </c>
      <c r="AJ70" s="4">
        <f>$AJ$4*'NIFTY MEMBS'!AK59</f>
        <v>15285.268516997867</v>
      </c>
      <c r="AK70" s="4">
        <f>$AK$4*'NIFTY MEMBS'!AL59</f>
        <v>20581.864340847202</v>
      </c>
      <c r="AL70" s="4">
        <f>$AL$4*'NIFTY MEMBS'!AM59</f>
        <v>22206.210468139107</v>
      </c>
      <c r="AM70" s="4">
        <f>$AM$4*'NIFTY MEMBS'!AN59</f>
        <v>14302.954846103239</v>
      </c>
      <c r="AN70" s="4">
        <f>$AN$4*'NIFTY MEMBS'!AO59</f>
        <v>22419.308768923162</v>
      </c>
      <c r="AO70" s="4">
        <f>$AO$4*'NIFTY MEMBS'!AP59</f>
        <v>22031.756318859359</v>
      </c>
      <c r="AP70" s="4">
        <f>$AP$4*'NIFTY MEMBS'!AQ59</f>
        <v>23661.354245720548</v>
      </c>
      <c r="AQ70" s="4">
        <f>$AQ$4*'NIFTY MEMBS'!AR59</f>
        <v>17121.812366112041</v>
      </c>
      <c r="AR70" s="4">
        <f>$AR$4*'NIFTY MEMBS'!AS59</f>
        <v>19933.948074030475</v>
      </c>
      <c r="AS70" s="4">
        <f>$AS$4*'NIFTY MEMBS'!AT59</f>
        <v>17954.176928348021</v>
      </c>
      <c r="AT70" s="4">
        <f>$AT$4*'NIFTY MEMBS'!AU59</f>
        <v>23366.967604885816</v>
      </c>
      <c r="AU70" s="4">
        <f>$AU$4*'NIFTY MEMBS'!AV59</f>
        <v>21089.862001521244</v>
      </c>
      <c r="AV70" s="4">
        <f>$AV$4*'NIFTY MEMBS'!AW59</f>
        <v>17681.519357195033</v>
      </c>
      <c r="AW70" s="4">
        <f>$AW$4*'NIFTY MEMBS'!AX59</f>
        <v>17332.919091376196</v>
      </c>
      <c r="AX70" s="4">
        <f>$AX$4*'NIFTY MEMBS'!AY59</f>
        <v>13811.636063544463</v>
      </c>
      <c r="AY70" s="4">
        <f t="shared" si="8"/>
        <v>973875.64916129783</v>
      </c>
      <c r="AZ70" s="4">
        <f t="shared" si="9"/>
        <v>99.375066240948769</v>
      </c>
    </row>
    <row r="71" spans="1:52" ht="14.25" customHeight="1" x14ac:dyDescent="0.3">
      <c r="A71" s="2">
        <v>45741</v>
      </c>
      <c r="B71" s="4">
        <f>$B$4*'NIFTY MEMBS'!C60</f>
        <v>21051.381780962129</v>
      </c>
      <c r="C71" s="4">
        <f>$C$4*'NIFTY MEMBS'!D60</f>
        <v>20433.933900244567</v>
      </c>
      <c r="D71" s="4">
        <f>$D$4*'NIFTY MEMBS'!E60</f>
        <v>21689.540640471267</v>
      </c>
      <c r="E71" s="4">
        <f>$E$4*'NIFTY MEMBS'!F60</f>
        <v>17788.666123600287</v>
      </c>
      <c r="F71" s="4">
        <f>$F$4*'NIFTY MEMBS'!G60</f>
        <v>20935.613290227087</v>
      </c>
      <c r="G71" s="4">
        <f>$G$4*'NIFTY MEMBS'!H60</f>
        <v>19486.888552697932</v>
      </c>
      <c r="H71" s="4">
        <f>$H$4*'NIFTY MEMBS'!I60</f>
        <v>17300.929614873836</v>
      </c>
      <c r="I71" s="4">
        <f>$I$4*'NIFTY MEMBS'!J60</f>
        <v>19562.465010120155</v>
      </c>
      <c r="J71" s="4">
        <f>$J$4*'NIFTY MEMBS'!K60</f>
        <v>26147.967643793349</v>
      </c>
      <c r="K71" s="4">
        <f>$K$4*'NIFTY MEMBS'!L60</f>
        <v>17902.232318378403</v>
      </c>
      <c r="L71" s="4">
        <f>$L$4*'NIFTY MEMBS'!M60</f>
        <v>18920.790729379685</v>
      </c>
      <c r="M71" s="4">
        <f>$M$4*'NIFTY MEMBS'!N60</f>
        <v>21178.769304890127</v>
      </c>
      <c r="N71" s="4">
        <f>$N$4*'NIFTY MEMBS'!O60</f>
        <v>17754.704737183645</v>
      </c>
      <c r="O71" s="4">
        <f>$O$4*'NIFTY MEMBS'!P60</f>
        <v>24267.50167747707</v>
      </c>
      <c r="P71" s="4">
        <f>$P$4*'NIFTY MEMBS'!Q60</f>
        <v>16997.306414916708</v>
      </c>
      <c r="Q71" s="4">
        <f>$Q$4*'NIFTY MEMBS'!R60</f>
        <v>18675.097224794306</v>
      </c>
      <c r="R71" s="4">
        <f>$R$4*'NIFTY MEMBS'!S60</f>
        <v>19954.922687166945</v>
      </c>
      <c r="S71" s="4">
        <f>$S$4*'NIFTY MEMBS'!T60</f>
        <v>20872.364247061018</v>
      </c>
      <c r="T71" s="4">
        <f>$T$4*'NIFTY MEMBS'!U60</f>
        <v>24677.112408018267</v>
      </c>
      <c r="U71" s="4">
        <f>$U$4*'NIFTY MEMBS'!V60</f>
        <v>18769.765047559045</v>
      </c>
      <c r="V71" s="4">
        <f>$V$4*'NIFTY MEMBS'!W60</f>
        <v>21996.103701483589</v>
      </c>
      <c r="W71" s="4">
        <f>$W$4*'NIFTY MEMBS'!X60</f>
        <v>15176.130198915011</v>
      </c>
      <c r="X71" s="4">
        <f>$X$4*'NIFTY MEMBS'!Y60</f>
        <v>19405.103799130218</v>
      </c>
      <c r="Y71" s="4">
        <f>$Y$4*'NIFTY MEMBS'!Z60</f>
        <v>20447.3517619751</v>
      </c>
      <c r="Z71" s="4">
        <f>$Z$4*'NIFTY MEMBS'!AA60</f>
        <v>20417.148690030623</v>
      </c>
      <c r="AA71" s="4">
        <f>$AA$4*'NIFTY MEMBS'!AB60</f>
        <v>23451.322546799933</v>
      </c>
      <c r="AB71" s="4">
        <f>$AB$4*'NIFTY MEMBS'!AC60</f>
        <v>18048.618048618049</v>
      </c>
      <c r="AC71" s="4">
        <f>$AC$4*'NIFTY MEMBS'!AD60</f>
        <v>18750</v>
      </c>
      <c r="AD71" s="4">
        <f>$AD$4*'NIFTY MEMBS'!AE60</f>
        <v>18960.293626960291</v>
      </c>
      <c r="AE71" s="4">
        <f>$AE$4*'NIFTY MEMBS'!AF60</f>
        <v>18319.213321816133</v>
      </c>
      <c r="AF71" s="4">
        <f>$AF$4*'NIFTY MEMBS'!AG60</f>
        <v>20226.498600655195</v>
      </c>
      <c r="AG71" s="4">
        <f>$AG$4*'NIFTY MEMBS'!AH60</f>
        <v>20615.942028985508</v>
      </c>
      <c r="AH71" s="4">
        <f>$AH$4*'NIFTY MEMBS'!AI60</f>
        <v>20789.400896166404</v>
      </c>
      <c r="AI71" s="4">
        <f>$AI$4*'NIFTY MEMBS'!AJ60</f>
        <v>22923.79698698259</v>
      </c>
      <c r="AJ71" s="4">
        <f>$AJ$4*'NIFTY MEMBS'!AK60</f>
        <v>14946.953522745938</v>
      </c>
      <c r="AK71" s="4">
        <f>$AK$4*'NIFTY MEMBS'!AL60</f>
        <v>21042.524005486965</v>
      </c>
      <c r="AL71" s="4">
        <f>$AL$4*'NIFTY MEMBS'!AM60</f>
        <v>22235.072564632672</v>
      </c>
      <c r="AM71" s="4">
        <f>$AM$4*'NIFTY MEMBS'!AN60</f>
        <v>14671.797737707007</v>
      </c>
      <c r="AN71" s="4">
        <f>$AN$4*'NIFTY MEMBS'!AO60</f>
        <v>22239.36018280491</v>
      </c>
      <c r="AO71" s="4">
        <f>$AO$4*'NIFTY MEMBS'!AP60</f>
        <v>21811.406351263769</v>
      </c>
      <c r="AP71" s="4">
        <f>$AP$4*'NIFTY MEMBS'!AQ60</f>
        <v>23389.830508474577</v>
      </c>
      <c r="AQ71" s="4">
        <f>$AQ$4*'NIFTY MEMBS'!AR60</f>
        <v>17084.837280277021</v>
      </c>
      <c r="AR71" s="4">
        <f>$AR$4*'NIFTY MEMBS'!AS60</f>
        <v>19765.875351513965</v>
      </c>
      <c r="AS71" s="4">
        <f>$AS$4*'NIFTY MEMBS'!AT60</f>
        <v>18032.606704524638</v>
      </c>
      <c r="AT71" s="4">
        <f>$AT$4*'NIFTY MEMBS'!AU60</f>
        <v>23241.909787059085</v>
      </c>
      <c r="AU71" s="4">
        <f>$AU$4*'NIFTY MEMBS'!AV60</f>
        <v>21095.295012495928</v>
      </c>
      <c r="AV71" s="4">
        <f>$AV$4*'NIFTY MEMBS'!AW60</f>
        <v>17208.181154127102</v>
      </c>
      <c r="AW71" s="4">
        <f>$AW$4*'NIFTY MEMBS'!AX60</f>
        <v>17340.566635200208</v>
      </c>
      <c r="AX71" s="4">
        <f>$AX$4*'NIFTY MEMBS'!AY60</f>
        <v>13143.181349288219</v>
      </c>
      <c r="AY71" s="4">
        <f t="shared" si="8"/>
        <v>971144.27570993663</v>
      </c>
      <c r="AZ71" s="4">
        <f t="shared" si="9"/>
        <v>99.096354664279247</v>
      </c>
    </row>
    <row r="72" spans="1:52" ht="14.25" customHeight="1" x14ac:dyDescent="0.3">
      <c r="A72" s="2">
        <v>45742</v>
      </c>
      <c r="B72" s="4">
        <f>$B$4*'NIFTY MEMBS'!C61</f>
        <v>20848.311156601842</v>
      </c>
      <c r="C72" s="4">
        <f>$C$4*'NIFTY MEMBS'!D61</f>
        <v>20267.00172765824</v>
      </c>
      <c r="D72" s="4">
        <f>$D$4*'NIFTY MEMBS'!E61</f>
        <v>21790.436798897033</v>
      </c>
      <c r="E72" s="4">
        <f>$E$4*'NIFTY MEMBS'!F61</f>
        <v>17681.917105375142</v>
      </c>
      <c r="F72" s="4">
        <f>$F$4*'NIFTY MEMBS'!G61</f>
        <v>20814.084836209247</v>
      </c>
      <c r="G72" s="4">
        <f>$G$4*'NIFTY MEMBS'!H61</f>
        <v>19263.741805345435</v>
      </c>
      <c r="H72" s="4">
        <f>$H$4*'NIFTY MEMBS'!I61</f>
        <v>16992.828685258963</v>
      </c>
      <c r="I72" s="4">
        <f>$I$4*'NIFTY MEMBS'!J61</f>
        <v>19344.128159855303</v>
      </c>
      <c r="J72" s="4">
        <f>$J$4*'NIFTY MEMBS'!K61</f>
        <v>25567.747610052917</v>
      </c>
      <c r="K72" s="4">
        <f>$K$4*'NIFTY MEMBS'!L61</f>
        <v>17795.20335503036</v>
      </c>
      <c r="L72" s="4">
        <f>$L$4*'NIFTY MEMBS'!M61</f>
        <v>18785.548738922971</v>
      </c>
      <c r="M72" s="4">
        <f>$M$4*'NIFTY MEMBS'!N61</f>
        <v>20938.590151940974</v>
      </c>
      <c r="N72" s="4">
        <f>$N$4*'NIFTY MEMBS'!O61</f>
        <v>17795.262816353017</v>
      </c>
      <c r="O72" s="4">
        <f>$O$4*'NIFTY MEMBS'!P61</f>
        <v>23986.803847014089</v>
      </c>
      <c r="P72" s="4">
        <f>$P$4*'NIFTY MEMBS'!Q61</f>
        <v>17086.220873976832</v>
      </c>
      <c r="Q72" s="4">
        <f>$Q$4*'NIFTY MEMBS'!R61</f>
        <v>18613.719939680945</v>
      </c>
      <c r="R72" s="4">
        <f>$R$4*'NIFTY MEMBS'!S61</f>
        <v>19921.551498209137</v>
      </c>
      <c r="S72" s="4">
        <f>$S$4*'NIFTY MEMBS'!T61</f>
        <v>20456.241836163463</v>
      </c>
      <c r="T72" s="4">
        <f>$T$4*'NIFTY MEMBS'!U61</f>
        <v>24656.178634864245</v>
      </c>
      <c r="U72" s="4">
        <f>$U$4*'NIFTY MEMBS'!V61</f>
        <v>18793.121993945635</v>
      </c>
      <c r="V72" s="4">
        <f>$V$4*'NIFTY MEMBS'!W61</f>
        <v>21258.804136070732</v>
      </c>
      <c r="W72" s="4">
        <f>$W$4*'NIFTY MEMBS'!X61</f>
        <v>14704.520795660037</v>
      </c>
      <c r="X72" s="4">
        <f>$X$4*'NIFTY MEMBS'!Y61</f>
        <v>19391.154508902924</v>
      </c>
      <c r="Y72" s="4">
        <f>$Y$4*'NIFTY MEMBS'!Z61</f>
        <v>20233.804600126608</v>
      </c>
      <c r="Z72" s="4">
        <f>$Z$4*'NIFTY MEMBS'!AA61</f>
        <v>20383.804014971083</v>
      </c>
      <c r="AA72" s="4">
        <f>$AA$4*'NIFTY MEMBS'!AB61</f>
        <v>23335.358109227458</v>
      </c>
      <c r="AB72" s="4">
        <f>$AB$4*'NIFTY MEMBS'!AC61</f>
        <v>17808.857808857807</v>
      </c>
      <c r="AC72" s="4">
        <f>$AC$4*'NIFTY MEMBS'!AD61</f>
        <v>18740.335051546394</v>
      </c>
      <c r="AD72" s="4">
        <f>$AD$4*'NIFTY MEMBS'!AE61</f>
        <v>18905.57223890557</v>
      </c>
      <c r="AE72" s="4">
        <f>$AE$4*'NIFTY MEMBS'!AF61</f>
        <v>18253.08476011235</v>
      </c>
      <c r="AF72" s="4">
        <f>$AF$4*'NIFTY MEMBS'!AG61</f>
        <v>20160.544985138742</v>
      </c>
      <c r="AG72" s="4">
        <f>$AG$4*'NIFTY MEMBS'!AH61</f>
        <v>20434.782608695652</v>
      </c>
      <c r="AH72" s="4">
        <f>$AH$4*'NIFTY MEMBS'!AI61</f>
        <v>20684.110564068524</v>
      </c>
      <c r="AI72" s="4">
        <f>$AI$4*'NIFTY MEMBS'!AJ61</f>
        <v>22789.235044610206</v>
      </c>
      <c r="AJ72" s="4">
        <f>$AJ$4*'NIFTY MEMBS'!AK61</f>
        <v>14627.689275743145</v>
      </c>
      <c r="AK72" s="4">
        <f>$AK$4*'NIFTY MEMBS'!AL61</f>
        <v>21142.026493049154</v>
      </c>
      <c r="AL72" s="4">
        <f>$AL$4*'NIFTY MEMBS'!AM61</f>
        <v>22120.647657257487</v>
      </c>
      <c r="AM72" s="4">
        <f>$AM$4*'NIFTY MEMBS'!AN61</f>
        <v>15059.17473702082</v>
      </c>
      <c r="AN72" s="4">
        <f>$AN$4*'NIFTY MEMBS'!AO61</f>
        <v>22012.282205084259</v>
      </c>
      <c r="AO72" s="4">
        <f>$AO$4*'NIFTY MEMBS'!AP61</f>
        <v>21659.105638366815</v>
      </c>
      <c r="AP72" s="4">
        <f>$AP$4*'NIFTY MEMBS'!AQ61</f>
        <v>23317.311746352978</v>
      </c>
      <c r="AQ72" s="4">
        <f>$AQ$4*'NIFTY MEMBS'!AR61</f>
        <v>16624.70287877454</v>
      </c>
      <c r="AR72" s="4">
        <f>$AR$4*'NIFTY MEMBS'!AS61</f>
        <v>19308.089725982605</v>
      </c>
      <c r="AS72" s="4">
        <f>$AS$4*'NIFTY MEMBS'!AT61</f>
        <v>17693.648952121199</v>
      </c>
      <c r="AT72" s="4">
        <f>$AT$4*'NIFTY MEMBS'!AU61</f>
        <v>23024.343446456405</v>
      </c>
      <c r="AU72" s="4">
        <f>$AU$4*'NIFTY MEMBS'!AV61</f>
        <v>20855.155927414973</v>
      </c>
      <c r="AV72" s="4">
        <f>$AV$4*'NIFTY MEMBS'!AW61</f>
        <v>17013.878743608471</v>
      </c>
      <c r="AW72" s="4">
        <f>$AW$4*'NIFTY MEMBS'!AX61</f>
        <v>17426.601503220332</v>
      </c>
      <c r="AX72" s="4">
        <f>$AX$4*'NIFTY MEMBS'!AY61</f>
        <v>13519.702909015887</v>
      </c>
      <c r="AY72" s="4">
        <f t="shared" si="8"/>
        <v>963886.97263771866</v>
      </c>
      <c r="AZ72" s="4">
        <f t="shared" si="9"/>
        <v>98.355813534461092</v>
      </c>
    </row>
    <row r="73" spans="1:52" ht="14.25" customHeight="1" x14ac:dyDescent="0.3">
      <c r="A73" s="2">
        <v>45743</v>
      </c>
      <c r="B73" s="4">
        <f>$B$4*'NIFTY MEMBS'!C62</f>
        <v>20932.650972364379</v>
      </c>
      <c r="C73" s="4">
        <f>$C$4*'NIFTY MEMBS'!D62</f>
        <v>20477.686284188563</v>
      </c>
      <c r="D73" s="4">
        <f>$D$4*'NIFTY MEMBS'!E62</f>
        <v>21616.845271667607</v>
      </c>
      <c r="E73" s="4">
        <f>$E$4*'NIFTY MEMBS'!F62</f>
        <v>17756.81163296818</v>
      </c>
      <c r="F73" s="4">
        <f>$F$4*'NIFTY MEMBS'!G62</f>
        <v>20825.770264480194</v>
      </c>
      <c r="G73" s="4">
        <f>$G$4*'NIFTY MEMBS'!H62</f>
        <v>19473.020675743821</v>
      </c>
      <c r="H73" s="4">
        <f>$H$4*'NIFTY MEMBS'!I62</f>
        <v>17036.387782204514</v>
      </c>
      <c r="I73" s="4">
        <f>$I$4*'NIFTY MEMBS'!J62</f>
        <v>19332.931398303263</v>
      </c>
      <c r="J73" s="4">
        <f>$J$4*'NIFTY MEMBS'!K62</f>
        <v>25965.423269361094</v>
      </c>
      <c r="K73" s="4">
        <f>$K$4*'NIFTY MEMBS'!L62</f>
        <v>17886.942466471537</v>
      </c>
      <c r="L73" s="4">
        <f>$L$4*'NIFTY MEMBS'!M62</f>
        <v>19095.29652351738</v>
      </c>
      <c r="M73" s="4">
        <f>$M$4*'NIFTY MEMBS'!N62</f>
        <v>20916.552911681523</v>
      </c>
      <c r="N73" s="4">
        <f>$N$4*'NIFTY MEMBS'!O62</f>
        <v>17735.236859182347</v>
      </c>
      <c r="O73" s="4">
        <f>$O$4*'NIFTY MEMBS'!P62</f>
        <v>23805.077163945425</v>
      </c>
      <c r="P73" s="4">
        <f>$P$4*'NIFTY MEMBS'!Q62</f>
        <v>17052.224169042078</v>
      </c>
      <c r="Q73" s="4">
        <f>$Q$4*'NIFTY MEMBS'!R62</f>
        <v>18322.706949919309</v>
      </c>
      <c r="R73" s="4">
        <f>$R$4*'NIFTY MEMBS'!S62</f>
        <v>20266.620075128856</v>
      </c>
      <c r="S73" s="4">
        <f>$S$4*'NIFTY MEMBS'!T62</f>
        <v>20495.428251539466</v>
      </c>
      <c r="T73" s="4">
        <f>$T$4*'NIFTY MEMBS'!U62</f>
        <v>25447.221517381375</v>
      </c>
      <c r="U73" s="4">
        <f>$U$4*'NIFTY MEMBS'!V62</f>
        <v>18978.440923828697</v>
      </c>
      <c r="V73" s="4">
        <f>$V$4*'NIFTY MEMBS'!W62</f>
        <v>21618.462460662369</v>
      </c>
      <c r="W73" s="4">
        <f>$W$4*'NIFTY MEMBS'!X62</f>
        <v>14920.795660036169</v>
      </c>
      <c r="X73" s="4">
        <f>$X$4*'NIFTY MEMBS'!Y62</f>
        <v>19639.780093542297</v>
      </c>
      <c r="Y73" s="4">
        <f>$Y$4*'NIFTY MEMBS'!Z62</f>
        <v>20440.599282549061</v>
      </c>
      <c r="Z73" s="4">
        <f>$Z$4*'NIFTY MEMBS'!AA62</f>
        <v>20459.339911534538</v>
      </c>
      <c r="AA73" s="4">
        <f>$AA$4*'NIFTY MEMBS'!AB62</f>
        <v>23408.250041415871</v>
      </c>
      <c r="AB73" s="4">
        <f>$AB$4*'NIFTY MEMBS'!AC62</f>
        <v>18128.538128538126</v>
      </c>
      <c r="AC73" s="4">
        <f>$AC$4*'NIFTY MEMBS'!AD62</f>
        <v>19039.948453608249</v>
      </c>
      <c r="AD73" s="4">
        <f>$AD$4*'NIFTY MEMBS'!AE62</f>
        <v>17845.845845845844</v>
      </c>
      <c r="AE73" s="4">
        <f>$AE$4*'NIFTY MEMBS'!AF62</f>
        <v>18246.67784063932</v>
      </c>
      <c r="AF73" s="4">
        <f>$AF$4*'NIFTY MEMBS'!AG62</f>
        <v>20290.282689345451</v>
      </c>
      <c r="AG73" s="4">
        <f>$AG$4*'NIFTY MEMBS'!AH62</f>
        <v>20540.890269151139</v>
      </c>
      <c r="AH73" s="4">
        <f>$AH$4*'NIFTY MEMBS'!AI62</f>
        <v>20671.38721395512</v>
      </c>
      <c r="AI73" s="4">
        <f>$AI$4*'NIFTY MEMBS'!AJ62</f>
        <v>22732.192482082781</v>
      </c>
      <c r="AJ73" s="4">
        <f>$AJ$4*'NIFTY MEMBS'!AK62</f>
        <v>14831.992116932175</v>
      </c>
      <c r="AK73" s="4">
        <f>$AK$4*'NIFTY MEMBS'!AL62</f>
        <v>21445.857134082671</v>
      </c>
      <c r="AL73" s="4">
        <f>$AL$4*'NIFTY MEMBS'!AM62</f>
        <v>21885.0428837533</v>
      </c>
      <c r="AM73" s="4">
        <f>$AM$4*'NIFTY MEMBS'!AN62</f>
        <v>15343.128585677805</v>
      </c>
      <c r="AN73" s="4">
        <f>$AN$4*'NIFTY MEMBS'!AO62</f>
        <v>22063.696086832333</v>
      </c>
      <c r="AO73" s="4">
        <f>$AO$4*'NIFTY MEMBS'!AP62</f>
        <v>22096.565132858064</v>
      </c>
      <c r="AP73" s="4">
        <f>$AP$4*'NIFTY MEMBS'!AQ62</f>
        <v>23386.457542794502</v>
      </c>
      <c r="AQ73" s="4">
        <f>$AQ$4*'NIFTY MEMBS'!AR62</f>
        <v>16713.912609678082</v>
      </c>
      <c r="AR73" s="4">
        <f>$AR$4*'NIFTY MEMBS'!AS62</f>
        <v>19395.722974298609</v>
      </c>
      <c r="AS73" s="4">
        <f>$AS$4*'NIFTY MEMBS'!AT62</f>
        <v>17618.340083993135</v>
      </c>
      <c r="AT73" s="4">
        <f>$AT$4*'NIFTY MEMBS'!AU62</f>
        <v>23247.049149435523</v>
      </c>
      <c r="AU73" s="4">
        <f>$AU$4*'NIFTY MEMBS'!AV62</f>
        <v>21157.231337607303</v>
      </c>
      <c r="AV73" s="4">
        <f>$AV$4*'NIFTY MEMBS'!AW62</f>
        <v>16978.81665449233</v>
      </c>
      <c r="AW73" s="4">
        <f>$AW$4*'NIFTY MEMBS'!AX62</f>
        <v>18029.323550850193</v>
      </c>
      <c r="AX73" s="4">
        <f>$AX$4*'NIFTY MEMBS'!AY62</f>
        <v>13896.224468743552</v>
      </c>
      <c r="AY73" s="4">
        <f t="shared" si="8"/>
        <v>969491.62604785559</v>
      </c>
      <c r="AZ73" s="4">
        <f t="shared" si="9"/>
        <v>98.927716943658737</v>
      </c>
    </row>
    <row r="74" spans="1:52" ht="14.25" customHeight="1" x14ac:dyDescent="0.3">
      <c r="A74" s="2">
        <v>45744</v>
      </c>
      <c r="B74" s="4">
        <f>$B$4*'NIFTY MEMBS'!C63</f>
        <v>20881.883316274307</v>
      </c>
      <c r="C74" s="4">
        <f>$C$4*'NIFTY MEMBS'!D63</f>
        <v>20509.771365747496</v>
      </c>
      <c r="D74" s="4">
        <f>$D$4*'NIFTY MEMBS'!E63</f>
        <v>21725.888324873096</v>
      </c>
      <c r="E74" s="4">
        <f>$E$4*'NIFTY MEMBS'!F63</f>
        <v>17537.720823353477</v>
      </c>
      <c r="F74" s="4">
        <f>$F$4*'NIFTY MEMBS'!G63</f>
        <v>21008.06294550695</v>
      </c>
      <c r="G74" s="4">
        <f>$G$4*'NIFTY MEMBS'!H63</f>
        <v>19452.849218356023</v>
      </c>
      <c r="H74" s="4">
        <f>$H$4*'NIFTY MEMBS'!I63</f>
        <v>16686.852589641436</v>
      </c>
      <c r="I74" s="4">
        <f>$I$4*'NIFTY MEMBS'!J63</f>
        <v>19455.23448602558</v>
      </c>
      <c r="J74" s="4">
        <f>$J$4*'NIFTY MEMBS'!K63</f>
        <v>25797.29788185082</v>
      </c>
      <c r="K74" s="4">
        <f>$K$4*'NIFTY MEMBS'!L63</f>
        <v>17900.048053820279</v>
      </c>
      <c r="L74" s="4">
        <f>$L$4*'NIFTY MEMBS'!M63</f>
        <v>19044.580777096115</v>
      </c>
      <c r="M74" s="4">
        <f>$M$4*'NIFTY MEMBS'!N63</f>
        <v>20560.031405297861</v>
      </c>
      <c r="N74" s="4">
        <f>$N$4*'NIFTY MEMBS'!O63</f>
        <v>17299.156391953278</v>
      </c>
      <c r="O74" s="4">
        <f>$O$4*'NIFTY MEMBS'!P63</f>
        <v>24280.921494072911</v>
      </c>
      <c r="P74" s="4">
        <f>$P$4*'NIFTY MEMBS'!Q63</f>
        <v>16658.385418028713</v>
      </c>
      <c r="Q74" s="4">
        <f>$Q$4*'NIFTY MEMBS'!R63</f>
        <v>18357.099394163866</v>
      </c>
      <c r="R74" s="4">
        <f>$R$4*'NIFTY MEMBS'!S63</f>
        <v>20109.286275880142</v>
      </c>
      <c r="S74" s="4">
        <f>$S$4*'NIFTY MEMBS'!T63</f>
        <v>20563.53797350252</v>
      </c>
      <c r="T74" s="4">
        <f>$T$4*'NIFTY MEMBS'!U63</f>
        <v>25467.52093377315</v>
      </c>
      <c r="U74" s="4">
        <f>$U$4*'NIFTY MEMBS'!V63</f>
        <v>18829.079398251302</v>
      </c>
      <c r="V74" s="4">
        <f>$V$4*'NIFTY MEMBS'!W63</f>
        <v>21435.636145661621</v>
      </c>
      <c r="W74" s="4">
        <f>$W$4*'NIFTY MEMBS'!X63</f>
        <v>14589.511754068717</v>
      </c>
      <c r="X74" s="4">
        <f>$X$4*'NIFTY MEMBS'!Y63</f>
        <v>19413.309263969801</v>
      </c>
      <c r="Y74" s="4">
        <f>$Y$4*'NIFTY MEMBS'!Z63</f>
        <v>20795.948512344377</v>
      </c>
      <c r="Z74" s="4">
        <f>$Z$4*'NIFTY MEMBS'!AA63</f>
        <v>20504.933650901668</v>
      </c>
      <c r="AA74" s="4">
        <f>$AA$4*'NIFTY MEMBS'!AB63</f>
        <v>23484.455243249213</v>
      </c>
      <c r="AB74" s="4">
        <f>$AB$4*'NIFTY MEMBS'!AC63</f>
        <v>17465.867465867464</v>
      </c>
      <c r="AC74" s="4">
        <f>$AC$4*'NIFTY MEMBS'!AD63</f>
        <v>18708.118556701033</v>
      </c>
      <c r="AD74" s="4">
        <f>$AD$4*'NIFTY MEMBS'!AE63</f>
        <v>18003.336670003337</v>
      </c>
      <c r="AE74" s="4">
        <f>$AE$4*'NIFTY MEMBS'!AF63</f>
        <v>18028.270532174749</v>
      </c>
      <c r="AF74" s="4">
        <f>$AF$4*'NIFTY MEMBS'!AG63</f>
        <v>20312.411862972684</v>
      </c>
      <c r="AG74" s="4">
        <f>$AG$4*'NIFTY MEMBS'!AH63</f>
        <v>20610.766045548655</v>
      </c>
      <c r="AH74" s="4">
        <f>$AH$4*'NIFTY MEMBS'!AI63</f>
        <v>20751.599638583102</v>
      </c>
      <c r="AI74" s="4">
        <f>$AI$4*'NIFTY MEMBS'!AJ63</f>
        <v>22559.602164692114</v>
      </c>
      <c r="AJ74" s="4">
        <f>$AJ$4*'NIFTY MEMBS'!AK63</f>
        <v>14945.639678108066</v>
      </c>
      <c r="AK74" s="4">
        <f>$AK$4*'NIFTY MEMBS'!AL63</f>
        <v>21384.026370206579</v>
      </c>
      <c r="AL74" s="4">
        <f>$AL$4*'NIFTY MEMBS'!AM63</f>
        <v>21893.026016825985</v>
      </c>
      <c r="AM74" s="4">
        <f>$AM$4*'NIFTY MEMBS'!AN63</f>
        <v>15068.229568268476</v>
      </c>
      <c r="AN74" s="4">
        <f>$AN$4*'NIFTY MEMBS'!AO63</f>
        <v>22105.826906598111</v>
      </c>
      <c r="AO74" s="4">
        <f>$AO$4*'NIFTY MEMBS'!AP63</f>
        <v>22219.701879455602</v>
      </c>
      <c r="AP74" s="4">
        <f>$AP$4*'NIFTY MEMBS'!AQ63</f>
        <v>23018.804283666414</v>
      </c>
      <c r="AQ74" s="4">
        <f>$AQ$4*'NIFTY MEMBS'!AR63</f>
        <v>16647.592217624791</v>
      </c>
      <c r="AR74" s="4">
        <f>$AR$4*'NIFTY MEMBS'!AS63</f>
        <v>18863.383689752143</v>
      </c>
      <c r="AS74" s="4">
        <f>$AS$4*'NIFTY MEMBS'!AT63</f>
        <v>17955.262461582301</v>
      </c>
      <c r="AT74" s="4">
        <f>$AT$4*'NIFTY MEMBS'!AU63</f>
        <v>22476.14479296935</v>
      </c>
      <c r="AU74" s="4">
        <f>$AU$4*'NIFTY MEMBS'!AV63</f>
        <v>21773.334782136259</v>
      </c>
      <c r="AV74" s="4">
        <f>$AV$4*'NIFTY MEMBS'!AW63</f>
        <v>16715.850986121259</v>
      </c>
      <c r="AW74" s="4">
        <f>$AW$4*'NIFTY MEMBS'!AX63</f>
        <v>17794.639549750857</v>
      </c>
      <c r="AX74" s="4">
        <f>$AX$4*'NIFTY MEMBS'!AY63</f>
        <v>13407.26222405612</v>
      </c>
      <c r="AY74" s="4">
        <f t="shared" si="8"/>
        <v>965057.70138133015</v>
      </c>
      <c r="AZ74" s="4">
        <f t="shared" si="9"/>
        <v>98.475275651156139</v>
      </c>
    </row>
    <row r="75" spans="1:52" ht="14.25" customHeight="1" x14ac:dyDescent="0.3">
      <c r="A75" s="2">
        <v>45748</v>
      </c>
      <c r="B75" s="4">
        <f>$B$4*'NIFTY MEMBS'!C64</f>
        <v>20513.408393039917</v>
      </c>
      <c r="C75" s="4">
        <f>$C$4*'NIFTY MEMBS'!D64</f>
        <v>19832.619085014248</v>
      </c>
      <c r="D75" s="4">
        <f>$D$4*'NIFTY MEMBS'!E64</f>
        <v>21609.951745315535</v>
      </c>
      <c r="E75" s="4">
        <f>$E$4*'NIFTY MEMBS'!F64</f>
        <v>17268.538219309659</v>
      </c>
      <c r="F75" s="4">
        <f>$F$4*'NIFTY MEMBS'!G64</f>
        <v>20542.203871771901</v>
      </c>
      <c r="G75" s="4">
        <f>$G$4*'NIFTY MEMBS'!H64</f>
        <v>19457.892082702976</v>
      </c>
      <c r="H75" s="4">
        <f>$H$4*'NIFTY MEMBS'!I64</f>
        <v>16217.795484727754</v>
      </c>
      <c r="I75" s="4">
        <f>$I$4*'NIFTY MEMBS'!J64</f>
        <v>19239.912148486284</v>
      </c>
      <c r="J75" s="4">
        <f>$J$4*'NIFTY MEMBS'!K64</f>
        <v>25083.846408951307</v>
      </c>
      <c r="K75" s="4">
        <f>$K$4*'NIFTY MEMBS'!L64</f>
        <v>17764.623651216632</v>
      </c>
      <c r="L75" s="4">
        <f>$L$4*'NIFTY MEMBS'!M64</f>
        <v>18741.922290388549</v>
      </c>
      <c r="M75" s="4">
        <f>$M$4*'NIFTY MEMBS'!N64</f>
        <v>20486.782116824143</v>
      </c>
      <c r="N75" s="4">
        <f>$N$4*'NIFTY MEMBS'!O64</f>
        <v>17118.105126541206</v>
      </c>
      <c r="O75" s="4">
        <f>$O$4*'NIFTY MEMBS'!P64</f>
        <v>23997.987027510622</v>
      </c>
      <c r="P75" s="4">
        <f>$P$4*'NIFTY MEMBS'!Q64</f>
        <v>16008.263814430293</v>
      </c>
      <c r="Q75" s="4">
        <f>$Q$4*'NIFTY MEMBS'!R64</f>
        <v>17972.43313315167</v>
      </c>
      <c r="R75" s="4">
        <f>$R$4*'NIFTY MEMBS'!S64</f>
        <v>19880.580064645757</v>
      </c>
      <c r="S75" s="4">
        <f>$S$4*'NIFTY MEMBS'!T64</f>
        <v>20257.510729613732</v>
      </c>
      <c r="T75" s="4">
        <f>$T$4*'NIFTY MEMBS'!U64</f>
        <v>24576.249682821617</v>
      </c>
      <c r="U75" s="4">
        <f>$U$4*'NIFTY MEMBS'!V64</f>
        <v>18359.481844584108</v>
      </c>
      <c r="V75" s="4">
        <f>$V$4*'NIFTY MEMBS'!W64</f>
        <v>21108.946500824215</v>
      </c>
      <c r="W75" s="4">
        <f>$W$4*'NIFTY MEMBS'!X64</f>
        <v>14611.934900542496</v>
      </c>
      <c r="X75" s="4">
        <f>$X$4*'NIFTY MEMBS'!Y64</f>
        <v>19278.739640600637</v>
      </c>
      <c r="Y75" s="4">
        <f>$Y$4*'NIFTY MEMBS'!Z64</f>
        <v>20938.594640219457</v>
      </c>
      <c r="Z75" s="4">
        <f>$Z$4*'NIFTY MEMBS'!AA64</f>
        <v>19870.704321197689</v>
      </c>
      <c r="AA75" s="4">
        <f>$AA$4*'NIFTY MEMBS'!AB64</f>
        <v>23330.94041636755</v>
      </c>
      <c r="AB75" s="4">
        <f>$AB$4*'NIFTY MEMBS'!AC64</f>
        <v>17489.177489177491</v>
      </c>
      <c r="AC75" s="4">
        <f>$AC$4*'NIFTY MEMBS'!AD64</f>
        <v>18640.463917525776</v>
      </c>
      <c r="AD75" s="4">
        <f>$AD$4*'NIFTY MEMBS'!AE64</f>
        <v>17933.933933933935</v>
      </c>
      <c r="AE75" s="4">
        <f>$AE$4*'NIFTY MEMBS'!AF64</f>
        <v>18289.581319253368</v>
      </c>
      <c r="AF75" s="4">
        <f>$AF$4*'NIFTY MEMBS'!AG64</f>
        <v>20098.496517909443</v>
      </c>
      <c r="AG75" s="4">
        <f>$AG$4*'NIFTY MEMBS'!AH64</f>
        <v>20582.298136645961</v>
      </c>
      <c r="AH75" s="4">
        <f>$AH$4*'NIFTY MEMBS'!AI64</f>
        <v>20597.075473437704</v>
      </c>
      <c r="AI75" s="4">
        <f>$AI$4*'NIFTY MEMBS'!AJ64</f>
        <v>22395.787626151821</v>
      </c>
      <c r="AJ75" s="4">
        <f>$AJ$4*'NIFTY MEMBS'!AK64</f>
        <v>15136.804072918379</v>
      </c>
      <c r="AK75" s="4">
        <f>$AK$4*'NIFTY MEMBS'!AL64</f>
        <v>21448.313985627417</v>
      </c>
      <c r="AL75" s="4">
        <f>$AL$4*'NIFTY MEMBS'!AM64</f>
        <v>21727.222483777859</v>
      </c>
      <c r="AM75" s="4">
        <f>$AM$4*'NIFTY MEMBS'!AN64</f>
        <v>15780.165675115486</v>
      </c>
      <c r="AN75" s="4">
        <f>$AN$4*'NIFTY MEMBS'!AO64</f>
        <v>22068.694658668948</v>
      </c>
      <c r="AO75" s="4">
        <f>$AO$4*'NIFTY MEMBS'!AP64</f>
        <v>22453.013609850936</v>
      </c>
      <c r="AP75" s="4">
        <f>$AP$4*'NIFTY MEMBS'!AQ64</f>
        <v>22388.059701492533</v>
      </c>
      <c r="AQ75" s="4">
        <f>$AQ$4*'NIFTY MEMBS'!AR64</f>
        <v>16376.441588167974</v>
      </c>
      <c r="AR75" s="4">
        <f>$AR$4*'NIFTY MEMBS'!AS64</f>
        <v>18890.196847818977</v>
      </c>
      <c r="AS75" s="4">
        <f>$AS$4*'NIFTY MEMBS'!AT64</f>
        <v>17998.955174262006</v>
      </c>
      <c r="AT75" s="4">
        <f>$AT$4*'NIFTY MEMBS'!AU64</f>
        <v>21840.576979082794</v>
      </c>
      <c r="AU75" s="4">
        <f>$AU$4*'NIFTY MEMBS'!AV64</f>
        <v>21563.620558513529</v>
      </c>
      <c r="AV75" s="4">
        <f>$AV$4*'NIFTY MEMBS'!AW64</f>
        <v>16832.7246165084</v>
      </c>
      <c r="AW75" s="4">
        <f>$AW$4*'NIFTY MEMBS'!AX64</f>
        <v>17981.526401950123</v>
      </c>
      <c r="AX75" s="4">
        <f>$AX$4*'NIFTY MEMBS'!AY64</f>
        <v>14085.00103156592</v>
      </c>
      <c r="AY75" s="4">
        <f t="shared" si="8"/>
        <v>956668.09914015688</v>
      </c>
      <c r="AZ75" s="4">
        <f t="shared" si="9"/>
        <v>97.619193789811931</v>
      </c>
    </row>
    <row r="76" spans="1:52" ht="14.25" customHeight="1" x14ac:dyDescent="0.3">
      <c r="A76" s="2">
        <v>45749</v>
      </c>
      <c r="B76" s="4">
        <f>$B$4*'NIFTY MEMBS'!C65</f>
        <v>20489.66223132037</v>
      </c>
      <c r="C76" s="4">
        <f>$C$4*'NIFTY MEMBS'!D65</f>
        <v>20158.630438196957</v>
      </c>
      <c r="D76" s="4">
        <f>$D$4*'NIFTY MEMBS'!E65</f>
        <v>21991.602431534749</v>
      </c>
      <c r="E76" s="4">
        <f>$E$4*'NIFTY MEMBS'!F65</f>
        <v>17235.224744373791</v>
      </c>
      <c r="F76" s="4">
        <f>$F$4*'NIFTY MEMBS'!G65</f>
        <v>20741.635180929381</v>
      </c>
      <c r="G76" s="4">
        <f>$G$4*'NIFTY MEMBS'!H65</f>
        <v>19565.052950075642</v>
      </c>
      <c r="H76" s="4">
        <f>$H$4*'NIFTY MEMBS'!I65</f>
        <v>16469.057104913678</v>
      </c>
      <c r="I76" s="4">
        <f>$I$4*'NIFTY MEMBS'!J65</f>
        <v>19274.794367167651</v>
      </c>
      <c r="J76" s="4">
        <f>$J$4*'NIFTY MEMBS'!K65</f>
        <v>25000.216284803828</v>
      </c>
      <c r="K76" s="4">
        <f>$K$4*'NIFTY MEMBS'!L65</f>
        <v>17869.468350006551</v>
      </c>
      <c r="L76" s="4">
        <f>$L$4*'NIFTY MEMBS'!M65</f>
        <v>18649.761417859576</v>
      </c>
      <c r="M76" s="4">
        <f>$M$4*'NIFTY MEMBS'!N65</f>
        <v>20906.114218927047</v>
      </c>
      <c r="N76" s="4">
        <f>$N$4*'NIFTY MEMBS'!O65</f>
        <v>17115.833874107724</v>
      </c>
      <c r="O76" s="4">
        <f>$O$4*'NIFTY MEMBS'!P65</f>
        <v>24095.280697830458</v>
      </c>
      <c r="P76" s="4">
        <f>$P$4*'NIFTY MEMBS'!Q65</f>
        <v>15978.974345563429</v>
      </c>
      <c r="Q76" s="4">
        <f>$Q$4*'NIFTY MEMBS'!R65</f>
        <v>18134.342178364506</v>
      </c>
      <c r="R76" s="4">
        <f>$R$4*'NIFTY MEMBS'!S65</f>
        <v>19657.464837948806</v>
      </c>
      <c r="S76" s="4">
        <f>$S$4*'NIFTY MEMBS'!T65</f>
        <v>20236.051502145925</v>
      </c>
      <c r="T76" s="4">
        <f>$T$4*'NIFTY MEMBS'!U65</f>
        <v>24498.223801065717</v>
      </c>
      <c r="U76" s="4">
        <f>$U$4*'NIFTY MEMBS'!V65</f>
        <v>19044.823824085313</v>
      </c>
      <c r="V76" s="4">
        <f>$V$4*'NIFTY MEMBS'!W65</f>
        <v>21084.969279184774</v>
      </c>
      <c r="W76" s="4">
        <f>$W$4*'NIFTY MEMBS'!X65</f>
        <v>15336.708860759494</v>
      </c>
      <c r="X76" s="4">
        <f>$X$4*'NIFTY MEMBS'!Y65</f>
        <v>19618.445884959379</v>
      </c>
      <c r="Y76" s="4">
        <f>$Y$4*'NIFTY MEMBS'!Z65</f>
        <v>21155.518041780968</v>
      </c>
      <c r="Z76" s="4">
        <f>$Z$4*'NIFTY MEMBS'!AA65</f>
        <v>19217.420891459682</v>
      </c>
      <c r="AA76" s="4">
        <f>$AA$4*'NIFTY MEMBS'!AB65</f>
        <v>23323.209453862721</v>
      </c>
      <c r="AB76" s="4">
        <f>$AB$4*'NIFTY MEMBS'!AC65</f>
        <v>17555.777555777557</v>
      </c>
      <c r="AC76" s="4">
        <f>$AC$4*'NIFTY MEMBS'!AD65</f>
        <v>18476.159793814433</v>
      </c>
      <c r="AD76" s="4">
        <f>$AD$4*'NIFTY MEMBS'!AE65</f>
        <v>17935.268601935266</v>
      </c>
      <c r="AE76" s="4">
        <f>$AE$4*'NIFTY MEMBS'!AF65</f>
        <v>18472.407342787352</v>
      </c>
      <c r="AF76" s="4">
        <f>$AF$4*'NIFTY MEMBS'!AG65</f>
        <v>20017.356214609594</v>
      </c>
      <c r="AG76" s="4">
        <f>$AG$4*'NIFTY MEMBS'!AH65</f>
        <v>20574.534161490683</v>
      </c>
      <c r="AH76" s="4">
        <f>$AH$4*'NIFTY MEMBS'!AI65</f>
        <v>20382.253692537481</v>
      </c>
      <c r="AI76" s="4">
        <f>$AI$4*'NIFTY MEMBS'!AJ65</f>
        <v>22625.420506069913</v>
      </c>
      <c r="AJ76" s="4">
        <f>$AJ$4*'NIFTY MEMBS'!AK65</f>
        <v>15094.761044506489</v>
      </c>
      <c r="AK76" s="4">
        <f>$AK$4*'NIFTY MEMBS'!AL65</f>
        <v>21427.840222754538</v>
      </c>
      <c r="AL76" s="4">
        <f>$AL$4*'NIFTY MEMBS'!AM65</f>
        <v>21924.958549116735</v>
      </c>
      <c r="AM76" s="4">
        <f>$AM$4*'NIFTY MEMBS'!AN65</f>
        <v>16079.399551502891</v>
      </c>
      <c r="AN76" s="4">
        <f>$AN$4*'NIFTY MEMBS'!AO65</f>
        <v>22277.206512425018</v>
      </c>
      <c r="AO76" s="4">
        <f>$AO$4*'NIFTY MEMBS'!AP65</f>
        <v>22558.32793259883</v>
      </c>
      <c r="AP76" s="4">
        <f>$AP$4*'NIFTY MEMBS'!AQ65</f>
        <v>22302.049076650645</v>
      </c>
      <c r="AQ76" s="4">
        <f>$AQ$4*'NIFTY MEMBS'!AR65</f>
        <v>16703.93520556387</v>
      </c>
      <c r="AR76" s="4">
        <f>$AR$4*'NIFTY MEMBS'!AS65</f>
        <v>18996.141521156234</v>
      </c>
      <c r="AS76" s="4">
        <f>$AS$4*'NIFTY MEMBS'!AT65</f>
        <v>18269.931407868757</v>
      </c>
      <c r="AT76" s="4">
        <f>$AT$4*'NIFTY MEMBS'!AU65</f>
        <v>21907.388689976528</v>
      </c>
      <c r="AU76" s="4">
        <f>$AU$4*'NIFTY MEMBS'!AV65</f>
        <v>23094.643051178966</v>
      </c>
      <c r="AV76" s="4">
        <f>$AV$4*'NIFTY MEMBS'!AW65</f>
        <v>16800.584368151936</v>
      </c>
      <c r="AW76" s="4">
        <f>$AW$4*'NIFTY MEMBS'!AX65</f>
        <v>18086.202158041269</v>
      </c>
      <c r="AX76" s="4">
        <f>$AX$4*'NIFTY MEMBS'!AY65</f>
        <v>14492.469568805449</v>
      </c>
      <c r="AY76" s="4">
        <f t="shared" si="8"/>
        <v>962903.50392254849</v>
      </c>
      <c r="AZ76" s="4">
        <f t="shared" si="9"/>
        <v>98.255459583933529</v>
      </c>
    </row>
    <row r="77" spans="1:52" ht="14.25" customHeight="1" x14ac:dyDescent="0.3">
      <c r="A77" s="2">
        <v>45750</v>
      </c>
      <c r="B77" s="4">
        <f>$B$4*'NIFTY MEMBS'!C66</f>
        <v>20449.539406345957</v>
      </c>
      <c r="C77" s="4">
        <f>$C$4*'NIFTY MEMBS'!D66</f>
        <v>20135.520204626533</v>
      </c>
      <c r="D77" s="4">
        <f>$D$4*'NIFTY MEMBS'!E66</f>
        <v>21883.81274675691</v>
      </c>
      <c r="E77" s="4">
        <f>$E$4*'NIFTY MEMBS'!F66</f>
        <v>16550.474777808849</v>
      </c>
      <c r="F77" s="4">
        <f>$F$4*'NIFTY MEMBS'!G66</f>
        <v>20715.148210181902</v>
      </c>
      <c r="G77" s="4">
        <f>$G$4*'NIFTY MEMBS'!H66</f>
        <v>19646.999495713564</v>
      </c>
      <c r="H77" s="4">
        <f>$H$4*'NIFTY MEMBS'!I66</f>
        <v>15899.070385126161</v>
      </c>
      <c r="I77" s="4">
        <f>$I$4*'NIFTY MEMBS'!J66</f>
        <v>19332.070108953107</v>
      </c>
      <c r="J77" s="4">
        <f>$J$4*'NIFTY MEMBS'!K66</f>
        <v>24785.084999927905</v>
      </c>
      <c r="K77" s="4">
        <f>$K$4*'NIFTY MEMBS'!L66</f>
        <v>17884.758201913413</v>
      </c>
      <c r="L77" s="4">
        <f>$L$4*'NIFTY MEMBS'!M66</f>
        <v>18651.124744376277</v>
      </c>
      <c r="M77" s="4">
        <f>$M$4*'NIFTY MEMBS'!N66</f>
        <v>20856.151245059467</v>
      </c>
      <c r="N77" s="4">
        <f>$N$4*'NIFTY MEMBS'!O66</f>
        <v>16946.463335496428</v>
      </c>
      <c r="O77" s="4">
        <f>$O$4*'NIFTY MEMBS'!P66</f>
        <v>23849.250726906728</v>
      </c>
      <c r="P77" s="4">
        <f>$P$4*'NIFTY MEMBS'!Q66</f>
        <v>15378.017207562958</v>
      </c>
      <c r="Q77" s="4">
        <f>$Q$4*'NIFTY MEMBS'!R66</f>
        <v>18730.654250112435</v>
      </c>
      <c r="R77" s="4">
        <f>$R$4*'NIFTY MEMBS'!S66</f>
        <v>20278.85035380449</v>
      </c>
      <c r="S77" s="4">
        <f>$S$4*'NIFTY MEMBS'!T66</f>
        <v>20336.816570255643</v>
      </c>
      <c r="T77" s="4">
        <f>$T$4*'NIFTY MEMBS'!U66</f>
        <v>24365.008880994668</v>
      </c>
      <c r="U77" s="4">
        <f>$U$4*'NIFTY MEMBS'!V66</f>
        <v>19223.688860887873</v>
      </c>
      <c r="V77" s="4">
        <f>$V$4*'NIFTY MEMBS'!W66</f>
        <v>21513.562115989807</v>
      </c>
      <c r="W77" s="4">
        <f>$W$4*'NIFTY MEMBS'!X66</f>
        <v>15254.972875226042</v>
      </c>
      <c r="X77" s="4">
        <f>$X$4*'NIFTY MEMBS'!Y66</f>
        <v>19691.474522031673</v>
      </c>
      <c r="Y77" s="4">
        <f>$Y$4*'NIFTY MEMBS'!Z66</f>
        <v>20536.822114370123</v>
      </c>
      <c r="Z77" s="4">
        <f>$Z$4*'NIFTY MEMBS'!AA66</f>
        <v>19564.477713508</v>
      </c>
      <c r="AA77" s="4">
        <f>$AA$4*'NIFTY MEMBS'!AB66</f>
        <v>23061.461151913412</v>
      </c>
      <c r="AB77" s="4">
        <f>$AB$4*'NIFTY MEMBS'!AC66</f>
        <v>17072.927072927072</v>
      </c>
      <c r="AC77" s="4">
        <f>$AC$4*'NIFTY MEMBS'!AD66</f>
        <v>19271.907216494848</v>
      </c>
      <c r="AD77" s="4">
        <f>$AD$4*'NIFTY MEMBS'!AE66</f>
        <v>17456.122789456123</v>
      </c>
      <c r="AE77" s="4">
        <f>$AE$4*'NIFTY MEMBS'!AF66</f>
        <v>18104.581519469601</v>
      </c>
      <c r="AF77" s="4">
        <f>$AF$4*'NIFTY MEMBS'!AG66</f>
        <v>20388.345301889658</v>
      </c>
      <c r="AG77" s="4">
        <f>$AG$4*'NIFTY MEMBS'!AH66</f>
        <v>20551.242236024846</v>
      </c>
      <c r="AH77" s="4">
        <f>$AH$4*'NIFTY MEMBS'!AI66</f>
        <v>20704.394165698588</v>
      </c>
      <c r="AI77" s="4">
        <f>$AI$4*'NIFTY MEMBS'!AJ66</f>
        <v>22468.919116571593</v>
      </c>
      <c r="AJ77" s="4">
        <f>$AJ$4*'NIFTY MEMBS'!AK66</f>
        <v>15136.147150599443</v>
      </c>
      <c r="AK77" s="4">
        <f>$AK$4*'NIFTY MEMBS'!AL66</f>
        <v>21717.748705034497</v>
      </c>
      <c r="AL77" s="4">
        <f>$AL$4*'NIFTY MEMBS'!AM66</f>
        <v>22021.779624588045</v>
      </c>
      <c r="AM77" s="4">
        <f>$AM$4*'NIFTY MEMBS'!AN66</f>
        <v>16059.026181195663</v>
      </c>
      <c r="AN77" s="4">
        <f>$AN$4*'NIFTY MEMBS'!AO66</f>
        <v>22025.849757212221</v>
      </c>
      <c r="AO77" s="4">
        <f>$AO$4*'NIFTY MEMBS'!AP66</f>
        <v>22453.013609850936</v>
      </c>
      <c r="AP77" s="4">
        <f>$AP$4*'NIFTY MEMBS'!AQ66</f>
        <v>22013.660511004298</v>
      </c>
      <c r="AQ77" s="4">
        <f>$AQ$4*'NIFTY MEMBS'!AR66</f>
        <v>16073.598027995422</v>
      </c>
      <c r="AR77" s="4">
        <f>$AR$4*'NIFTY MEMBS'!AS66</f>
        <v>19563.141717350078</v>
      </c>
      <c r="AS77" s="4">
        <f>$AS$4*'NIFTY MEMBS'!AT66</f>
        <v>18104.930356258439</v>
      </c>
      <c r="AT77" s="4">
        <f>$AT$4*'NIFTY MEMBS'!AU66</f>
        <v>22412.759323659906</v>
      </c>
      <c r="AU77" s="4">
        <f>$AU$4*'NIFTY MEMBS'!AV66</f>
        <v>23275.019015538412</v>
      </c>
      <c r="AV77" s="4">
        <f>$AV$4*'NIFTY MEMBS'!AW66</f>
        <v>16821.767713659607</v>
      </c>
      <c r="AW77" s="4">
        <f>$AW$4*'NIFTY MEMBS'!AX66</f>
        <v>17939.942882407064</v>
      </c>
      <c r="AX77" s="4">
        <f>$AX$4*'NIFTY MEMBS'!AY66</f>
        <v>14635.857231277079</v>
      </c>
      <c r="AY77" s="4">
        <f t="shared" si="8"/>
        <v>961793.95643201366</v>
      </c>
      <c r="AZ77" s="4">
        <f t="shared" si="9"/>
        <v>98.142240452246284</v>
      </c>
    </row>
    <row r="78" spans="1:52" ht="14.25" customHeight="1" x14ac:dyDescent="0.3">
      <c r="A78" s="2">
        <v>45751</v>
      </c>
      <c r="B78" s="4">
        <f>$B$4*'NIFTY MEMBS'!C67</f>
        <v>19728.966223132036</v>
      </c>
      <c r="C78" s="4">
        <f>$C$4*'NIFTY MEMBS'!D67</f>
        <v>20387.489061904016</v>
      </c>
      <c r="D78" s="4">
        <f>$D$4*'NIFTY MEMBS'!E67</f>
        <v>21851.85185185185</v>
      </c>
      <c r="E78" s="4">
        <f>$E$4*'NIFTY MEMBS'!F67</f>
        <v>16045.909372758331</v>
      </c>
      <c r="F78" s="4">
        <f>$F$4*'NIFTY MEMBS'!G67</f>
        <v>20804.736493592489</v>
      </c>
      <c r="G78" s="4">
        <f>$G$4*'NIFTY MEMBS'!H67</f>
        <v>19350.731215330306</v>
      </c>
      <c r="H78" s="4">
        <f>$H$4*'NIFTY MEMBS'!I67</f>
        <v>15422.57636122178</v>
      </c>
      <c r="I78" s="4">
        <f>$I$4*'NIFTY MEMBS'!J67</f>
        <v>19332.070108953107</v>
      </c>
      <c r="J78" s="4">
        <f>$J$4*'NIFTY MEMBS'!K67</f>
        <v>25143.541014808299</v>
      </c>
      <c r="K78" s="4">
        <f>$K$4*'NIFTY MEMBS'!L67</f>
        <v>17897.863789262155</v>
      </c>
      <c r="L78" s="4">
        <f>$L$4*'NIFTY MEMBS'!M67</f>
        <v>17778.595773687797</v>
      </c>
      <c r="M78" s="4">
        <f>$M$4*'NIFTY MEMBS'!N67</f>
        <v>20488.3880695556</v>
      </c>
      <c r="N78" s="4">
        <f>$N$4*'NIFTY MEMBS'!O67</f>
        <v>16849.772874756651</v>
      </c>
      <c r="O78" s="4">
        <f>$O$4*'NIFTY MEMBS'!P67</f>
        <v>23841.98165958398</v>
      </c>
      <c r="P78" s="4">
        <f>$P$4*'NIFTY MEMBS'!Q67</f>
        <v>14875.912026988151</v>
      </c>
      <c r="Q78" s="4">
        <f>$Q$4*'NIFTY MEMBS'!R67</f>
        <v>18088.838329056322</v>
      </c>
      <c r="R78" s="4">
        <f>$R$4*'NIFTY MEMBS'!S67</f>
        <v>20090.241984799508</v>
      </c>
      <c r="S78" s="4">
        <f>$S$4*'NIFTY MEMBS'!T67</f>
        <v>20363.873857062885</v>
      </c>
      <c r="T78" s="4">
        <f>$T$4*'NIFTY MEMBS'!U67</f>
        <v>24261.608728749045</v>
      </c>
      <c r="U78" s="4">
        <f>$U$4*'NIFTY MEMBS'!V67</f>
        <v>18908.062756427003</v>
      </c>
      <c r="V78" s="4">
        <f>$V$4*'NIFTY MEMBS'!W67</f>
        <v>21004.046156151653</v>
      </c>
      <c r="W78" s="4">
        <f>$W$4*'NIFTY MEMBS'!X67</f>
        <v>15228.209764918627</v>
      </c>
      <c r="X78" s="4">
        <f>$X$4*'NIFTY MEMBS'!Y67</f>
        <v>18845.491097070644</v>
      </c>
      <c r="Y78" s="4">
        <f>$Y$4*'NIFTY MEMBS'!Z67</f>
        <v>19076.598438489134</v>
      </c>
      <c r="Z78" s="4">
        <f>$Z$4*'NIFTY MEMBS'!AA67</f>
        <v>19054.100034025181</v>
      </c>
      <c r="AA78" s="4">
        <f>$AA$4*'NIFTY MEMBS'!AB67</f>
        <v>22215.472969241811</v>
      </c>
      <c r="AB78" s="4">
        <f>$AB$4*'NIFTY MEMBS'!AC67</f>
        <v>16403.596403596403</v>
      </c>
      <c r="AC78" s="4">
        <f>$AC$4*'NIFTY MEMBS'!AD67</f>
        <v>18936.855670103094</v>
      </c>
      <c r="AD78" s="4">
        <f>$AD$4*'NIFTY MEMBS'!AE67</f>
        <v>16385.719052385721</v>
      </c>
      <c r="AE78" s="4">
        <f>$AE$4*'NIFTY MEMBS'!AF67</f>
        <v>17584.934586496274</v>
      </c>
      <c r="AF78" s="4">
        <f>$AF$4*'NIFTY MEMBS'!AG67</f>
        <v>20446.054715466558</v>
      </c>
      <c r="AG78" s="4">
        <f>$AG$4*'NIFTY MEMBS'!AH67</f>
        <v>19930.124223602485</v>
      </c>
      <c r="AH78" s="4">
        <f>$AH$4*'NIFTY MEMBS'!AI67</f>
        <v>20856.521177924067</v>
      </c>
      <c r="AI78" s="4">
        <f>$AI$4*'NIFTY MEMBS'!AJ67</f>
        <v>20533.859880064352</v>
      </c>
      <c r="AJ78" s="4">
        <f>$AJ$4*'NIFTY MEMBS'!AK67</f>
        <v>14604.696994580392</v>
      </c>
      <c r="AK78" s="4">
        <f>$AK$4*'NIFTY MEMBS'!AL67</f>
        <v>21431.116024814201</v>
      </c>
      <c r="AL78" s="4">
        <f>$AL$4*'NIFTY MEMBS'!AM67</f>
        <v>21484.453360080239</v>
      </c>
      <c r="AM78" s="4">
        <f>$AM$4*'NIFTY MEMBS'!AN67</f>
        <v>15740.833751883478</v>
      </c>
      <c r="AN78" s="4">
        <f>$AN$4*'NIFTY MEMBS'!AO67</f>
        <v>21602.399314481572</v>
      </c>
      <c r="AO78" s="4">
        <f>$AO$4*'NIFTY MEMBS'!AP67</f>
        <v>22328.25664290343</v>
      </c>
      <c r="AP78" s="4">
        <f>$AP$4*'NIFTY MEMBS'!AQ67</f>
        <v>20236.107597605194</v>
      </c>
      <c r="AQ78" s="4">
        <f>$AQ$4*'NIFTY MEMBS'!AR67</f>
        <v>15505.472899609709</v>
      </c>
      <c r="AR78" s="4">
        <f>$AR$4*'NIFTY MEMBS'!AS67</f>
        <v>18510.888758092995</v>
      </c>
      <c r="AS78" s="4">
        <f>$AS$4*'NIFTY MEMBS'!AT67</f>
        <v>18222.167945560508</v>
      </c>
      <c r="AT78" s="4">
        <f>$AT$4*'NIFTY MEMBS'!AU67</f>
        <v>22393.914994946292</v>
      </c>
      <c r="AU78" s="4">
        <f>$AU$4*'NIFTY MEMBS'!AV67</f>
        <v>23641.203955231987</v>
      </c>
      <c r="AV78" s="4">
        <f>$AV$4*'NIFTY MEMBS'!AW67</f>
        <v>16215.485756026297</v>
      </c>
      <c r="AW78" s="4">
        <f>$AW$4*'NIFTY MEMBS'!AX67</f>
        <v>17489.932725512921</v>
      </c>
      <c r="AX78" s="4">
        <f>$AX$4*'NIFTY MEMBS'!AY67</f>
        <v>14070.55910872705</v>
      </c>
      <c r="AY78" s="4">
        <f t="shared" ref="AY78:AY141" si="10">SUM(B78:AX78)</f>
        <v>941492.08555307367</v>
      </c>
      <c r="AZ78" s="4">
        <f t="shared" ref="AZ78:AZ141" si="11">AY78/$AY$13*100</f>
        <v>96.070620974803433</v>
      </c>
    </row>
    <row r="79" spans="1:52" ht="14.25" customHeight="1" x14ac:dyDescent="0.3">
      <c r="A79" s="2">
        <v>45754</v>
      </c>
      <c r="B79" s="4">
        <f>$B$4*'NIFTY MEMBS'!C68</f>
        <v>19090.276356192426</v>
      </c>
      <c r="C79" s="4">
        <f>$C$4*'NIFTY MEMBS'!D68</f>
        <v>19718.862886759856</v>
      </c>
      <c r="D79" s="4">
        <f>$D$4*'NIFTY MEMBS'!E68</f>
        <v>21139.938584947045</v>
      </c>
      <c r="E79" s="4">
        <f>$E$4*'NIFTY MEMBS'!F68</f>
        <v>15922.625199090568</v>
      </c>
      <c r="F79" s="4">
        <f>$F$4*'NIFTY MEMBS'!G68</f>
        <v>20060.764227008916</v>
      </c>
      <c r="G79" s="4">
        <f>$G$4*'NIFTY MEMBS'!H68</f>
        <v>18832.576903681289</v>
      </c>
      <c r="H79" s="4">
        <f>$H$4*'NIFTY MEMBS'!I68</f>
        <v>14839.309428950863</v>
      </c>
      <c r="I79" s="4">
        <f>$I$4*'NIFTY MEMBS'!J68</f>
        <v>19373.842642435728</v>
      </c>
      <c r="J79" s="4">
        <f>$J$4*'NIFTY MEMBS'!K68</f>
        <v>24708.375989502976</v>
      </c>
      <c r="K79" s="4">
        <f>$K$4*'NIFTY MEMBS'!L68</f>
        <v>17738.412476519155</v>
      </c>
      <c r="L79" s="4">
        <f>$L$4*'NIFTY MEMBS'!M68</f>
        <v>16733.469665985001</v>
      </c>
      <c r="M79" s="4">
        <f>$M$4*'NIFTY MEMBS'!N68</f>
        <v>20216.714399150631</v>
      </c>
      <c r="N79" s="4">
        <f>$N$4*'NIFTY MEMBS'!O68</f>
        <v>16166.450356911097</v>
      </c>
      <c r="O79" s="4">
        <f>$O$4*'NIFTY MEMBS'!P68</f>
        <v>22789.644374860207</v>
      </c>
      <c r="P79" s="4">
        <f>$P$4*'NIFTY MEMBS'!Q68</f>
        <v>14373.806846413347</v>
      </c>
      <c r="Q79" s="4">
        <f>$Q$4*'NIFTY MEMBS'!R68</f>
        <v>17633.799835974496</v>
      </c>
      <c r="R79" s="4">
        <f>$R$4*'NIFTY MEMBS'!S68</f>
        <v>19553.769546606098</v>
      </c>
      <c r="S79" s="4">
        <f>$S$4*'NIFTY MEMBS'!T68</f>
        <v>19554.954282515395</v>
      </c>
      <c r="T79" s="4">
        <f>$T$4*'NIFTY MEMBS'!U68</f>
        <v>23504.821111393048</v>
      </c>
      <c r="U79" s="4">
        <f>$U$4*'NIFTY MEMBS'!V68</f>
        <v>18576.148255143908</v>
      </c>
      <c r="V79" s="4">
        <f>$V$4*'NIFTY MEMBS'!W68</f>
        <v>20968.080323692495</v>
      </c>
      <c r="W79" s="4">
        <f>$W$4*'NIFTY MEMBS'!X68</f>
        <v>15163.110307414107</v>
      </c>
      <c r="X79" s="4">
        <f>$X$4*'NIFTY MEMBS'!Y68</f>
        <v>18226.799048166078</v>
      </c>
      <c r="Y79" s="4">
        <f>$Y$4*'NIFTY MEMBS'!Z68</f>
        <v>18555.813462755857</v>
      </c>
      <c r="Z79" s="4">
        <f>$Z$4*'NIFTY MEMBS'!AA68</f>
        <v>18516.502211636616</v>
      </c>
      <c r="AA79" s="4">
        <f>$AA$4*'NIFTY MEMBS'!AB68</f>
        <v>20548.89833784306</v>
      </c>
      <c r="AB79" s="4">
        <f>$AB$4*'NIFTY MEMBS'!AC68</f>
        <v>16177.156177156177</v>
      </c>
      <c r="AC79" s="4">
        <f>$AC$4*'NIFTY MEMBS'!AD68</f>
        <v>18646.907216494845</v>
      </c>
      <c r="AD79" s="4">
        <f>$AD$4*'NIFTY MEMBS'!AE68</f>
        <v>15475.475475475474</v>
      </c>
      <c r="AE79" s="4">
        <f>$AE$4*'NIFTY MEMBS'!AF68</f>
        <v>16719.314001979281</v>
      </c>
      <c r="AF79" s="4">
        <f>$AF$4*'NIFTY MEMBS'!AG68</f>
        <v>20318.486538086043</v>
      </c>
      <c r="AG79" s="4">
        <f>$AG$4*'NIFTY MEMBS'!AH68</f>
        <v>19539.337474120082</v>
      </c>
      <c r="AH79" s="4">
        <f>$AH$4*'NIFTY MEMBS'!AI68</f>
        <v>20735.372757279049</v>
      </c>
      <c r="AI79" s="4">
        <f>$AI$4*'NIFTY MEMBS'!AJ68</f>
        <v>18938.130759104868</v>
      </c>
      <c r="AJ79" s="4">
        <f>$AJ$4*'NIFTY MEMBS'!AK68</f>
        <v>14026.605353916902</v>
      </c>
      <c r="AK79" s="4">
        <f>$AK$4*'NIFTY MEMBS'!AL68</f>
        <v>20548.287369735681</v>
      </c>
      <c r="AL79" s="4">
        <f>$AL$4*'NIFTY MEMBS'!AM68</f>
        <v>20736.699895605179</v>
      </c>
      <c r="AM79" s="4">
        <f>$AM$4*'NIFTY MEMBS'!AN68</f>
        <v>13415.156938618147</v>
      </c>
      <c r="AN79" s="4">
        <f>$AN$4*'NIFTY MEMBS'!AO68</f>
        <v>20862.610682662093</v>
      </c>
      <c r="AO79" s="4">
        <f>$AO$4*'NIFTY MEMBS'!AP68</f>
        <v>21579.714841218403</v>
      </c>
      <c r="AP79" s="4">
        <f>$AP$4*'NIFTY MEMBS'!AQ68</f>
        <v>18949.321190656883</v>
      </c>
      <c r="AQ79" s="4">
        <f>$AQ$4*'NIFTY MEMBS'!AR68</f>
        <v>15118.701763652904</v>
      </c>
      <c r="AR79" s="4">
        <f>$AR$4*'NIFTY MEMBS'!AS68</f>
        <v>18111.307304950624</v>
      </c>
      <c r="AS79" s="4">
        <f>$AS$4*'NIFTY MEMBS'!AT68</f>
        <v>18137.360661632505</v>
      </c>
      <c r="AT79" s="4">
        <f>$AT$4*'NIFTY MEMBS'!AU68</f>
        <v>21037.123327565823</v>
      </c>
      <c r="AU79" s="4">
        <f>$AU$4*'NIFTY MEMBS'!AV68</f>
        <v>22761.056177333478</v>
      </c>
      <c r="AV79" s="4">
        <f>$AV$4*'NIFTY MEMBS'!AW68</f>
        <v>15893.352812271733</v>
      </c>
      <c r="AW79" s="4">
        <f>$AW$4*'NIFTY MEMBS'!AX68</f>
        <v>16857.576445565021</v>
      </c>
      <c r="AX79" s="4">
        <f>$AX$4*'NIFTY MEMBS'!AY68</f>
        <v>13944.708066845473</v>
      </c>
      <c r="AY79" s="4">
        <f t="shared" si="10"/>
        <v>911037.53029347688</v>
      </c>
      <c r="AZ79" s="4">
        <f t="shared" si="11"/>
        <v>92.963013295252736</v>
      </c>
    </row>
    <row r="80" spans="1:52" ht="14.25" customHeight="1" x14ac:dyDescent="0.3">
      <c r="A80" s="2">
        <v>45755</v>
      </c>
      <c r="B80" s="4">
        <f>$B$4*'NIFTY MEMBS'!C69</f>
        <v>19360.491299897647</v>
      </c>
      <c r="C80" s="4">
        <f>$C$4*'NIFTY MEMBS'!D69</f>
        <v>19847.427584195295</v>
      </c>
      <c r="D80" s="4">
        <f>$D$4*'NIFTY MEMBS'!E69</f>
        <v>21562.950429278688</v>
      </c>
      <c r="E80" s="4">
        <f>$E$4*'NIFTY MEMBS'!F69</f>
        <v>16014.541210227479</v>
      </c>
      <c r="F80" s="4">
        <f>$F$4*'NIFTY MEMBS'!G69</f>
        <v>20253.184279203833</v>
      </c>
      <c r="G80" s="4">
        <f>$G$4*'NIFTY MEMBS'!H69</f>
        <v>19379.727685325262</v>
      </c>
      <c r="H80" s="4">
        <f>$H$4*'NIFTY MEMBS'!I69</f>
        <v>15179.81407702523</v>
      </c>
      <c r="I80" s="4">
        <f>$I$4*'NIFTY MEMBS'!J69</f>
        <v>19717.066448473368</v>
      </c>
      <c r="J80" s="4">
        <f>$J$4*'NIFTY MEMBS'!K69</f>
        <v>25441.437284616382</v>
      </c>
      <c r="K80" s="4">
        <f>$K$4*'NIFTY MEMBS'!L69</f>
        <v>18022.366869075184</v>
      </c>
      <c r="L80" s="4">
        <f>$L$4*'NIFTY MEMBS'!M69</f>
        <v>17238.445807770961</v>
      </c>
      <c r="M80" s="4">
        <f>$M$4*'NIFTY MEMBS'!N69</f>
        <v>20447.168616114843</v>
      </c>
      <c r="N80" s="4">
        <f>$N$4*'NIFTY MEMBS'!O69</f>
        <v>16376.703439325114</v>
      </c>
      <c r="O80" s="4">
        <f>$O$4*'NIFTY MEMBS'!P69</f>
        <v>22983.113397450234</v>
      </c>
      <c r="P80" s="4">
        <f>$P$4*'NIFTY MEMBS'!Q69</f>
        <v>14679.777190826118</v>
      </c>
      <c r="Q80" s="4">
        <f>$Q$4*'NIFTY MEMBS'!R69</f>
        <v>17866.6102277838</v>
      </c>
      <c r="R80" s="4">
        <f>$R$4*'NIFTY MEMBS'!S69</f>
        <v>19691.534899973791</v>
      </c>
      <c r="S80" s="4">
        <f>$S$4*'NIFTY MEMBS'!T69</f>
        <v>20112.894196678484</v>
      </c>
      <c r="T80" s="4">
        <f>$T$4*'NIFTY MEMBS'!U69</f>
        <v>24146.155798020805</v>
      </c>
      <c r="U80" s="4">
        <f>$U$4*'NIFTY MEMBS'!V69</f>
        <v>19191.419395485351</v>
      </c>
      <c r="V80" s="4">
        <f>$V$4*'NIFTY MEMBS'!W69</f>
        <v>21156.900944103101</v>
      </c>
      <c r="W80" s="4">
        <f>$W$4*'NIFTY MEMBS'!X69</f>
        <v>15565.280289330924</v>
      </c>
      <c r="X80" s="4">
        <f>$X$4*'NIFTY MEMBS'!Y69</f>
        <v>18566.505292524816</v>
      </c>
      <c r="Y80" s="4">
        <f>$Y$4*'NIFTY MEMBS'!Z69</f>
        <v>19131.462333825701</v>
      </c>
      <c r="Z80" s="4">
        <f>$Z$4*'NIFTY MEMBS'!AA69</f>
        <v>19152.773052058525</v>
      </c>
      <c r="AA80" s="4">
        <f>$AA$4*'NIFTY MEMBS'!AB69</f>
        <v>21085.648020321387</v>
      </c>
      <c r="AB80" s="4">
        <f>$AB$4*'NIFTY MEMBS'!AC69</f>
        <v>16466.866466866468</v>
      </c>
      <c r="AC80" s="4">
        <f>$AC$4*'NIFTY MEMBS'!AD69</f>
        <v>18617.912371134022</v>
      </c>
      <c r="AD80" s="4">
        <f>$AD$4*'NIFTY MEMBS'!AE69</f>
        <v>15718.385051718386</v>
      </c>
      <c r="AE80" s="4">
        <f>$AE$4*'NIFTY MEMBS'!AF69</f>
        <v>17156.929483842552</v>
      </c>
      <c r="AF80" s="4">
        <f>$AF$4*'NIFTY MEMBS'!AG69</f>
        <v>20777.124509144553</v>
      </c>
      <c r="AG80" s="4">
        <f>$AG$4*'NIFTY MEMBS'!AH69</f>
        <v>19816.252587991719</v>
      </c>
      <c r="AH80" s="4">
        <f>$AH$4*'NIFTY MEMBS'!AI69</f>
        <v>20978.775976839817</v>
      </c>
      <c r="AI80" s="4">
        <f>$AI$4*'NIFTY MEMBS'!AJ69</f>
        <v>19055.141143776509</v>
      </c>
      <c r="AJ80" s="4">
        <f>$AJ$4*'NIFTY MEMBS'!AK69</f>
        <v>14768.270651995404</v>
      </c>
      <c r="AK80" s="4">
        <f>$AK$4*'NIFTY MEMBS'!AL69</f>
        <v>21211.227811559485</v>
      </c>
      <c r="AL80" s="4">
        <f>$AL$4*'NIFTY MEMBS'!AM69</f>
        <v>21416.699076822304</v>
      </c>
      <c r="AM80" s="4">
        <f>$AM$4*'NIFTY MEMBS'!AN69</f>
        <v>13489.434851196582</v>
      </c>
      <c r="AN80" s="4">
        <f>$AN$4*'NIFTY MEMBS'!AO69</f>
        <v>21251.071122536414</v>
      </c>
      <c r="AO80" s="4">
        <f>$AO$4*'NIFTY MEMBS'!AP69</f>
        <v>22221.322099805569</v>
      </c>
      <c r="AP80" s="4">
        <f>$AP$4*'NIFTY MEMBS'!AQ69</f>
        <v>19170.250442701745</v>
      </c>
      <c r="AQ80" s="4">
        <f>$AQ$4*'NIFTY MEMBS'!AR69</f>
        <v>15428.58819731784</v>
      </c>
      <c r="AR80" s="4">
        <f>$AR$4*'NIFTY MEMBS'!AS69</f>
        <v>18737.165652998494</v>
      </c>
      <c r="AS80" s="4">
        <f>$AS$4*'NIFTY MEMBS'!AT69</f>
        <v>18333.570793728333</v>
      </c>
      <c r="AT80" s="4">
        <f>$AT$4*'NIFTY MEMBS'!AU69</f>
        <v>21977.626642454557</v>
      </c>
      <c r="AU80" s="4">
        <f>$AU$4*'NIFTY MEMBS'!AV69</f>
        <v>23247.853960665001</v>
      </c>
      <c r="AV80" s="4">
        <f>$AV$4*'NIFTY MEMBS'!AW69</f>
        <v>16186.267348429512</v>
      </c>
      <c r="AW80" s="4">
        <f>$AW$4*'NIFTY MEMBS'!AX69</f>
        <v>17083.417974117841</v>
      </c>
      <c r="AX80" s="4">
        <f>$AX$4*'NIFTY MEMBS'!AY69</f>
        <v>14022.075510625129</v>
      </c>
      <c r="AY80" s="4">
        <f t="shared" si="10"/>
        <v>929303.62979718053</v>
      </c>
      <c r="AZ80" s="4">
        <f t="shared" si="11"/>
        <v>94.826900999712308</v>
      </c>
    </row>
    <row r="81" spans="1:52" ht="14.25" customHeight="1" x14ac:dyDescent="0.3">
      <c r="A81" s="2">
        <v>45756</v>
      </c>
      <c r="B81" s="4">
        <f>$B$4*'NIFTY MEMBS'!C70</f>
        <v>19412.077789150459</v>
      </c>
      <c r="C81" s="4">
        <f>$C$4*'NIFTY MEMBS'!D70</f>
        <v>19800.75837465503</v>
      </c>
      <c r="D81" s="4">
        <f>$D$4*'NIFTY MEMBS'!E70</f>
        <v>21502.162060537692</v>
      </c>
      <c r="E81" s="4">
        <f>$E$4*'NIFTY MEMBS'!F70</f>
        <v>15789.128135296478</v>
      </c>
      <c r="F81" s="4">
        <f>$F$4*'NIFTY MEMBS'!G70</f>
        <v>20267.206793128968</v>
      </c>
      <c r="G81" s="4">
        <f>$G$4*'NIFTY MEMBS'!H70</f>
        <v>18714.069591527987</v>
      </c>
      <c r="H81" s="4">
        <f>$H$4*'NIFTY MEMBS'!I70</f>
        <v>14913.147410358566</v>
      </c>
      <c r="I81" s="4">
        <f>$I$4*'NIFTY MEMBS'!J70</f>
        <v>20240.299728693855</v>
      </c>
      <c r="J81" s="4">
        <f>$J$4*'NIFTY MEMBS'!K70</f>
        <v>25192.277190604589</v>
      </c>
      <c r="K81" s="4">
        <f>$K$4*'NIFTY MEMBS'!L70</f>
        <v>18186.186710934428</v>
      </c>
      <c r="L81" s="4">
        <f>$L$4*'NIFTY MEMBS'!M70</f>
        <v>16655.21472392638</v>
      </c>
      <c r="M81" s="4">
        <f>$M$4*'NIFTY MEMBS'!N70</f>
        <v>20444.49202822908</v>
      </c>
      <c r="N81" s="4">
        <f>$N$4*'NIFTY MEMBS'!O70</f>
        <v>16373.134328358208</v>
      </c>
      <c r="O81" s="4">
        <f>$O$4*'NIFTY MEMBS'!P70</f>
        <v>22955.714605233723</v>
      </c>
      <c r="P81" s="4">
        <f>$P$4*'NIFTY MEMBS'!Q70</f>
        <v>14435.523941525667</v>
      </c>
      <c r="Q81" s="4">
        <f>$Q$4*'NIFTY MEMBS'!R70</f>
        <v>17484.060424878964</v>
      </c>
      <c r="R81" s="4">
        <f>$R$4*'NIFTY MEMBS'!S70</f>
        <v>19912.728225735998</v>
      </c>
      <c r="S81" s="4">
        <f>$S$4*'NIFTY MEMBS'!T70</f>
        <v>19810.598992349322</v>
      </c>
      <c r="T81" s="4">
        <f>$T$4*'NIFTY MEMBS'!U70</f>
        <v>24051.002283684342</v>
      </c>
      <c r="U81" s="4">
        <f>$U$4*'NIFTY MEMBS'!V70</f>
        <v>19510.118782365509</v>
      </c>
      <c r="V81" s="4">
        <f>$V$4*'NIFTY MEMBS'!W70</f>
        <v>20941.105949348123</v>
      </c>
      <c r="W81" s="4">
        <f>$W$4*'NIFTY MEMBS'!X70</f>
        <v>15290.415913200724</v>
      </c>
      <c r="X81" s="4">
        <f>$X$4*'NIFTY MEMBS'!Y70</f>
        <v>18573.890210880443</v>
      </c>
      <c r="Y81" s="4">
        <f>$Y$4*'NIFTY MEMBS'!Z70</f>
        <v>18733.066047689386</v>
      </c>
      <c r="Z81" s="4">
        <f>$Z$4*'NIFTY MEMBS'!AA70</f>
        <v>19064.307587614836</v>
      </c>
      <c r="AA81" s="4">
        <f>$AA$4*'NIFTY MEMBS'!AB70</f>
        <v>20885.747418410734</v>
      </c>
      <c r="AB81" s="4">
        <f>$AB$4*'NIFTY MEMBS'!AC70</f>
        <v>15760.90576090576</v>
      </c>
      <c r="AC81" s="4">
        <f>$AC$4*'NIFTY MEMBS'!AD70</f>
        <v>18904.639175257733</v>
      </c>
      <c r="AD81" s="4">
        <f>$AD$4*'NIFTY MEMBS'!AE70</f>
        <v>15559.559559559559</v>
      </c>
      <c r="AE81" s="4">
        <f>$AE$4*'NIFTY MEMBS'!AF70</f>
        <v>17326.827259154172</v>
      </c>
      <c r="AF81" s="4">
        <f>$AF$4*'NIFTY MEMBS'!AG70</f>
        <v>20924.218427960859</v>
      </c>
      <c r="AG81" s="4">
        <f>$AG$4*'NIFTY MEMBS'!AH70</f>
        <v>19389.233954451349</v>
      </c>
      <c r="AH81" s="4">
        <f>$AH$4*'NIFTY MEMBS'!AI70</f>
        <v>21619.184599214477</v>
      </c>
      <c r="AI81" s="4">
        <f>$AI$4*'NIFTY MEMBS'!AJ70</f>
        <v>18601.725903173905</v>
      </c>
      <c r="AJ81" s="4">
        <f>$AJ$4*'NIFTY MEMBS'!AK70</f>
        <v>14512.727869929382</v>
      </c>
      <c r="AK81" s="4">
        <f>$AK$4*'NIFTY MEMBS'!AL70</f>
        <v>20946.706795241895</v>
      </c>
      <c r="AL81" s="4">
        <f>$AL$4*'NIFTY MEMBS'!AM70</f>
        <v>21527.03006980124</v>
      </c>
      <c r="AM81" s="4">
        <f>$AM$4*'NIFTY MEMBS'!AN70</f>
        <v>13073.478540757351</v>
      </c>
      <c r="AN81" s="4">
        <f>$AN$4*'NIFTY MEMBS'!AO70</f>
        <v>21160.382747786345</v>
      </c>
      <c r="AO81" s="4">
        <f>$AO$4*'NIFTY MEMBS'!AP70</f>
        <v>22190.537913156182</v>
      </c>
      <c r="AP81" s="4">
        <f>$AP$4*'NIFTY MEMBS'!AQ70</f>
        <v>19023.526435618514</v>
      </c>
      <c r="AQ81" s="4">
        <f>$AQ$4*'NIFTY MEMBS'!AR70</f>
        <v>14939.695395721455</v>
      </c>
      <c r="AR81" s="4">
        <f>$AR$4*'NIFTY MEMBS'!AS70</f>
        <v>18515.466614348308</v>
      </c>
      <c r="AS81" s="4">
        <f>$AS$4*'NIFTY MEMBS'!AT70</f>
        <v>18546.606690955472</v>
      </c>
      <c r="AT81" s="4">
        <f>$AT$4*'NIFTY MEMBS'!AU70</f>
        <v>21398.591814708852</v>
      </c>
      <c r="AU81" s="4">
        <f>$AU$4*'NIFTY MEMBS'!AV70</f>
        <v>23682.494838639574</v>
      </c>
      <c r="AV81" s="4">
        <f>$AV$4*'NIFTY MEMBS'!AW70</f>
        <v>15983.199415631849</v>
      </c>
      <c r="AW81" s="4">
        <f>$AW$4*'NIFTY MEMBS'!AX70</f>
        <v>17259.072496325593</v>
      </c>
      <c r="AX81" s="4">
        <f>$AX$4*'NIFTY MEMBS'!AY70</f>
        <v>13999.381060449763</v>
      </c>
      <c r="AY81" s="4">
        <f t="shared" si="10"/>
        <v>923983.62858706934</v>
      </c>
      <c r="AZ81" s="4">
        <f t="shared" si="11"/>
        <v>94.284043733374418</v>
      </c>
    </row>
    <row r="82" spans="1:52" ht="14.25" customHeight="1" x14ac:dyDescent="0.3">
      <c r="A82" s="2">
        <v>45758</v>
      </c>
      <c r="B82" s="4">
        <f>$B$4*'NIFTY MEMBS'!C71</f>
        <v>19962.333674513819</v>
      </c>
      <c r="C82" s="4">
        <f>$C$4*'NIFTY MEMBS'!D71</f>
        <v>20269.245439655366</v>
      </c>
      <c r="D82" s="4">
        <f>$D$4*'NIFTY MEMBS'!E71</f>
        <v>22016.669800087733</v>
      </c>
      <c r="E82" s="4">
        <f>$E$4*'NIFTY MEMBS'!F71</f>
        <v>15715.692592007197</v>
      </c>
      <c r="F82" s="4">
        <f>$F$4*'NIFTY MEMBS'!G71</f>
        <v>20436.255988781988</v>
      </c>
      <c r="G82" s="4">
        <f>$G$4*'NIFTY MEMBS'!H71</f>
        <v>19007.81643973777</v>
      </c>
      <c r="H82" s="4">
        <f>$H$4*'NIFTY MEMBS'!I71</f>
        <v>14974.236387782204</v>
      </c>
      <c r="I82" s="4">
        <f>$I$4*'NIFTY MEMBS'!J71</f>
        <v>20379.397958744245</v>
      </c>
      <c r="J82" s="4">
        <f>$J$4*'NIFTY MEMBS'!K71</f>
        <v>25726.644845933126</v>
      </c>
      <c r="K82" s="4">
        <f>$K$4*'NIFTY MEMBS'!L71</f>
        <v>18415.534489537371</v>
      </c>
      <c r="L82" s="4">
        <f>$L$4*'NIFTY MEMBS'!M71</f>
        <v>16992.229038854803</v>
      </c>
      <c r="M82" s="4">
        <f>$M$4*'NIFTY MEMBS'!N71</f>
        <v>20697.251144241323</v>
      </c>
      <c r="N82" s="4">
        <f>$N$4*'NIFTY MEMBS'!O71</f>
        <v>16744.646333549641</v>
      </c>
      <c r="O82" s="4">
        <f>$O$4*'NIFTY MEMBS'!P71</f>
        <v>23609.930664280917</v>
      </c>
      <c r="P82" s="4">
        <f>$P$4*'NIFTY MEMBS'!Q71</f>
        <v>14545.882476006171</v>
      </c>
      <c r="Q82" s="4">
        <f>$Q$4*'NIFTY MEMBS'!R71</f>
        <v>17858.144395354371</v>
      </c>
      <c r="R82" s="4">
        <f>$R$4*'NIFTY MEMBS'!S71</f>
        <v>20097.230715471302</v>
      </c>
      <c r="S82" s="4">
        <f>$S$4*'NIFTY MEMBS'!T71</f>
        <v>19946.818436275425</v>
      </c>
      <c r="T82" s="4">
        <f>$T$4*'NIFTY MEMBS'!U71</f>
        <v>24692.971327074345</v>
      </c>
      <c r="U82" s="4">
        <f>$U$4*'NIFTY MEMBS'!V71</f>
        <v>19883.522596308991</v>
      </c>
      <c r="V82" s="4">
        <f>$V$4*'NIFTY MEMBS'!W71</f>
        <v>21585.493780908138</v>
      </c>
      <c r="W82" s="4">
        <f>$W$4*'NIFTY MEMBS'!X71</f>
        <v>15710.669077757686</v>
      </c>
      <c r="X82" s="4">
        <f>$X$4*'NIFTY MEMBS'!Y71</f>
        <v>19111.348157873141</v>
      </c>
      <c r="Y82" s="4">
        <f>$Y$4*'NIFTY MEMBS'!Z71</f>
        <v>19444.608567208274</v>
      </c>
      <c r="Z82" s="4">
        <f>$Z$4*'NIFTY MEMBS'!AA71</f>
        <v>19394.351820347059</v>
      </c>
      <c r="AA82" s="4">
        <f>$AA$4*'NIFTY MEMBS'!AB71</f>
        <v>21873.101772599261</v>
      </c>
      <c r="AB82" s="4">
        <f>$AB$4*'NIFTY MEMBS'!AC71</f>
        <v>15967.365967365966</v>
      </c>
      <c r="AC82" s="4">
        <f>$AC$4*'NIFTY MEMBS'!AD71</f>
        <v>19594.072164948459</v>
      </c>
      <c r="AD82" s="4">
        <f>$AD$4*'NIFTY MEMBS'!AE71</f>
        <v>15883.883883883882</v>
      </c>
      <c r="AE82" s="4">
        <f>$AE$4*'NIFTY MEMBS'!AF71</f>
        <v>17776.570124305679</v>
      </c>
      <c r="AF82" s="4">
        <f>$AF$4*'NIFTY MEMBS'!AG71</f>
        <v>20771.917644761674</v>
      </c>
      <c r="AG82" s="4">
        <f>$AG$4*'NIFTY MEMBS'!AH71</f>
        <v>20295.031055900621</v>
      </c>
      <c r="AH82" s="4">
        <f>$AH$4*'NIFTY MEMBS'!AI71</f>
        <v>21771.680404196864</v>
      </c>
      <c r="AI82" s="4">
        <f>$AI$4*'NIFTY MEMBS'!AJ71</f>
        <v>19514.406903612693</v>
      </c>
      <c r="AJ82" s="4">
        <f>$AJ$4*'NIFTY MEMBS'!AK71</f>
        <v>15110.527180160949</v>
      </c>
      <c r="AK82" s="4">
        <f>$AK$4*'NIFTY MEMBS'!AL71</f>
        <v>21712.425526687548</v>
      </c>
      <c r="AL82" s="4">
        <f>$AL$4*'NIFTY MEMBS'!AM71</f>
        <v>21906.126542893984</v>
      </c>
      <c r="AM82" s="4">
        <f>$AM$4*'NIFTY MEMBS'!AN71</f>
        <v>13527.2104753079</v>
      </c>
      <c r="AN82" s="4">
        <f>$AN$4*'NIFTY MEMBS'!AO71</f>
        <v>21735.218508997426</v>
      </c>
      <c r="AO82" s="4">
        <f>$AO$4*'NIFTY MEMBS'!AP71</f>
        <v>22214.841218405698</v>
      </c>
      <c r="AP82" s="4">
        <f>$AP$4*'NIFTY MEMBS'!AQ71</f>
        <v>20247.912977485452</v>
      </c>
      <c r="AQ82" s="4">
        <f>$AQ$4*'NIFTY MEMBS'!AR71</f>
        <v>15051.207559350882</v>
      </c>
      <c r="AR82" s="4">
        <f>$AR$4*'NIFTY MEMBS'!AS71</f>
        <v>19136.093126675823</v>
      </c>
      <c r="AS82" s="4">
        <f>$AS$4*'NIFTY MEMBS'!AT71</f>
        <v>18402.366462450726</v>
      </c>
      <c r="AT82" s="4">
        <f>$AT$4*'NIFTY MEMBS'!AU71</f>
        <v>21886.831240470761</v>
      </c>
      <c r="AU82" s="4">
        <f>$AU$4*'NIFTY MEMBS'!AV71</f>
        <v>23859.610996414216</v>
      </c>
      <c r="AV82" s="4">
        <f>$AV$4*'NIFTY MEMBS'!AW71</f>
        <v>16208.911614317019</v>
      </c>
      <c r="AW82" s="4">
        <f>$AW$4*'NIFTY MEMBS'!AX71</f>
        <v>17522.434786764967</v>
      </c>
      <c r="AX82" s="4">
        <f>$AX$4*'NIFTY MEMBS'!AY71</f>
        <v>14225.293996286364</v>
      </c>
      <c r="AY82" s="4">
        <f t="shared" si="10"/>
        <v>943413.96828253707</v>
      </c>
      <c r="AZ82" s="4">
        <f t="shared" si="11"/>
        <v>96.266731457401747</v>
      </c>
    </row>
    <row r="83" spans="1:52" ht="14.25" customHeight="1" x14ac:dyDescent="0.3">
      <c r="A83" s="2">
        <v>45762</v>
      </c>
      <c r="B83" s="4">
        <f>$B$4*'NIFTY MEMBS'!C72</f>
        <v>20308.700102354142</v>
      </c>
      <c r="C83" s="4">
        <f>$C$4*'NIFTY MEMBS'!D72</f>
        <v>20921.492517220493</v>
      </c>
      <c r="D83" s="4">
        <f>$D$4*'NIFTY MEMBS'!E72</f>
        <v>22545.59127655574</v>
      </c>
      <c r="E83" s="4">
        <f>$E$4*'NIFTY MEMBS'!F72</f>
        <v>15796.909384916533</v>
      </c>
      <c r="F83" s="4">
        <f>$F$4*'NIFTY MEMBS'!G72</f>
        <v>21036.887001908621</v>
      </c>
      <c r="G83" s="4">
        <f>$G$4*'NIFTY MEMBS'!H72</f>
        <v>19251.134644478061</v>
      </c>
      <c r="H83" s="4">
        <f>$H$4*'NIFTY MEMBS'!I72</f>
        <v>15150.066401062417</v>
      </c>
      <c r="I83" s="4">
        <f>$I$4*'NIFTY MEMBS'!J72</f>
        <v>20339.348003961932</v>
      </c>
      <c r="J83" s="4">
        <f>$J$4*'NIFTY MEMBS'!K72</f>
        <v>26360.791890761757</v>
      </c>
      <c r="K83" s="4">
        <f>$K$4*'NIFTY MEMBS'!L72</f>
        <v>18365.296404700537</v>
      </c>
      <c r="L83" s="4">
        <f>$L$4*'NIFTY MEMBS'!M72</f>
        <v>17764.689843217449</v>
      </c>
      <c r="M83" s="4">
        <f>$M$4*'NIFTY MEMBS'!N72</f>
        <v>21153.966257148721</v>
      </c>
      <c r="N83" s="4">
        <f>$N$4*'NIFTY MEMBS'!O72</f>
        <v>17170.668397144709</v>
      </c>
      <c r="O83" s="4">
        <f>$O$4*'NIFTY MEMBS'!P72</f>
        <v>23710.579288749715</v>
      </c>
      <c r="P83" s="4">
        <f>$P$4*'NIFTY MEMBS'!Q72</f>
        <v>14921.938335207511</v>
      </c>
      <c r="Q83" s="4">
        <f>$Q$4*'NIFTY MEMBS'!R72</f>
        <v>18042.805365221302</v>
      </c>
      <c r="R83" s="4">
        <f>$R$4*'NIFTY MEMBS'!S72</f>
        <v>20475.233685681837</v>
      </c>
      <c r="S83" s="4">
        <f>$S$4*'NIFTY MEMBS'!T72</f>
        <v>20765.068109721964</v>
      </c>
      <c r="T83" s="4">
        <f>$T$4*'NIFTY MEMBS'!U72</f>
        <v>24968.282161887844</v>
      </c>
      <c r="U83" s="4">
        <f>$U$4*'NIFTY MEMBS'!V72</f>
        <v>20120.165342594159</v>
      </c>
      <c r="V83" s="4">
        <f>$V$4*'NIFTY MEMBS'!W72</f>
        <v>21729.357110744793</v>
      </c>
      <c r="W83" s="4">
        <f>$W$4*'NIFTY MEMBS'!X72</f>
        <v>16074.502712477397</v>
      </c>
      <c r="X83" s="4">
        <f>$X$4*'NIFTY MEMBS'!Y72</f>
        <v>19870.353655534582</v>
      </c>
      <c r="Y83" s="4">
        <f>$Y$4*'NIFTY MEMBS'!Z72</f>
        <v>19640.430470563409</v>
      </c>
      <c r="Z83" s="4">
        <f>$Z$4*'NIFTY MEMBS'!AA72</f>
        <v>19986.389928547127</v>
      </c>
      <c r="AA83" s="4">
        <f>$AA$4*'NIFTY MEMBS'!AB72</f>
        <v>22265.172013915733</v>
      </c>
      <c r="AB83" s="4">
        <f>$AB$4*'NIFTY MEMBS'!AC72</f>
        <v>16250.41625041625</v>
      </c>
      <c r="AC83" s="4">
        <f>$AC$4*'NIFTY MEMBS'!AD72</f>
        <v>19623.067010309282</v>
      </c>
      <c r="AD83" s="4">
        <f>$AD$4*'NIFTY MEMBS'!AE72</f>
        <v>16608.608608608611</v>
      </c>
      <c r="AE83" s="4">
        <f>$AE$4*'NIFTY MEMBS'!AF72</f>
        <v>18295.187373792269</v>
      </c>
      <c r="AF83" s="4">
        <f>$AF$4*'NIFTY MEMBS'!AG72</f>
        <v>20963.703816197685</v>
      </c>
      <c r="AG83" s="4">
        <f>$AG$4*'NIFTY MEMBS'!AH72</f>
        <v>20458.074534161493</v>
      </c>
      <c r="AH83" s="4">
        <f>$AH$4*'NIFTY MEMBS'!AI72</f>
        <v>21831.609227194782</v>
      </c>
      <c r="AI83" s="4">
        <f>$AI$4*'NIFTY MEMBS'!AJ72</f>
        <v>19951.733216322948</v>
      </c>
      <c r="AJ83" s="4">
        <f>$AJ$4*'NIFTY MEMBS'!AK72</f>
        <v>15672.195762851044</v>
      </c>
      <c r="AK83" s="4">
        <f>$AK$4*'NIFTY MEMBS'!AL72</f>
        <v>22263.988698482892</v>
      </c>
      <c r="AL83" s="4">
        <f>$AL$4*'NIFTY MEMBS'!AM72</f>
        <v>22635.252696866108</v>
      </c>
      <c r="AM83" s="4">
        <f>$AM$4*'NIFTY MEMBS'!AN72</f>
        <v>13800.128748381803</v>
      </c>
      <c r="AN83" s="4">
        <f>$AN$4*'NIFTY MEMBS'!AO72</f>
        <v>22316.481005427016</v>
      </c>
      <c r="AO83" s="4">
        <f>$AO$4*'NIFTY MEMBS'!AP72</f>
        <v>22835.38561244329</v>
      </c>
      <c r="AP83" s="4">
        <f>$AP$4*'NIFTY MEMBS'!AQ72</f>
        <v>20831.436040138291</v>
      </c>
      <c r="AQ83" s="4">
        <f>$AQ$4*'NIFTY MEMBS'!AR72</f>
        <v>15279.514041729026</v>
      </c>
      <c r="AR83" s="4">
        <f>$AR$4*'NIFTY MEMBS'!AS72</f>
        <v>19381.335426067621</v>
      </c>
      <c r="AS83" s="4">
        <f>$AS$4*'NIFTY MEMBS'!AT72</f>
        <v>18739.017456731322</v>
      </c>
      <c r="AT83" s="4">
        <f>$AT$4*'NIFTY MEMBS'!AU72</f>
        <v>23024.343446456405</v>
      </c>
      <c r="AU83" s="4">
        <f>$AU$4*'NIFTY MEMBS'!AV72</f>
        <v>23979.137237857223</v>
      </c>
      <c r="AV83" s="4">
        <f>$AV$4*'NIFTY MEMBS'!AW72</f>
        <v>16872.169466764062</v>
      </c>
      <c r="AW83" s="4">
        <f>$AW$4*'NIFTY MEMBS'!AX72</f>
        <v>18181.557470096908</v>
      </c>
      <c r="AX83" s="4">
        <f>$AX$4*'NIFTY MEMBS'!AY72</f>
        <v>15182.587167319993</v>
      </c>
      <c r="AY83" s="4">
        <f t="shared" si="10"/>
        <v>963712.7506208946</v>
      </c>
      <c r="AZ83" s="4">
        <f t="shared" si="11"/>
        <v>98.338035777642304</v>
      </c>
    </row>
    <row r="84" spans="1:52" ht="14.25" customHeight="1" x14ac:dyDescent="0.3">
      <c r="A84" s="2">
        <v>45763</v>
      </c>
      <c r="B84" s="4">
        <f>$B$4*'NIFTY MEMBS'!C73</f>
        <v>20295.598771750254</v>
      </c>
      <c r="C84" s="4">
        <f>$C$4*'NIFTY MEMBS'!D73</f>
        <v>21068.455653032379</v>
      </c>
      <c r="D84" s="4">
        <f>$D$4*'NIFTY MEMBS'!E73</f>
        <v>22843.892962336278</v>
      </c>
      <c r="E84" s="4">
        <f>$E$4*'NIFTY MEMBS'!F73</f>
        <v>15921.409378837434</v>
      </c>
      <c r="F84" s="4">
        <f>$F$4*'NIFTY MEMBS'!G73</f>
        <v>21133.486542281775</v>
      </c>
      <c r="G84" s="4">
        <f>$G$4*'NIFTY MEMBS'!H73</f>
        <v>19459.15279878971</v>
      </c>
      <c r="H84" s="4">
        <f>$H$4*'NIFTY MEMBS'!I73</f>
        <v>15013.014608233731</v>
      </c>
      <c r="I84" s="4">
        <f>$I$4*'NIFTY MEMBS'!J73</f>
        <v>20383.27376081995</v>
      </c>
      <c r="J84" s="4">
        <f>$J$4*'NIFTY MEMBS'!K73</f>
        <v>26117.111011780311</v>
      </c>
      <c r="K84" s="4">
        <f>$K$4*'NIFTY MEMBS'!L73</f>
        <v>18542.221833908523</v>
      </c>
      <c r="L84" s="4">
        <f>$L$4*'NIFTY MEMBS'!M73</f>
        <v>17601.63599182004</v>
      </c>
      <c r="M84" s="4">
        <f>$M$4*'NIFTY MEMBS'!N73</f>
        <v>20813.14739969487</v>
      </c>
      <c r="N84" s="4">
        <f>$N$4*'NIFTY MEMBS'!O73</f>
        <v>17096.690460739777</v>
      </c>
      <c r="O84" s="4">
        <f>$O$4*'NIFTY MEMBS'!P73</f>
        <v>23746.365466338626</v>
      </c>
      <c r="P84" s="4">
        <f>$P$4*'NIFTY MEMBS'!Q73</f>
        <v>14976.333063103115</v>
      </c>
      <c r="Q84" s="4">
        <f>$Q$4*'NIFTY MEMBS'!R73</f>
        <v>17916.876107833537</v>
      </c>
      <c r="R84" s="4">
        <f>$R$4*'NIFTY MEMBS'!S73</f>
        <v>20490.958329693367</v>
      </c>
      <c r="S84" s="4">
        <f>$S$4*'NIFTY MEMBS'!T73</f>
        <v>21670.08770292965</v>
      </c>
      <c r="T84" s="4">
        <f>$T$4*'NIFTY MEMBS'!U73</f>
        <v>24983.50672418168</v>
      </c>
      <c r="U84" s="4">
        <f>$U$4*'NIFTY MEMBS'!V73</f>
        <v>20112.174808304011</v>
      </c>
      <c r="V84" s="4">
        <f>$V$4*'NIFTY MEMBS'!W73</f>
        <v>21537.539337629252</v>
      </c>
      <c r="W84" s="4">
        <f>$W$4*'NIFTY MEMBS'!X73</f>
        <v>16063.652802893312</v>
      </c>
      <c r="X84" s="4">
        <f>$X$4*'NIFTY MEMBS'!Y73</f>
        <v>20233.03520144416</v>
      </c>
      <c r="Y84" s="4">
        <f>$Y$4*'NIFTY MEMBS'!Z73</f>
        <v>20360.413589364845</v>
      </c>
      <c r="Z84" s="4">
        <f>$Z$4*'NIFTY MEMBS'!AA73</f>
        <v>19979.584892820691</v>
      </c>
      <c r="AA84" s="4">
        <f>$AA$4*'NIFTY MEMBS'!AB73</f>
        <v>22296.095863935057</v>
      </c>
      <c r="AB84" s="4">
        <f>$AB$4*'NIFTY MEMBS'!AC73</f>
        <v>16493.506493506495</v>
      </c>
      <c r="AC84" s="4">
        <f>$AC$4*'NIFTY MEMBS'!AD73</f>
        <v>19700.386597938144</v>
      </c>
      <c r="AD84" s="4">
        <f>$AD$4*'NIFTY MEMBS'!AE73</f>
        <v>16444.444444444442</v>
      </c>
      <c r="AE84" s="4">
        <f>$AE$4*'NIFTY MEMBS'!AF73</f>
        <v>18217.389065905463</v>
      </c>
      <c r="AF84" s="4">
        <f>$AF$4*'NIFTY MEMBS'!AG73</f>
        <v>21347.276159069705</v>
      </c>
      <c r="AG84" s="4">
        <f>$AG$4*'NIFTY MEMBS'!AH73</f>
        <v>20665.113871635611</v>
      </c>
      <c r="AH84" s="4">
        <f>$AH$4*'NIFTY MEMBS'!AI73</f>
        <v>21973.594438605232</v>
      </c>
      <c r="AI84" s="4">
        <f>$AI$4*'NIFTY MEMBS'!AJ73</f>
        <v>20033.640485593096</v>
      </c>
      <c r="AJ84" s="4">
        <f>$AJ$4*'NIFTY MEMBS'!AK73</f>
        <v>15915.913943176221</v>
      </c>
      <c r="AK84" s="4">
        <f>$AK$4*'NIFTY MEMBS'!AL73</f>
        <v>22134.594517126301</v>
      </c>
      <c r="AL84" s="4">
        <f>$AL$4*'NIFTY MEMBS'!AM73</f>
        <v>22989.376292141729</v>
      </c>
      <c r="AM84" s="4">
        <f>$AM$4*'NIFTY MEMBS'!AN73</f>
        <v>14248.625858617299</v>
      </c>
      <c r="AN84" s="4">
        <f>$AN$4*'NIFTY MEMBS'!AO73</f>
        <v>22356.469580119963</v>
      </c>
      <c r="AO84" s="4">
        <f>$AO$4*'NIFTY MEMBS'!AP73</f>
        <v>23203.17563188593</v>
      </c>
      <c r="AP84" s="4">
        <f>$AP$4*'NIFTY MEMBS'!AQ73</f>
        <v>20571.717682772574</v>
      </c>
      <c r="AQ84" s="4">
        <f>$AQ$4*'NIFTY MEMBS'!AR73</f>
        <v>15361.680899140183</v>
      </c>
      <c r="AR84" s="4">
        <f>$AR$4*'NIFTY MEMBS'!AS73</f>
        <v>19572.297429860704</v>
      </c>
      <c r="AS84" s="4">
        <f>$AS$4*'NIFTY MEMBS'!AT73</f>
        <v>19011.757681843777</v>
      </c>
      <c r="AT84" s="4">
        <f>$AT$4*'NIFTY MEMBS'!AU73</f>
        <v>23163.106230620317</v>
      </c>
      <c r="AU84" s="4">
        <f>$AU$4*'NIFTY MEMBS'!AV73</f>
        <v>24033.467347604044</v>
      </c>
      <c r="AV84" s="4">
        <f>$AV$4*'NIFTY MEMBS'!AW73</f>
        <v>16923.301680058437</v>
      </c>
      <c r="AW84" s="4">
        <f>$AW$4*'NIFTY MEMBS'!AX73</f>
        <v>18076.403742516759</v>
      </c>
      <c r="AX84" s="4">
        <f>$AX$4*'NIFTY MEMBS'!AY73</f>
        <v>16262.636682484012</v>
      </c>
      <c r="AY84" s="4">
        <f t="shared" si="10"/>
        <v>969355.59182116296</v>
      </c>
      <c r="AZ84" s="4">
        <f t="shared" si="11"/>
        <v>98.91383590011867</v>
      </c>
    </row>
    <row r="85" spans="1:52" ht="14.25" customHeight="1" x14ac:dyDescent="0.3">
      <c r="A85" s="2">
        <v>45764</v>
      </c>
      <c r="B85" s="4">
        <f>$B$4*'NIFTY MEMBS'!C74</f>
        <v>20872.057318321393</v>
      </c>
      <c r="C85" s="4">
        <f>$C$4*'NIFTY MEMBS'!D74</f>
        <v>21390.428324620254</v>
      </c>
      <c r="D85" s="4">
        <f>$D$4*'NIFTY MEMBS'!E74</f>
        <v>23677.382966723068</v>
      </c>
      <c r="E85" s="4">
        <f>$E$4*'NIFTY MEMBS'!F74</f>
        <v>16043.477732252064</v>
      </c>
      <c r="F85" s="4">
        <f>$F$4*'NIFTY MEMBS'!G74</f>
        <v>21917.189264986562</v>
      </c>
      <c r="G85" s="4">
        <f>$G$4*'NIFTY MEMBS'!H74</f>
        <v>20107.160867372666</v>
      </c>
      <c r="H85" s="4">
        <f>$H$4*'NIFTY MEMBS'!I74</f>
        <v>15081.009296148737</v>
      </c>
      <c r="I85" s="4">
        <f>$I$4*'NIFTY MEMBS'!J74</f>
        <v>20455.622066233154</v>
      </c>
      <c r="J85" s="4">
        <f>$J$4*'NIFTY MEMBS'!K74</f>
        <v>26422.793534526263</v>
      </c>
      <c r="K85" s="4">
        <f>$K$4*'NIFTY MEMBS'!L74</f>
        <v>18664.540649163428</v>
      </c>
      <c r="L85" s="4">
        <f>$L$4*'NIFTY MEMBS'!M74</f>
        <v>17708.520790729381</v>
      </c>
      <c r="M85" s="4">
        <f>$M$4*'NIFTY MEMBS'!N74</f>
        <v>20868.463549333977</v>
      </c>
      <c r="N85" s="4">
        <f>$N$4*'NIFTY MEMBS'!O74</f>
        <v>17387.410772225827</v>
      </c>
      <c r="O85" s="4">
        <f>$O$4*'NIFTY MEMBS'!P74</f>
        <v>24469.917244464323</v>
      </c>
      <c r="P85" s="4">
        <f>$P$4*'NIFTY MEMBS'!Q74</f>
        <v>15042.234368053558</v>
      </c>
      <c r="Q85" s="4">
        <f>$Q$4*'NIFTY MEMBS'!R74</f>
        <v>18534.88187518188</v>
      </c>
      <c r="R85" s="4">
        <f>$R$4*'NIFTY MEMBS'!S74</f>
        <v>20793.220931248361</v>
      </c>
      <c r="S85" s="4">
        <f>$S$4*'NIFTY MEMBS'!T74</f>
        <v>22220.563537973503</v>
      </c>
      <c r="T85" s="4">
        <f>$T$4*'NIFTY MEMBS'!U74</f>
        <v>25822.126363867035</v>
      </c>
      <c r="U85" s="4">
        <f>$U$4*'NIFTY MEMBS'!V74</f>
        <v>20452.694500361111</v>
      </c>
      <c r="V85" s="4">
        <f>$V$4*'NIFTY MEMBS'!W74</f>
        <v>21819.271691892704</v>
      </c>
      <c r="W85" s="4">
        <f>$W$4*'NIFTY MEMBS'!X74</f>
        <v>16752.260397830018</v>
      </c>
      <c r="X85" s="4">
        <f>$X$4*'NIFTY MEMBS'!Y74</f>
        <v>20667.924837942068</v>
      </c>
      <c r="Y85" s="4">
        <f>$Y$4*'NIFTY MEMBS'!Z74</f>
        <v>20552.015193078711</v>
      </c>
      <c r="Z85" s="4">
        <f>$Z$4*'NIFTY MEMBS'!AA74</f>
        <v>20085.06294658047</v>
      </c>
      <c r="AA85" s="4">
        <f>$AA$4*'NIFTY MEMBS'!AB74</f>
        <v>22247.501242476119</v>
      </c>
      <c r="AB85" s="4">
        <f>$AB$4*'NIFTY MEMBS'!AC74</f>
        <v>15777.555777555777</v>
      </c>
      <c r="AC85" s="4">
        <f>$AC$4*'NIFTY MEMBS'!AD74</f>
        <v>19909.793814432993</v>
      </c>
      <c r="AD85" s="4">
        <f>$AD$4*'NIFTY MEMBS'!AE74</f>
        <v>16591.257924591257</v>
      </c>
      <c r="AE85" s="4">
        <f>$AE$4*'NIFTY MEMBS'!AF74</f>
        <v>18346.671548129121</v>
      </c>
      <c r="AF85" s="4">
        <f>$AF$4*'NIFTY MEMBS'!AG74</f>
        <v>21416.70101750808</v>
      </c>
      <c r="AG85" s="4">
        <f>$AG$4*'NIFTY MEMBS'!AH74</f>
        <v>20644.409937888202</v>
      </c>
      <c r="AH85" s="4">
        <f>$AH$4*'NIFTY MEMBS'!AI74</f>
        <v>22280.614408733014</v>
      </c>
      <c r="AI85" s="4">
        <f>$AI$4*'NIFTY MEMBS'!AJ74</f>
        <v>20058.505192335815</v>
      </c>
      <c r="AJ85" s="4">
        <f>$AJ$4*'NIFTY MEMBS'!AK74</f>
        <v>16191.164394810316</v>
      </c>
      <c r="AK85" s="4">
        <f>$AK$4*'NIFTY MEMBS'!AL74</f>
        <v>22608.766865262165</v>
      </c>
      <c r="AL85" s="4">
        <f>$AL$4*'NIFTY MEMBS'!AM74</f>
        <v>23247.292899105476</v>
      </c>
      <c r="AM85" s="4">
        <f>$AM$4*'NIFTY MEMBS'!AN74</f>
        <v>14517.441161282108</v>
      </c>
      <c r="AN85" s="4">
        <f>$AN$4*'NIFTY MEMBS'!AO74</f>
        <v>22967.723507569262</v>
      </c>
      <c r="AO85" s="4">
        <f>$AO$4*'NIFTY MEMBS'!AP74</f>
        <v>23332.793259883339</v>
      </c>
      <c r="AP85" s="4">
        <f>$AP$4*'NIFTY MEMBS'!AQ74</f>
        <v>20558.225820052277</v>
      </c>
      <c r="AQ85" s="4">
        <f>$AQ$4*'NIFTY MEMBS'!AR74</f>
        <v>15339.378466414297</v>
      </c>
      <c r="AR85" s="4">
        <f>$AR$4*'NIFTY MEMBS'!AS74</f>
        <v>19818.193708717547</v>
      </c>
      <c r="AS85" s="4">
        <f>$AS$4*'NIFTY MEMBS'!AT74</f>
        <v>19196.298331671111</v>
      </c>
      <c r="AT85" s="4">
        <f>$AT$4*'NIFTY MEMBS'!AU74</f>
        <v>23701.026159354493</v>
      </c>
      <c r="AU85" s="4">
        <f>$AU$4*'NIFTY MEMBS'!AV74</f>
        <v>24344.235575355866</v>
      </c>
      <c r="AV85" s="4">
        <f>$AV$4*'NIFTY MEMBS'!AW74</f>
        <v>16999.26953981008</v>
      </c>
      <c r="AW85" s="4">
        <f>$AW$4*'NIFTY MEMBS'!AX74</f>
        <v>18028.12862212769</v>
      </c>
      <c r="AX85" s="4">
        <f>$AX$4*'NIFTY MEMBS'!AY74</f>
        <v>16395.708685785023</v>
      </c>
      <c r="AY85" s="4">
        <f t="shared" si="10"/>
        <v>982326.88888196216</v>
      </c>
      <c r="AZ85" s="4">
        <f t="shared" si="11"/>
        <v>100.23743764101656</v>
      </c>
    </row>
    <row r="86" spans="1:52" ht="14.25" customHeight="1" x14ac:dyDescent="0.3">
      <c r="A86" s="2">
        <v>45768</v>
      </c>
      <c r="B86" s="4">
        <f>$B$4*'NIFTY MEMBS'!C75</f>
        <v>21215.967246673488</v>
      </c>
      <c r="C86" s="4">
        <f>$C$4*'NIFTY MEMBS'!D75</f>
        <v>21619.286948327313</v>
      </c>
      <c r="D86" s="4">
        <f>$D$4*'NIFTY MEMBS'!E75</f>
        <v>23605.940966347058</v>
      </c>
      <c r="E86" s="4">
        <f>$E$4*'NIFTY MEMBS'!F75</f>
        <v>16153.874211236611</v>
      </c>
      <c r="F86" s="4">
        <f>$F$4*'NIFTY MEMBS'!G75</f>
        <v>21965.489035173137</v>
      </c>
      <c r="G86" s="4">
        <f>$G$4*'NIFTY MEMBS'!H75</f>
        <v>20592.536560766515</v>
      </c>
      <c r="H86" s="4">
        <f>$H$4*'NIFTY MEMBS'!I75</f>
        <v>15415.670650730412</v>
      </c>
      <c r="I86" s="4">
        <f>$I$4*'NIFTY MEMBS'!J75</f>
        <v>20248.912622195428</v>
      </c>
      <c r="J86" s="4">
        <f>$J$4*'NIFTY MEMBS'!K75</f>
        <v>26742.895044194196</v>
      </c>
      <c r="K86" s="4">
        <f>$K$4*'NIFTY MEMBS'!L75</f>
        <v>18472.32536804858</v>
      </c>
      <c r="L86" s="4">
        <f>$L$4*'NIFTY MEMBS'!M75</f>
        <v>17889.570552147237</v>
      </c>
      <c r="M86" s="4">
        <f>$M$4*'NIFTY MEMBS'!N75</f>
        <v>20957.683145526084</v>
      </c>
      <c r="N86" s="4">
        <f>$N$4*'NIFTY MEMBS'!O75</f>
        <v>17936.404931862427</v>
      </c>
      <c r="O86" s="4">
        <f>$O$4*'NIFTY MEMBS'!P75</f>
        <v>25065.980764929544</v>
      </c>
      <c r="P86" s="4">
        <f>$P$4*'NIFTY MEMBS'!Q75</f>
        <v>15502.497450247129</v>
      </c>
      <c r="Q86" s="4">
        <f>$Q$4*'NIFTY MEMBS'!R75</f>
        <v>18465.038757639089</v>
      </c>
      <c r="R86" s="4">
        <f>$R$4*'NIFTY MEMBS'!S75</f>
        <v>20850.877959290643</v>
      </c>
      <c r="S86" s="4">
        <f>$S$4*'NIFTY MEMBS'!T75</f>
        <v>22821.421907072217</v>
      </c>
      <c r="T86" s="4">
        <f>$T$4*'NIFTY MEMBS'!U75</f>
        <v>26687.388987566606</v>
      </c>
      <c r="U86" s="4">
        <f>$U$4*'NIFTY MEMBS'!V75</f>
        <v>20505.554957972865</v>
      </c>
      <c r="V86" s="4">
        <f>$V$4*'NIFTY MEMBS'!W75</f>
        <v>21852.240371646938</v>
      </c>
      <c r="W86" s="4">
        <f>$W$4*'NIFTY MEMBS'!X75</f>
        <v>16943.218806509947</v>
      </c>
      <c r="X86" s="4">
        <f>$X$4*'NIFTY MEMBS'!Y75</f>
        <v>20400.426684171653</v>
      </c>
      <c r="Y86" s="4">
        <f>$Y$4*'NIFTY MEMBS'!Z75</f>
        <v>21082.928887951046</v>
      </c>
      <c r="Z86" s="4">
        <f>$Z$4*'NIFTY MEMBS'!AA75</f>
        <v>20411.704661449476</v>
      </c>
      <c r="AA86" s="4">
        <f>$AA$4*'NIFTY MEMBS'!AB75</f>
        <v>22839.472085703241</v>
      </c>
      <c r="AB86" s="4">
        <f>$AB$4*'NIFTY MEMBS'!AC75</f>
        <v>15880.785880785879</v>
      </c>
      <c r="AC86" s="4">
        <f>$AC$4*'NIFTY MEMBS'!AD75</f>
        <v>20618.556701030931</v>
      </c>
      <c r="AD86" s="4">
        <f>$AD$4*'NIFTY MEMBS'!AE75</f>
        <v>16818.15148481815</v>
      </c>
      <c r="AE86" s="4">
        <f>$AE$4*'NIFTY MEMBS'!AF75</f>
        <v>18871.810126365046</v>
      </c>
      <c r="AF86" s="4">
        <f>$AF$4*'NIFTY MEMBS'!AG75</f>
        <v>21217.972360228232</v>
      </c>
      <c r="AG86" s="4">
        <f>$AG$4*'NIFTY MEMBS'!AH75</f>
        <v>20729.813664596273</v>
      </c>
      <c r="AH86" s="4">
        <f>$AH$4*'NIFTY MEMBS'!AI75</f>
        <v>22122.033523261609</v>
      </c>
      <c r="AI86" s="4">
        <f>$AI$4*'NIFTY MEMBS'!AJ75</f>
        <v>20356.881673248499</v>
      </c>
      <c r="AJ86" s="4">
        <f>$AJ$4*'NIFTY MEMBS'!AK75</f>
        <v>16185.252093939893</v>
      </c>
      <c r="AK86" s="4">
        <f>$AK$4*'NIFTY MEMBS'!AL75</f>
        <v>22577.646745695391</v>
      </c>
      <c r="AL86" s="4">
        <f>$AL$4*'NIFTY MEMBS'!AM75</f>
        <v>23787.689599410474</v>
      </c>
      <c r="AM86" s="4">
        <f>$AM$4*'NIFTY MEMBS'!AN75</f>
        <v>15166.842339824987</v>
      </c>
      <c r="AN86" s="4">
        <f>$AN$4*'NIFTY MEMBS'!AO75</f>
        <v>23257.640674093112</v>
      </c>
      <c r="AO86" s="4">
        <f>$AO$4*'NIFTY MEMBS'!AP75</f>
        <v>23078.418664938428</v>
      </c>
      <c r="AP86" s="4">
        <f>$AP$4*'NIFTY MEMBS'!AQ75</f>
        <v>20979.846530061553</v>
      </c>
      <c r="AQ86" s="4">
        <f>$AQ$4*'NIFTY MEMBS'!AR75</f>
        <v>16122.311236317752</v>
      </c>
      <c r="AR86" s="4">
        <f>$AR$4*'NIFTY MEMBS'!AS75</f>
        <v>19764.567392583871</v>
      </c>
      <c r="AS86" s="4">
        <f>$AS$4*'NIFTY MEMBS'!AT75</f>
        <v>19383.552814584138</v>
      </c>
      <c r="AT86" s="4">
        <f>$AT$4*'NIFTY MEMBS'!AU75</f>
        <v>24086.478337587581</v>
      </c>
      <c r="AU86" s="4">
        <f>$AU$4*'NIFTY MEMBS'!AV75</f>
        <v>24361.621210474845</v>
      </c>
      <c r="AV86" s="4">
        <f>$AV$4*'NIFTY MEMBS'!AW75</f>
        <v>17200.876552227906</v>
      </c>
      <c r="AW86" s="4">
        <f>$AW$4*'NIFTY MEMBS'!AX75</f>
        <v>18722.143224156676</v>
      </c>
      <c r="AX86" s="4">
        <f>$AX$4*'NIFTY MEMBS'!AY75</f>
        <v>17086.857850216631</v>
      </c>
      <c r="AY86" s="4">
        <f t="shared" si="10"/>
        <v>994623.06024582684</v>
      </c>
      <c r="AZ86" s="4">
        <f t="shared" si="11"/>
        <v>101.49214900467621</v>
      </c>
    </row>
    <row r="87" spans="1:52" ht="14.25" customHeight="1" x14ac:dyDescent="0.3">
      <c r="A87" s="2">
        <v>45769</v>
      </c>
      <c r="B87" s="4">
        <f>$B$4*'NIFTY MEMBS'!C76</f>
        <v>21145.547594677584</v>
      </c>
      <c r="C87" s="4">
        <f>$C$4*'NIFTY MEMBS'!D76</f>
        <v>22007.449123830469</v>
      </c>
      <c r="D87" s="4">
        <f>$D$4*'NIFTY MEMBS'!E76</f>
        <v>23214.890016920475</v>
      </c>
      <c r="E87" s="4">
        <f>$E$4*'NIFTY MEMBS'!F76</f>
        <v>16118.858587946359</v>
      </c>
      <c r="F87" s="4">
        <f>$F$4*'NIFTY MEMBS'!G76</f>
        <v>22069.878861060257</v>
      </c>
      <c r="G87" s="4">
        <f>$G$4*'NIFTY MEMBS'!H76</f>
        <v>20736.258194654562</v>
      </c>
      <c r="H87" s="4">
        <f>$H$4*'NIFTY MEMBS'!I76</f>
        <v>15116.069057104913</v>
      </c>
      <c r="I87" s="4">
        <f>$I$4*'NIFTY MEMBS'!J76</f>
        <v>20659.747642220405</v>
      </c>
      <c r="J87" s="4">
        <f>$J$4*'NIFTY MEMBS'!K76</f>
        <v>26705.405678197047</v>
      </c>
      <c r="K87" s="4">
        <f>$K$4*'NIFTY MEMBS'!L76</f>
        <v>18941.942248045085</v>
      </c>
      <c r="L87" s="4">
        <f>$L$4*'NIFTY MEMBS'!M76</f>
        <v>17765.780504430812</v>
      </c>
      <c r="M87" s="4">
        <f>$M$4*'NIFTY MEMBS'!N76</f>
        <v>20938.054834363822</v>
      </c>
      <c r="N87" s="4">
        <f>$N$4*'NIFTY MEMBS'!O76</f>
        <v>18280.986372485397</v>
      </c>
      <c r="O87" s="4">
        <f>$O$4*'NIFTY MEMBS'!P76</f>
        <v>25372.399910534554</v>
      </c>
      <c r="P87" s="4">
        <f>$P$4*'NIFTY MEMBS'!Q76</f>
        <v>15480.530348596983</v>
      </c>
      <c r="Q87" s="4">
        <f>$Q$4*'NIFTY MEMBS'!R76</f>
        <v>18491.494483981056</v>
      </c>
      <c r="R87" s="4">
        <f>$R$4*'NIFTY MEMBS'!S76</f>
        <v>20894.557525989341</v>
      </c>
      <c r="S87" s="4">
        <f>$S$4*'NIFTY MEMBS'!T76</f>
        <v>22705.728680724016</v>
      </c>
      <c r="T87" s="4">
        <f>$T$4*'NIFTY MEMBS'!U76</f>
        <v>26351.179903577769</v>
      </c>
      <c r="U87" s="4">
        <f>$U$4*'NIFTY MEMBS'!V76</f>
        <v>20513.545492263012</v>
      </c>
      <c r="V87" s="4">
        <f>$V$4*'NIFTY MEMBS'!W76</f>
        <v>21594.485239022928</v>
      </c>
      <c r="W87" s="4">
        <f>$W$4*'NIFTY MEMBS'!X76</f>
        <v>17176.853526220617</v>
      </c>
      <c r="X87" s="4">
        <f>$X$4*'NIFTY MEMBS'!Y76</f>
        <v>20237.958480347908</v>
      </c>
      <c r="Y87" s="4">
        <f>$Y$4*'NIFTY MEMBS'!Z76</f>
        <v>20914.116902300066</v>
      </c>
      <c r="Z87" s="4">
        <f>$Z$4*'NIFTY MEMBS'!AA76</f>
        <v>20643.075876148356</v>
      </c>
      <c r="AA87" s="4">
        <f>$AA$4*'NIFTY MEMBS'!AB76</f>
        <v>23064.774421558341</v>
      </c>
      <c r="AB87" s="4">
        <f>$AB$4*'NIFTY MEMBS'!AC76</f>
        <v>15594.405594405594</v>
      </c>
      <c r="AC87" s="4">
        <f>$AC$4*'NIFTY MEMBS'!AD76</f>
        <v>20138.530927835054</v>
      </c>
      <c r="AD87" s="4">
        <f>$AD$4*'NIFTY MEMBS'!AE76</f>
        <v>16839.506172839505</v>
      </c>
      <c r="AE87" s="4">
        <f>$AE$4*'NIFTY MEMBS'!AF76</f>
        <v>18628.118367837265</v>
      </c>
      <c r="AF87" s="4">
        <f>$AF$4*'NIFTY MEMBS'!AG76</f>
        <v>21105.156965265873</v>
      </c>
      <c r="AG87" s="4">
        <f>$AG$4*'NIFTY MEMBS'!AH76</f>
        <v>20631.469979296067</v>
      </c>
      <c r="AH87" s="4">
        <f>$AH$4*'NIFTY MEMBS'!AI76</f>
        <v>22194.870092751382</v>
      </c>
      <c r="AI87" s="4">
        <f>$AI$4*'NIFTY MEMBS'!AJ76</f>
        <v>20207.693432792159</v>
      </c>
      <c r="AJ87" s="4">
        <f>$AJ$4*'NIFTY MEMBS'!AK76</f>
        <v>16459.845623255052</v>
      </c>
      <c r="AK87" s="4">
        <f>$AK$4*'NIFTY MEMBS'!AL76</f>
        <v>22516.225457076755</v>
      </c>
      <c r="AL87" s="4">
        <f>$AL$4*'NIFTY MEMBS'!AM76</f>
        <v>23679.200867909851</v>
      </c>
      <c r="AM87" s="4">
        <f>$AM$4*'NIFTY MEMBS'!AN76</f>
        <v>15062.145853523956</v>
      </c>
      <c r="AN87" s="4">
        <f>$AN$4*'NIFTY MEMBS'!AO76</f>
        <v>23121.965152813478</v>
      </c>
      <c r="AO87" s="4">
        <f>$AO$4*'NIFTY MEMBS'!AP76</f>
        <v>23089.760207388201</v>
      </c>
      <c r="AP87" s="4">
        <f>$AP$4*'NIFTY MEMBS'!AQ76</f>
        <v>20915.760182140144</v>
      </c>
      <c r="AQ87" s="4">
        <f>$AQ$4*'NIFTY MEMBS'!AR76</f>
        <v>16157.525603779675</v>
      </c>
      <c r="AR87" s="4">
        <f>$AR$4*'NIFTY MEMBS'!AS76</f>
        <v>19988.228369629196</v>
      </c>
      <c r="AS87" s="4">
        <f>$AS$4*'NIFTY MEMBS'!AT76</f>
        <v>19237.005827956549</v>
      </c>
      <c r="AT87" s="4">
        <f>$AT$4*'NIFTY MEMBS'!AU76</f>
        <v>24103.609545509051</v>
      </c>
      <c r="AU87" s="4">
        <f>$AU$4*'NIFTY MEMBS'!AV76</f>
        <v>24702.814299684887</v>
      </c>
      <c r="AV87" s="4">
        <f>$AV$4*'NIFTY MEMBS'!AW76</f>
        <v>17165.814463111761</v>
      </c>
      <c r="AW87" s="4">
        <f>$AW$4*'NIFTY MEMBS'!AX76</f>
        <v>18323.51500233011</v>
      </c>
      <c r="AX87" s="4">
        <f>$AX$4*'NIFTY MEMBS'!AY76</f>
        <v>16247.16319372808</v>
      </c>
      <c r="AY87" s="4">
        <f t="shared" si="10"/>
        <v>993251.90069006197</v>
      </c>
      <c r="AZ87" s="4">
        <f t="shared" si="11"/>
        <v>101.35223476429205</v>
      </c>
    </row>
    <row r="88" spans="1:52" ht="14.25" customHeight="1" x14ac:dyDescent="0.3">
      <c r="A88" s="2">
        <v>45770</v>
      </c>
      <c r="B88" s="4">
        <f>$B$4*'NIFTY MEMBS'!C77</f>
        <v>21289.662231320366</v>
      </c>
      <c r="C88" s="4">
        <f>$C$4*'NIFTY MEMBS'!D77</f>
        <v>21583.387556373265</v>
      </c>
      <c r="D88" s="4">
        <f>$D$4*'NIFTY MEMBS'!E77</f>
        <v>23583.38033464937</v>
      </c>
      <c r="E88" s="4">
        <f>$E$4*'NIFTY MEMBS'!F77</f>
        <v>16598.378095782318</v>
      </c>
      <c r="F88" s="4">
        <f>$F$4*'NIFTY MEMBS'!G77</f>
        <v>22192.96537218089</v>
      </c>
      <c r="G88" s="4">
        <f>$G$4*'NIFTY MEMBS'!H77</f>
        <v>20510.590015128593</v>
      </c>
      <c r="H88" s="4">
        <f>$H$4*'NIFTY MEMBS'!I77</f>
        <v>15669.588313413014</v>
      </c>
      <c r="I88" s="4">
        <f>$I$4*'NIFTY MEMBS'!J77</f>
        <v>20875.93126910986</v>
      </c>
      <c r="J88" s="4">
        <f>$J$4*'NIFTY MEMBS'!K77</f>
        <v>26885.643014721783</v>
      </c>
      <c r="K88" s="4">
        <f>$K$4*'NIFTY MEMBS'!L77</f>
        <v>18821.807697348304</v>
      </c>
      <c r="L88" s="4">
        <f>$L$4*'NIFTY MEMBS'!M77</f>
        <v>18001.363326516701</v>
      </c>
      <c r="M88" s="4">
        <f>$M$4*'NIFTY MEMBS'!N77</f>
        <v>21246.754637188515</v>
      </c>
      <c r="N88" s="4">
        <f>$N$4*'NIFTY MEMBS'!O77</f>
        <v>18934.458144062297</v>
      </c>
      <c r="O88" s="4">
        <f>$O$4*'NIFTY MEMBS'!P77</f>
        <v>24904.942965779464</v>
      </c>
      <c r="P88" s="4">
        <f>$P$4*'NIFTY MEMBS'!Q77</f>
        <v>16674.076204921676</v>
      </c>
      <c r="Q88" s="4">
        <f>$Q$4*'NIFTY MEMBS'!R77</f>
        <v>18929.601312204024</v>
      </c>
      <c r="R88" s="4">
        <f>$R$4*'NIFTY MEMBS'!S77</f>
        <v>20877.085699309861</v>
      </c>
      <c r="S88" s="4">
        <f>$S$4*'NIFTY MEMBS'!T77</f>
        <v>22520.99272252286</v>
      </c>
      <c r="T88" s="4">
        <f>$T$4*'NIFTY MEMBS'!U77</f>
        <v>26653.133722405481</v>
      </c>
      <c r="U88" s="4">
        <f>$U$4*'NIFTY MEMBS'!V77</f>
        <v>20635.862132550672</v>
      </c>
      <c r="V88" s="4">
        <f>$V$4*'NIFTY MEMBS'!W77</f>
        <v>21807.283081072983</v>
      </c>
      <c r="W88" s="4">
        <f>$W$4*'NIFTY MEMBS'!X77</f>
        <v>17304.882459312841</v>
      </c>
      <c r="X88" s="4">
        <f>$X$4*'NIFTY MEMBS'!Y77</f>
        <v>20334.78296545499</v>
      </c>
      <c r="Y88" s="4">
        <f>$Y$4*'NIFTY MEMBS'!Z77</f>
        <v>21284.659210803966</v>
      </c>
      <c r="Z88" s="4">
        <f>$Z$4*'NIFTY MEMBS'!AA77</f>
        <v>20813.201769309293</v>
      </c>
      <c r="AA88" s="4">
        <f>$AA$4*'NIFTY MEMBS'!AB77</f>
        <v>22954.332100060743</v>
      </c>
      <c r="AB88" s="4">
        <f>$AB$4*'NIFTY MEMBS'!AC77</f>
        <v>16223.776223776224</v>
      </c>
      <c r="AC88" s="4">
        <f>$AC$4*'NIFTY MEMBS'!AD77</f>
        <v>20293.170103092783</v>
      </c>
      <c r="AD88" s="4">
        <f>$AD$4*'NIFTY MEMBS'!AE77</f>
        <v>17614.948281614947</v>
      </c>
      <c r="AE88" s="4">
        <f>$AE$4*'NIFTY MEMBS'!AF77</f>
        <v>18903.844723730199</v>
      </c>
      <c r="AF88" s="4">
        <f>$AF$4*'NIFTY MEMBS'!AG77</f>
        <v>21288.265029397087</v>
      </c>
      <c r="AG88" s="4">
        <f>$AG$4*'NIFTY MEMBS'!AH77</f>
        <v>20649.585921325051</v>
      </c>
      <c r="AH88" s="4">
        <f>$AH$4*'NIFTY MEMBS'!AI77</f>
        <v>22435.507366635324</v>
      </c>
      <c r="AI88" s="4">
        <f>$AI$4*'NIFTY MEMBS'!AJ77</f>
        <v>20646.482375310807</v>
      </c>
      <c r="AJ88" s="4">
        <f>$AJ$4*'NIFTY MEMBS'!AK77</f>
        <v>16957.792741008376</v>
      </c>
      <c r="AK88" s="4">
        <f>$AK$4*'NIFTY MEMBS'!AL77</f>
        <v>21993.735028560895</v>
      </c>
      <c r="AL88" s="4">
        <f>$AL$4*'NIFTY MEMBS'!AM77</f>
        <v>23499.06863447485</v>
      </c>
      <c r="AM88" s="4">
        <f>$AM$4*'NIFTY MEMBS'!AN77</f>
        <v>15079.123662113314</v>
      </c>
      <c r="AN88" s="4">
        <f>$AN$4*'NIFTY MEMBS'!AO77</f>
        <v>23071.979434447298</v>
      </c>
      <c r="AO88" s="4">
        <f>$AO$4*'NIFTY MEMBS'!AP77</f>
        <v>22977.965003240439</v>
      </c>
      <c r="AP88" s="4">
        <f>$AP$4*'NIFTY MEMBS'!AQ77</f>
        <v>21219.327093346823</v>
      </c>
      <c r="AQ88" s="4">
        <f>$AQ$4*'NIFTY MEMBS'!AR77</f>
        <v>16898.20113272882</v>
      </c>
      <c r="AR88" s="4">
        <f>$AR$4*'NIFTY MEMBS'!AS77</f>
        <v>20060.166110784121</v>
      </c>
      <c r="AS88" s="4">
        <f>$AS$4*'NIFTY MEMBS'!AT77</f>
        <v>19382.195898041289</v>
      </c>
      <c r="AT88" s="4">
        <f>$AT$4*'NIFTY MEMBS'!AU77</f>
        <v>24117.314511846227</v>
      </c>
      <c r="AU88" s="4">
        <f>$AU$4*'NIFTY MEMBS'!AV77</f>
        <v>24994.023687927849</v>
      </c>
      <c r="AV88" s="4">
        <f>$AV$4*'NIFTY MEMBS'!AW77</f>
        <v>17326.515704894086</v>
      </c>
      <c r="AW88" s="4">
        <f>$AW$4*'NIFTY MEMBS'!AX77</f>
        <v>18834.466524071839</v>
      </c>
      <c r="AX88" s="4">
        <f>$AX$4*'NIFTY MEMBS'!AY77</f>
        <v>16385.393026614402</v>
      </c>
      <c r="AY88" s="4">
        <f t="shared" si="10"/>
        <v>1002741.5945724873</v>
      </c>
      <c r="AZ88" s="4">
        <f t="shared" si="11"/>
        <v>102.32057087474359</v>
      </c>
    </row>
    <row r="89" spans="1:52" ht="14.25" customHeight="1" x14ac:dyDescent="0.3">
      <c r="A89" s="2">
        <v>45771</v>
      </c>
      <c r="B89" s="4">
        <f>$B$4*'NIFTY MEMBS'!C78</f>
        <v>21315.864892528145</v>
      </c>
      <c r="C89" s="4">
        <f>$C$4*'NIFTY MEMBS'!D78</f>
        <v>21503.735780475221</v>
      </c>
      <c r="D89" s="4">
        <f>$D$4*'NIFTY MEMBS'!E78</f>
        <v>23132.167700695616</v>
      </c>
      <c r="E89" s="4">
        <f>$E$4*'NIFTY MEMBS'!F78</f>
        <v>16542.936692239418</v>
      </c>
      <c r="F89" s="4">
        <f>$F$4*'NIFTY MEMBS'!G78</f>
        <v>21854.866980874849</v>
      </c>
      <c r="G89" s="4">
        <f>$G$4*'NIFTY MEMBS'!H78</f>
        <v>20509.329299041852</v>
      </c>
      <c r="H89" s="4">
        <f>$H$4*'NIFTY MEMBS'!I78</f>
        <v>15632.403718459496</v>
      </c>
      <c r="I89" s="4">
        <f>$I$4*'NIFTY MEMBS'!J78</f>
        <v>20027.561259205035</v>
      </c>
      <c r="J89" s="4">
        <f>$J$4*'NIFTY MEMBS'!K78</f>
        <v>26822.199472265078</v>
      </c>
      <c r="K89" s="4">
        <f>$K$4*'NIFTY MEMBS'!L78</f>
        <v>18786.859464418329</v>
      </c>
      <c r="L89" s="4">
        <f>$L$4*'NIFTY MEMBS'!M78</f>
        <v>17999.18200408998</v>
      </c>
      <c r="M89" s="4">
        <f>$M$4*'NIFTY MEMBS'!N78</f>
        <v>21223.557542178565</v>
      </c>
      <c r="N89" s="4">
        <f>$N$4*'NIFTY MEMBS'!O78</f>
        <v>18828.033744321867</v>
      </c>
      <c r="O89" s="4">
        <f>$O$4*'NIFTY MEMBS'!P78</f>
        <v>24860.210243793332</v>
      </c>
      <c r="P89" s="4">
        <f>$P$4*'NIFTY MEMBS'!Q78</f>
        <v>16597.714375375926</v>
      </c>
      <c r="Q89" s="4">
        <f>$Q$4*'NIFTY MEMBS'!R78</f>
        <v>19089.393899309503</v>
      </c>
      <c r="R89" s="4">
        <f>$R$4*'NIFTY MEMBS'!S78</f>
        <v>21243.994059578927</v>
      </c>
      <c r="S89" s="4">
        <f>$S$4*'NIFTY MEMBS'!T78</f>
        <v>22524.724762082478</v>
      </c>
      <c r="T89" s="4">
        <f>$T$4*'NIFTY MEMBS'!U78</f>
        <v>26706.419690433897</v>
      </c>
      <c r="U89" s="4">
        <f>$U$4*'NIFTY MEMBS'!V78</f>
        <v>20791.370222966641</v>
      </c>
      <c r="V89" s="4">
        <f>$V$4*'NIFTY MEMBS'!W78</f>
        <v>21771.317248613817</v>
      </c>
      <c r="W89" s="4">
        <f>$W$4*'NIFTY MEMBS'!X78</f>
        <v>17098.010849909584</v>
      </c>
      <c r="X89" s="4">
        <f>$X$4*'NIFTY MEMBS'!Y78</f>
        <v>20290.473455321244</v>
      </c>
      <c r="Y89" s="4">
        <f>$Y$4*'NIFTY MEMBS'!Z78</f>
        <v>21048.322430892596</v>
      </c>
      <c r="Z89" s="4">
        <f>$Z$4*'NIFTY MEMBS'!AA78</f>
        <v>20802.994215719635</v>
      </c>
      <c r="AA89" s="4">
        <f>$AA$4*'NIFTY MEMBS'!AB78</f>
        <v>23071.400960848197</v>
      </c>
      <c r="AB89" s="4">
        <f>$AB$4*'NIFTY MEMBS'!AC78</f>
        <v>16167.166167166166</v>
      </c>
      <c r="AC89" s="4">
        <f>$AC$4*'NIFTY MEMBS'!AD78</f>
        <v>20257.731958762888</v>
      </c>
      <c r="AD89" s="4">
        <f>$AD$4*'NIFTY MEMBS'!AE78</f>
        <v>17840.507173840506</v>
      </c>
      <c r="AE89" s="4">
        <f>$AE$4*'NIFTY MEMBS'!AF78</f>
        <v>18766.553592165252</v>
      </c>
      <c r="AF89" s="4">
        <f>$AF$4*'NIFTY MEMBS'!AG78</f>
        <v>21386.32764194129</v>
      </c>
      <c r="AG89" s="4">
        <f>$AG$4*'NIFTY MEMBS'!AH78</f>
        <v>20696.16977225673</v>
      </c>
      <c r="AH89" s="4">
        <f>$AH$4*'NIFTY MEMBS'!AI78</f>
        <v>22433.663402850769</v>
      </c>
      <c r="AI89" s="4">
        <f>$AI$4*'NIFTY MEMBS'!AJ78</f>
        <v>20699.137048413046</v>
      </c>
      <c r="AJ89" s="4">
        <f>$AJ$4*'NIFTY MEMBS'!AK78</f>
        <v>16999.835769420268</v>
      </c>
      <c r="AK89" s="4">
        <f>$AK$4*'NIFTY MEMBS'!AL78</f>
        <v>22350.797453063897</v>
      </c>
      <c r="AL89" s="4">
        <f>$AL$4*'NIFTY MEMBS'!AM78</f>
        <v>23132.66329601048</v>
      </c>
      <c r="AM89" s="4">
        <f>$AM$4*'NIFTY MEMBS'!AN78</f>
        <v>15063.560670906403</v>
      </c>
      <c r="AN89" s="4">
        <f>$AN$4*'NIFTY MEMBS'!AO78</f>
        <v>22967.723507569262</v>
      </c>
      <c r="AO89" s="4">
        <f>$AO$4*'NIFTY MEMBS'!AP78</f>
        <v>22955.28191834089</v>
      </c>
      <c r="AP89" s="4">
        <f>$AP$4*'NIFTY MEMBS'!AQ78</f>
        <v>21194.029850746268</v>
      </c>
      <c r="AQ89" s="4">
        <f>$AQ$4*'NIFTY MEMBS'!AR78</f>
        <v>16963.934618657746</v>
      </c>
      <c r="AR89" s="4">
        <f>$AR$4*'NIFTY MEMBS'!AS78</f>
        <v>20295.59871820025</v>
      </c>
      <c r="AS89" s="4">
        <f>$AS$4*'NIFTY MEMBS'!AT78</f>
        <v>19429.687977040972</v>
      </c>
      <c r="AT89" s="4">
        <f>$AT$4*'NIFTY MEMBS'!AU78</f>
        <v>23868.911996984905</v>
      </c>
      <c r="AU89" s="4">
        <f>$AU$4*'NIFTY MEMBS'!AV78</f>
        <v>25237.422579593611</v>
      </c>
      <c r="AV89" s="4">
        <f>$AV$4*'NIFTY MEMBS'!AW78</f>
        <v>17538.349159970781</v>
      </c>
      <c r="AW89" s="4">
        <f>$AW$4*'NIFTY MEMBS'!AX78</f>
        <v>18901.382532531934</v>
      </c>
      <c r="AX89" s="4">
        <f>$AX$4*'NIFTY MEMBS'!AY78</f>
        <v>16912.523210233136</v>
      </c>
      <c r="AY89" s="4">
        <f t="shared" si="10"/>
        <v>1002134.0049823069</v>
      </c>
      <c r="AZ89" s="4">
        <f t="shared" si="11"/>
        <v>102.25857193697007</v>
      </c>
    </row>
    <row r="90" spans="1:52" ht="14.25" customHeight="1" x14ac:dyDescent="0.3">
      <c r="A90" s="2">
        <v>45772</v>
      </c>
      <c r="B90" s="4">
        <f>$B$4*'NIFTY MEMBS'!C79</f>
        <v>21296.212896622314</v>
      </c>
      <c r="C90" s="4">
        <f>$C$4*'NIFTY MEMBS'!D79</f>
        <v>21440.911844555634</v>
      </c>
      <c r="D90" s="4">
        <f>$D$4*'NIFTY MEMBS'!E79</f>
        <v>22776.211067243217</v>
      </c>
      <c r="E90" s="4">
        <f>$E$4*'NIFTY MEMBS'!F79</f>
        <v>16768.59293122105</v>
      </c>
      <c r="F90" s="4">
        <f>$F$4*'NIFTY MEMBS'!G79</f>
        <v>21887.586180033497</v>
      </c>
      <c r="G90" s="4">
        <f>$G$4*'NIFTY MEMBS'!H79</f>
        <v>20137.418053454359</v>
      </c>
      <c r="H90" s="4">
        <f>$H$4*'NIFTY MEMBS'!I79</f>
        <v>15725.896414342629</v>
      </c>
      <c r="I90" s="4">
        <f>$I$4*'NIFTY MEMBS'!J79</f>
        <v>20086.990224365876</v>
      </c>
      <c r="J90" s="4">
        <f>$J$4*'NIFTY MEMBS'!K79</f>
        <v>26277.161766614277</v>
      </c>
      <c r="K90" s="4">
        <f>$K$4*'NIFTY MEMBS'!L79</f>
        <v>18688.567559302781</v>
      </c>
      <c r="L90" s="4">
        <f>$L$4*'NIFTY MEMBS'!M79</f>
        <v>17843.762781186091</v>
      </c>
      <c r="M90" s="4">
        <f>$M$4*'NIFTY MEMBS'!N79</f>
        <v>20873.816725105506</v>
      </c>
      <c r="N90" s="4">
        <f>$N$4*'NIFTY MEMBS'!O79</f>
        <v>18586.632057105773</v>
      </c>
      <c r="O90" s="4">
        <f>$O$4*'NIFTY MEMBS'!P79</f>
        <v>24652.203086557816</v>
      </c>
      <c r="P90" s="4">
        <f>$P$4*'NIFTY MEMBS'!Q79</f>
        <v>16508.799916315802</v>
      </c>
      <c r="Q90" s="4">
        <f>$Q$4*'NIFTY MEMBS'!R79</f>
        <v>18914.786105452524</v>
      </c>
      <c r="R90" s="4">
        <f>$R$4*'NIFTY MEMBS'!S79</f>
        <v>21380.274307678868</v>
      </c>
      <c r="S90" s="4">
        <f>$S$4*'NIFTY MEMBS'!T79</f>
        <v>21763.388691920136</v>
      </c>
      <c r="T90" s="4">
        <f>$T$4*'NIFTY MEMBS'!U79</f>
        <v>25951.535143364625</v>
      </c>
      <c r="U90" s="4">
        <f>$U$4*'NIFTY MEMBS'!V79</f>
        <v>20684.41999477542</v>
      </c>
      <c r="V90" s="4">
        <f>$V$4*'NIFTY MEMBS'!W79</f>
        <v>21366.701633448225</v>
      </c>
      <c r="W90" s="4">
        <f>$W$4*'NIFTY MEMBS'!X79</f>
        <v>16550.452079566006</v>
      </c>
      <c r="X90" s="4">
        <f>$X$4*'NIFTY MEMBS'!Y79</f>
        <v>19578.239107245423</v>
      </c>
      <c r="Y90" s="4">
        <f>$Y$4*'NIFTY MEMBS'!Z79</f>
        <v>20791.728212703103</v>
      </c>
      <c r="Z90" s="4">
        <f>$Z$4*'NIFTY MEMBS'!AA79</f>
        <v>20251.786321878193</v>
      </c>
      <c r="AA90" s="4">
        <f>$AA$4*'NIFTY MEMBS'!AB79</f>
        <v>22715.776685625933</v>
      </c>
      <c r="AB90" s="4">
        <f>$AB$4*'NIFTY MEMBS'!AC79</f>
        <v>16043.956043956043</v>
      </c>
      <c r="AC90" s="4">
        <f>$AC$4*'NIFTY MEMBS'!AD79</f>
        <v>19748.711340206188</v>
      </c>
      <c r="AD90" s="4">
        <f>$AD$4*'NIFTY MEMBS'!AE79</f>
        <v>17490.824157490824</v>
      </c>
      <c r="AE90" s="4">
        <f>$AE$4*'NIFTY MEMBS'!AF79</f>
        <v>18383.282516546442</v>
      </c>
      <c r="AF90" s="4">
        <f>$AF$4*'NIFTY MEMBS'!AG79</f>
        <v>21101.685722343955</v>
      </c>
      <c r="AG90" s="4">
        <f>$AG$4*'NIFTY MEMBS'!AH79</f>
        <v>20349.378881987577</v>
      </c>
      <c r="AH90" s="4">
        <f>$AH$4*'NIFTY MEMBS'!AI79</f>
        <v>22252.032970072472</v>
      </c>
      <c r="AI90" s="4">
        <f>$AI$4*'NIFTY MEMBS'!AJ79</f>
        <v>20308.614889571447</v>
      </c>
      <c r="AJ90" s="4">
        <f>$AJ$4*'NIFTY MEMBS'!AK79</f>
        <v>16623.419280670063</v>
      </c>
      <c r="AK90" s="4">
        <f>$AK$4*'NIFTY MEMBS'!AL79</f>
        <v>22396.658681899145</v>
      </c>
      <c r="AL90" s="4">
        <f>$AL$4*'NIFTY MEMBS'!AM79</f>
        <v>22825.619716291731</v>
      </c>
      <c r="AM90" s="4">
        <f>$AM$4*'NIFTY MEMBS'!AN79</f>
        <v>14558.470865373052</v>
      </c>
      <c r="AN90" s="4">
        <f>$AN$4*'NIFTY MEMBS'!AO79</f>
        <v>24208.797486432442</v>
      </c>
      <c r="AO90" s="4">
        <f>$AO$4*'NIFTY MEMBS'!AP79</f>
        <v>22830.524951393385</v>
      </c>
      <c r="AP90" s="4">
        <f>$AP$4*'NIFTY MEMBS'!AQ79</f>
        <v>20983.219495741629</v>
      </c>
      <c r="AQ90" s="4">
        <f>$AQ$4*'NIFTY MEMBS'!AR79</f>
        <v>17161.135076444523</v>
      </c>
      <c r="AR90" s="4">
        <f>$AR$4*'NIFTY MEMBS'!AS79</f>
        <v>19958.145314237136</v>
      </c>
      <c r="AS90" s="4">
        <f>$AS$4*'NIFTY MEMBS'!AT79</f>
        <v>18869.281444844735</v>
      </c>
      <c r="AT90" s="4">
        <f>$AT$4*'NIFTY MEMBS'!AU79</f>
        <v>22448.734860294997</v>
      </c>
      <c r="AU90" s="4">
        <f>$AU$4*'NIFTY MEMBS'!AV79</f>
        <v>25115.723133760734</v>
      </c>
      <c r="AV90" s="4">
        <f>$AV$4*'NIFTY MEMBS'!AW79</f>
        <v>17162.892622352083</v>
      </c>
      <c r="AW90" s="4">
        <f>$AW$4*'NIFTY MEMBS'!AX79</f>
        <v>18619.37935402153</v>
      </c>
      <c r="AX90" s="4">
        <f>$AX$4*'NIFTY MEMBS'!AY79</f>
        <v>16966.164637920367</v>
      </c>
      <c r="AY90" s="4">
        <f t="shared" si="10"/>
        <v>989906.50523153762</v>
      </c>
      <c r="AZ90" s="4">
        <f t="shared" si="11"/>
        <v>101.01086788076914</v>
      </c>
    </row>
    <row r="91" spans="1:52" ht="14.25" customHeight="1" x14ac:dyDescent="0.3">
      <c r="A91" s="2">
        <v>45775</v>
      </c>
      <c r="B91" s="4">
        <f>$B$4*'NIFTY MEMBS'!C80</f>
        <v>22416.376663254861</v>
      </c>
      <c r="C91" s="4">
        <f>$C$4*'NIFTY MEMBS'!D80</f>
        <v>21541.878884426398</v>
      </c>
      <c r="D91" s="4">
        <f>$D$4*'NIFTY MEMBS'!E80</f>
        <v>22833.866014915082</v>
      </c>
      <c r="E91" s="4">
        <f>$E$4*'NIFTY MEMBS'!F80</f>
        <v>16746.708166664641</v>
      </c>
      <c r="F91" s="4">
        <f>$F$4*'NIFTY MEMBS'!G80</f>
        <v>22261.519884703772</v>
      </c>
      <c r="G91" s="4">
        <f>$G$4*'NIFTY MEMBS'!H80</f>
        <v>20608.925869894098</v>
      </c>
      <c r="H91" s="4">
        <f>$H$4*'NIFTY MEMBS'!I80</f>
        <v>15746.082337317395</v>
      </c>
      <c r="I91" s="4">
        <f>$I$4*'NIFTY MEMBS'!J80</f>
        <v>19969.854872744501</v>
      </c>
      <c r="J91" s="4">
        <f>$J$4*'NIFTY MEMBS'!K80</f>
        <v>26222.369616310756</v>
      </c>
      <c r="K91" s="4">
        <f>$K$4*'NIFTY MEMBS'!L80</f>
        <v>18732.252850465247</v>
      </c>
      <c r="L91" s="4">
        <f>$L$4*'NIFTY MEMBS'!M80</f>
        <v>18144.78527607362</v>
      </c>
      <c r="M91" s="4">
        <f>$M$4*'NIFTY MEMBS'!N80</f>
        <v>21137.906729834143</v>
      </c>
      <c r="N91" s="4">
        <f>$N$4*'NIFTY MEMBS'!O80</f>
        <v>19017.521090201168</v>
      </c>
      <c r="O91" s="4">
        <f>$O$4*'NIFTY MEMBS'!P80</f>
        <v>24889.286513084317</v>
      </c>
      <c r="P91" s="4">
        <f>$P$4*'NIFTY MEMBS'!Q80</f>
        <v>16206.490755511388</v>
      </c>
      <c r="Q91" s="4">
        <f>$Q$4*'NIFTY MEMBS'!R80</f>
        <v>19488.346252546362</v>
      </c>
      <c r="R91" s="4">
        <f>$R$4*'NIFTY MEMBS'!S80</f>
        <v>21165.370839521271</v>
      </c>
      <c r="S91" s="4">
        <f>$S$4*'NIFTY MEMBS'!T80</f>
        <v>22257.883933569698</v>
      </c>
      <c r="T91" s="4">
        <f>$T$4*'NIFTY MEMBS'!U80</f>
        <v>26004.821111393045</v>
      </c>
      <c r="U91" s="4">
        <f>$U$4*'NIFTY MEMBS'!V80</f>
        <v>20708.391597645867</v>
      </c>
      <c r="V91" s="4">
        <f>$V$4*'NIFTY MEMBS'!W80</f>
        <v>21669.414056646187</v>
      </c>
      <c r="W91" s="4">
        <f>$W$4*'NIFTY MEMBS'!X80</f>
        <v>16434.71971066908</v>
      </c>
      <c r="X91" s="4">
        <f>$X$4*'NIFTY MEMBS'!Y80</f>
        <v>19855.583818823336</v>
      </c>
      <c r="Y91" s="4">
        <f>$Y$4*'NIFTY MEMBS'!Z80</f>
        <v>21152.141802067948</v>
      </c>
      <c r="Z91" s="4">
        <f>$Z$4*'NIFTY MEMBS'!AA80</f>
        <v>20758.761483497794</v>
      </c>
      <c r="AA91" s="4">
        <f>$AA$4*'NIFTY MEMBS'!AB80</f>
        <v>23290.076757413441</v>
      </c>
      <c r="AB91" s="4">
        <f>$AB$4*'NIFTY MEMBS'!AC80</f>
        <v>16017.316017316016</v>
      </c>
      <c r="AC91" s="4">
        <f>$AC$4*'NIFTY MEMBS'!AD80</f>
        <v>19880.798969072166</v>
      </c>
      <c r="AD91" s="4">
        <f>$AD$4*'NIFTY MEMBS'!AE80</f>
        <v>17835.168501835167</v>
      </c>
      <c r="AE91" s="4">
        <f>$AE$4*'NIFTY MEMBS'!AF80</f>
        <v>18525.150019163553</v>
      </c>
      <c r="AF91" s="4">
        <f>$AF$4*'NIFTY MEMBS'!AG80</f>
        <v>21280.454732822767</v>
      </c>
      <c r="AG91" s="4">
        <f>$AG$4*'NIFTY MEMBS'!AH80</f>
        <v>20556.418219461699</v>
      </c>
      <c r="AH91" s="4">
        <f>$AH$4*'NIFTY MEMBS'!AI80</f>
        <v>22182.884328151798</v>
      </c>
      <c r="AI91" s="4">
        <f>$AI$4*'NIFTY MEMBS'!AJ80</f>
        <v>20779.581687874797</v>
      </c>
      <c r="AJ91" s="4">
        <f>$AJ$4*'NIFTY MEMBS'!AK80</f>
        <v>16942.026605353916</v>
      </c>
      <c r="AK91" s="4">
        <f>$AK$4*'NIFTY MEMBS'!AL80</f>
        <v>22548.983477673362</v>
      </c>
      <c r="AL91" s="4">
        <f>$AL$4*'NIFTY MEMBS'!AM80</f>
        <v>23015.986735717353</v>
      </c>
      <c r="AM91" s="4">
        <f>$AM$4*'NIFTY MEMBS'!AN80</f>
        <v>14740.982307708633</v>
      </c>
      <c r="AN91" s="4">
        <f>$AN$4*'NIFTY MEMBS'!AO80</f>
        <v>24794.344473007706</v>
      </c>
      <c r="AO91" s="4">
        <f>$AO$4*'NIFTY MEMBS'!AP80</f>
        <v>23034.672715489301</v>
      </c>
      <c r="AP91" s="4">
        <f>$AP$4*'NIFTY MEMBS'!AQ80</f>
        <v>21204.148747786487</v>
      </c>
      <c r="AQ91" s="4">
        <f>$AQ$4*'NIFTY MEMBS'!AR80</f>
        <v>17155.266015200868</v>
      </c>
      <c r="AR91" s="4">
        <f>$AR$4*'NIFTY MEMBS'!AS80</f>
        <v>20340.069321823295</v>
      </c>
      <c r="AS91" s="4">
        <f>$AS$4*'NIFTY MEMBS'!AT80</f>
        <v>19118.954088728773</v>
      </c>
      <c r="AT91" s="4">
        <f>$AT$4*'NIFTY MEMBS'!AU80</f>
        <v>21311.222654309353</v>
      </c>
      <c r="AU91" s="4">
        <f>$AU$4*'NIFTY MEMBS'!AV80</f>
        <v>25104.857111811369</v>
      </c>
      <c r="AV91" s="4">
        <f>$AV$4*'NIFTY MEMBS'!AW80</f>
        <v>17512.052593133674</v>
      </c>
      <c r="AW91" s="4">
        <f>$AW$4*'NIFTY MEMBS'!AX80</f>
        <v>18696.81073523964</v>
      </c>
      <c r="AX91" s="4">
        <f>$AX$4*'NIFTY MEMBS'!AY80</f>
        <v>17135.341448318548</v>
      </c>
      <c r="AY91" s="4">
        <f t="shared" si="10"/>
        <v>998974.82839619566</v>
      </c>
      <c r="AZ91" s="4">
        <f t="shared" si="11"/>
        <v>101.93620697920365</v>
      </c>
    </row>
    <row r="92" spans="1:52" ht="14.25" customHeight="1" x14ac:dyDescent="0.3">
      <c r="A92" s="2">
        <v>45776</v>
      </c>
      <c r="B92" s="4">
        <f>$B$4*'NIFTY MEMBS'!C81</f>
        <v>22922.415557830092</v>
      </c>
      <c r="C92" s="4">
        <f>$C$4*'NIFTY MEMBS'!D81</f>
        <v>21413.987300590099</v>
      </c>
      <c r="D92" s="4">
        <f>$D$4*'NIFTY MEMBS'!E81</f>
        <v>22858.933383468069</v>
      </c>
      <c r="E92" s="4">
        <f>$E$4*'NIFTY MEMBS'!F81</f>
        <v>16887.743316028158</v>
      </c>
      <c r="F92" s="4">
        <f>$F$4*'NIFTY MEMBS'!G81</f>
        <v>22277.100455731699</v>
      </c>
      <c r="G92" s="4">
        <f>$G$4*'NIFTY MEMBS'!H81</f>
        <v>20487.89712556732</v>
      </c>
      <c r="H92" s="4">
        <f>$H$4*'NIFTY MEMBS'!I81</f>
        <v>15909.694555112881</v>
      </c>
      <c r="I92" s="4">
        <f>$I$4*'NIFTY MEMBS'!J81</f>
        <v>19996.554842599373</v>
      </c>
      <c r="J92" s="4">
        <f>$J$4*'NIFTY MEMBS'!K81</f>
        <v>26222.369616310756</v>
      </c>
      <c r="K92" s="4">
        <f>$K$4*'NIFTY MEMBS'!L81</f>
        <v>18609.934035210343</v>
      </c>
      <c r="L92" s="4">
        <f>$L$4*'NIFTY MEMBS'!M81</f>
        <v>18117.518745739606</v>
      </c>
      <c r="M92" s="4">
        <f>$M$4*'NIFTY MEMBS'!N81</f>
        <v>21128.984770214931</v>
      </c>
      <c r="N92" s="4">
        <f>$N$4*'NIFTY MEMBS'!O81</f>
        <v>18881.24594419208</v>
      </c>
      <c r="O92" s="4">
        <f>$O$4*'NIFTY MEMBS'!P81</f>
        <v>24658.912994855735</v>
      </c>
      <c r="P92" s="4">
        <f>$P$4*'NIFTY MEMBS'!Q81</f>
        <v>16412.563090038966</v>
      </c>
      <c r="Q92" s="4">
        <f>$Q$4*'NIFTY MEMBS'!R81</f>
        <v>19106.325564168365</v>
      </c>
      <c r="R92" s="4">
        <f>$R$4*'NIFTY MEMBS'!S81</f>
        <v>20737.311085874026</v>
      </c>
      <c r="S92" s="4">
        <f>$S$4*'NIFTY MEMBS'!T81</f>
        <v>22155.252845680163</v>
      </c>
      <c r="T92" s="4">
        <f>$T$4*'NIFTY MEMBS'!U81</f>
        <v>26223.039837604669</v>
      </c>
      <c r="U92" s="4">
        <f>$U$4*'NIFTY MEMBS'!V81</f>
        <v>20766.783963612335</v>
      </c>
      <c r="V92" s="4">
        <f>$V$4*'NIFTY MEMBS'!W81</f>
        <v>21396.673160497528</v>
      </c>
      <c r="W92" s="4">
        <f>$W$4*'NIFTY MEMBS'!X81</f>
        <v>16716.817359855337</v>
      </c>
      <c r="X92" s="4">
        <f>$X$4*'NIFTY MEMBS'!Y81</f>
        <v>19962.254861737918</v>
      </c>
      <c r="Y92" s="4">
        <f>$Y$4*'NIFTY MEMBS'!Z81</f>
        <v>20736.864317366533</v>
      </c>
      <c r="Z92" s="4">
        <f>$Z$4*'NIFTY MEMBS'!AA81</f>
        <v>21578.76828853352</v>
      </c>
      <c r="AA92" s="4">
        <f>$AA$4*'NIFTY MEMBS'!AB81</f>
        <v>22874.813628582469</v>
      </c>
      <c r="AB92" s="4">
        <f>$AB$4*'NIFTY MEMBS'!AC81</f>
        <v>16077.256077256077</v>
      </c>
      <c r="AC92" s="4">
        <f>$AC$4*'NIFTY MEMBS'!AD81</f>
        <v>19519.974226804126</v>
      </c>
      <c r="AD92" s="4">
        <f>$AD$4*'NIFTY MEMBS'!AE81</f>
        <v>17767.1004337671</v>
      </c>
      <c r="AE92" s="4">
        <f>$AE$4*'NIFTY MEMBS'!AF81</f>
        <v>18485.106772457111</v>
      </c>
      <c r="AF92" s="4">
        <f>$AF$4*'NIFTY MEMBS'!AG81</f>
        <v>21270.908814787494</v>
      </c>
      <c r="AG92" s="4">
        <f>$AG$4*'NIFTY MEMBS'!AH81</f>
        <v>20139.751552795035</v>
      </c>
      <c r="AH92" s="4">
        <f>$AH$4*'NIFTY MEMBS'!AI81</f>
        <v>22012.317678080806</v>
      </c>
      <c r="AI92" s="4">
        <f>$AI$4*'NIFTY MEMBS'!AJ81</f>
        <v>20696.211788796256</v>
      </c>
      <c r="AJ92" s="4">
        <f>$AJ$4*'NIFTY MEMBS'!AK81</f>
        <v>16924.289702742652</v>
      </c>
      <c r="AK92" s="4">
        <f>$AK$4*'NIFTY MEMBS'!AL81</f>
        <v>22485.924288024893</v>
      </c>
      <c r="AL92" s="4">
        <f>$AL$4*'NIFTY MEMBS'!AM81</f>
        <v>22839.948416678606</v>
      </c>
      <c r="AM92" s="4">
        <f>$AM$4*'NIFTY MEMBS'!AN81</f>
        <v>15255.975834919109</v>
      </c>
      <c r="AN92" s="4">
        <f>$AN$4*'NIFTY MEMBS'!AO81</f>
        <v>24708.654670094253</v>
      </c>
      <c r="AO92" s="4">
        <f>$AO$4*'NIFTY MEMBS'!AP81</f>
        <v>23170.771224886579</v>
      </c>
      <c r="AP92" s="4">
        <f>$AP$4*'NIFTY MEMBS'!AQ81</f>
        <v>20998.397841301961</v>
      </c>
      <c r="AQ92" s="4">
        <f>$AQ$4*'NIFTY MEMBS'!AR81</f>
        <v>17552.014555271886</v>
      </c>
      <c r="AR92" s="4">
        <f>$AR$4*'NIFTY MEMBS'!AS81</f>
        <v>20162.18690733111</v>
      </c>
      <c r="AS92" s="4">
        <f>$AS$4*'NIFTY MEMBS'!AT81</f>
        <v>18976.477851729727</v>
      </c>
      <c r="AT92" s="4">
        <f>$AT$4*'NIFTY MEMBS'!AU81</f>
        <v>21061.107018655883</v>
      </c>
      <c r="AU92" s="4">
        <f>$AU$4*'NIFTY MEMBS'!AV81</f>
        <v>25402.586113223952</v>
      </c>
      <c r="AV92" s="4">
        <f>$AV$4*'NIFTY MEMBS'!AW81</f>
        <v>17180.423666910156</v>
      </c>
      <c r="AW92" s="4">
        <f>$AW$4*'NIFTY MEMBS'!AX81</f>
        <v>18414.80755672924</v>
      </c>
      <c r="AX92" s="4">
        <f>$AX$4*'NIFTY MEMBS'!AY81</f>
        <v>17267.3818857025</v>
      </c>
      <c r="AY92" s="4">
        <f t="shared" si="10"/>
        <v>997410.33552594925</v>
      </c>
      <c r="AZ92" s="4">
        <f t="shared" si="11"/>
        <v>101.77656484958666</v>
      </c>
    </row>
    <row r="93" spans="1:52" ht="14.25" customHeight="1" x14ac:dyDescent="0.3">
      <c r="A93" s="2">
        <v>45777</v>
      </c>
      <c r="B93" s="4">
        <f>$B$4*'NIFTY MEMBS'!C82</f>
        <v>23009.211873080858</v>
      </c>
      <c r="C93" s="4">
        <f>$C$4*'NIFTY MEMBS'!D82</f>
        <v>21595.727972357468</v>
      </c>
      <c r="D93" s="4">
        <f>$D$4*'NIFTY MEMBS'!E82</f>
        <v>23369.054333521337</v>
      </c>
      <c r="E93" s="4">
        <f>$E$4*'NIFTY MEMBS'!F82</f>
        <v>16796.313632992496</v>
      </c>
      <c r="F93" s="4">
        <f>$F$4*'NIFTY MEMBS'!G82</f>
        <v>22233.474856853503</v>
      </c>
      <c r="G93" s="4">
        <f>$G$4*'NIFTY MEMBS'!H82</f>
        <v>19885.274836106906</v>
      </c>
      <c r="H93" s="4">
        <f>$H$4*'NIFTY MEMBS'!I82</f>
        <v>15937.317397078352</v>
      </c>
      <c r="I93" s="4">
        <f>$I$4*'NIFTY MEMBS'!J82</f>
        <v>20172.257870031437</v>
      </c>
      <c r="J93" s="4">
        <f>$J$4*'NIFTY MEMBS'!K82</f>
        <v>24900.148515565299</v>
      </c>
      <c r="K93" s="4">
        <f>$K$4*'NIFTY MEMBS'!L82</f>
        <v>18601.196976977852</v>
      </c>
      <c r="L93" s="4">
        <f>$L$4*'NIFTY MEMBS'!M82</f>
        <v>18219.495569188821</v>
      </c>
      <c r="M93" s="4">
        <f>$M$4*'NIFTY MEMBS'!N82</f>
        <v>21871.291810533268</v>
      </c>
      <c r="N93" s="4">
        <f>$N$4*'NIFTY MEMBS'!O82</f>
        <v>19005.840363400388</v>
      </c>
      <c r="O93" s="4">
        <f>$O$4*'NIFTY MEMBS'!P82</f>
        <v>24693.580854394986</v>
      </c>
      <c r="P93" s="4">
        <f>$P$4*'NIFTY MEMBS'!Q82</f>
        <v>16396.872303146003</v>
      </c>
      <c r="Q93" s="4">
        <f>$Q$4*'NIFTY MEMBS'!R82</f>
        <v>19389.930950554244</v>
      </c>
      <c r="R93" s="4">
        <f>$R$4*'NIFTY MEMBS'!S82</f>
        <v>20338.953437581898</v>
      </c>
      <c r="S93" s="4">
        <f>$S$4*'NIFTY MEMBS'!T82</f>
        <v>22112.334390744541</v>
      </c>
      <c r="T93" s="4">
        <f>$T$4*'NIFTY MEMBS'!U82</f>
        <v>24760.213143872112</v>
      </c>
      <c r="U93" s="4">
        <f>$U$4*'NIFTY MEMBS'!V82</f>
        <v>20773.54518493477</v>
      </c>
      <c r="V93" s="4">
        <f>$V$4*'NIFTY MEMBS'!W82</f>
        <v>21252.809830660874</v>
      </c>
      <c r="W93" s="4">
        <f>$W$4*'NIFTY MEMBS'!X82</f>
        <v>16818.806509945753</v>
      </c>
      <c r="X93" s="4">
        <f>$X$4*'NIFTY MEMBS'!Y82</f>
        <v>19963.895954705833</v>
      </c>
      <c r="Y93" s="4">
        <f>$Y$4*'NIFTY MEMBS'!Z82</f>
        <v>20633.044946191181</v>
      </c>
      <c r="Z93" s="4">
        <f>$Z$4*'NIFTY MEMBS'!AA82</f>
        <v>21374.617216740393</v>
      </c>
      <c r="AA93" s="4">
        <f>$AA$4*'NIFTY MEMBS'!AB82</f>
        <v>22746.700535645257</v>
      </c>
      <c r="AB93" s="4">
        <f>$AB$4*'NIFTY MEMBS'!AC82</f>
        <v>16083.916083916083</v>
      </c>
      <c r="AC93" s="4">
        <f>$AC$4*'NIFTY MEMBS'!AD82</f>
        <v>19809.922680412372</v>
      </c>
      <c r="AD93" s="4">
        <f>$AD$4*'NIFTY MEMBS'!AE82</f>
        <v>17197.197197197198</v>
      </c>
      <c r="AE93" s="4">
        <f>$AE$4*'NIFTY MEMBS'!AF82</f>
        <v>18374.129774442114</v>
      </c>
      <c r="AF93" s="4">
        <f>$AF$4*'NIFTY MEMBS'!AG82</f>
        <v>21050.484889245654</v>
      </c>
      <c r="AG93" s="4">
        <f>$AG$4*'NIFTY MEMBS'!AH82</f>
        <v>19943.064182194619</v>
      </c>
      <c r="AH93" s="4">
        <f>$AH$4*'NIFTY MEMBS'!AI82</f>
        <v>22018.771551326732</v>
      </c>
      <c r="AI93" s="4">
        <f>$AI$4*'NIFTY MEMBS'!AJ82</f>
        <v>20488.518356004097</v>
      </c>
      <c r="AJ93" s="4">
        <f>$AJ$4*'NIFTY MEMBS'!AK82</f>
        <v>17107.571029725739</v>
      </c>
      <c r="AK93" s="4">
        <f>$AK$4*'NIFTY MEMBS'!AL82</f>
        <v>22418.770345801855</v>
      </c>
      <c r="AL93" s="4">
        <f>$AL$4*'NIFTY MEMBS'!AM82</f>
        <v>22790.821443923604</v>
      </c>
      <c r="AM93" s="4">
        <f>$AM$4*'NIFTY MEMBS'!AN82</f>
        <v>14636.285821407602</v>
      </c>
      <c r="AN93" s="4">
        <f>$AN$4*'NIFTY MEMBS'!AO82</f>
        <v>25218.508997429301</v>
      </c>
      <c r="AO93" s="4">
        <f>$AO$4*'NIFTY MEMBS'!AP82</f>
        <v>24099.157485418014</v>
      </c>
      <c r="AP93" s="4">
        <f>$AP$4*'NIFTY MEMBS'!AQ82</f>
        <v>21069.230120583521</v>
      </c>
      <c r="AQ93" s="4">
        <f>$AQ$4*'NIFTY MEMBS'!AR82</f>
        <v>17642.398098424157</v>
      </c>
      <c r="AR93" s="4">
        <f>$AR$4*'NIFTY MEMBS'!AS82</f>
        <v>20274.671375318812</v>
      </c>
      <c r="AS93" s="4">
        <f>$AS$4*'NIFTY MEMBS'!AT82</f>
        <v>18934.41343890144</v>
      </c>
      <c r="AT93" s="4">
        <f>$AT$4*'NIFTY MEMBS'!AU82</f>
        <v>20958.319771127062</v>
      </c>
      <c r="AU93" s="4">
        <f>$AU$4*'NIFTY MEMBS'!AV82</f>
        <v>25335.216777137888</v>
      </c>
      <c r="AV93" s="4">
        <f>$AV$4*'NIFTY MEMBS'!AW82</f>
        <v>17295.836376917461</v>
      </c>
      <c r="AW93" s="4">
        <f>$AW$4*'NIFTY MEMBS'!AX82</f>
        <v>18293.880770012067</v>
      </c>
      <c r="AX93" s="4">
        <f>$AX$4*'NIFTY MEMBS'!AY82</f>
        <v>17297.2972972973</v>
      </c>
      <c r="AY93" s="4">
        <f t="shared" si="10"/>
        <v>995190.29513097054</v>
      </c>
      <c r="AZ93" s="4">
        <f t="shared" si="11"/>
        <v>101.55003011540515</v>
      </c>
    </row>
    <row r="94" spans="1:52" ht="14.25" customHeight="1" x14ac:dyDescent="0.3">
      <c r="A94" s="2">
        <v>45779</v>
      </c>
      <c r="B94" s="4">
        <f>$B$4*'NIFTY MEMBS'!C83</f>
        <v>23294.165813715455</v>
      </c>
      <c r="C94" s="4">
        <f>$C$4*'NIFTY MEMBS'!D83</f>
        <v>21595.727972357468</v>
      </c>
      <c r="D94" s="4">
        <f>$D$4*'NIFTY MEMBS'!E83</f>
        <v>23211.129911637527</v>
      </c>
      <c r="E94" s="4">
        <f>$E$4*'NIFTY MEMBS'!F83</f>
        <v>16752.544103879682</v>
      </c>
      <c r="F94" s="4">
        <f>$F$4*'NIFTY MEMBS'!G83</f>
        <v>22317.609940404316</v>
      </c>
      <c r="G94" s="4">
        <f>$G$4*'NIFTY MEMBS'!H83</f>
        <v>20171.457387796265</v>
      </c>
      <c r="H94" s="4">
        <f>$H$4*'NIFTY MEMBS'!I83</f>
        <v>16008.499335989374</v>
      </c>
      <c r="I94" s="4">
        <f>$I$4*'NIFTY MEMBS'!J83</f>
        <v>20015.503208302831</v>
      </c>
      <c r="J94" s="4">
        <f>$J$4*'NIFTY MEMBS'!K83</f>
        <v>25557.654319207533</v>
      </c>
      <c r="K94" s="4">
        <f>$K$4*'NIFTY MEMBS'!L83</f>
        <v>18795.596522650823</v>
      </c>
      <c r="L94" s="4">
        <f>$L$4*'NIFTY MEMBS'!M83</f>
        <v>18158.418541240626</v>
      </c>
      <c r="M94" s="4">
        <f>$M$4*'NIFTY MEMBS'!N83</f>
        <v>22137.166207185746</v>
      </c>
      <c r="N94" s="4">
        <f>$N$4*'NIFTY MEMBS'!O83</f>
        <v>18988.968202465931</v>
      </c>
      <c r="O94" s="4">
        <f>$O$4*'NIFTY MEMBS'!P83</f>
        <v>24437.486021024375</v>
      </c>
      <c r="P94" s="4">
        <f>$P$4*'NIFTY MEMBS'!Q83</f>
        <v>16491.017024503777</v>
      </c>
      <c r="Q94" s="4">
        <f>$Q$4*'NIFTY MEMBS'!R83</f>
        <v>19359.242307997567</v>
      </c>
      <c r="R94" s="4">
        <f>$R$4*'NIFTY MEMBS'!S83</f>
        <v>20344.194985585742</v>
      </c>
      <c r="S94" s="4">
        <f>$S$4*'NIFTY MEMBS'!T83</f>
        <v>22060.085836909875</v>
      </c>
      <c r="T94" s="4">
        <f>$T$4*'NIFTY MEMBS'!U83</f>
        <v>24841.410809439225</v>
      </c>
      <c r="U94" s="4">
        <f>$U$4*'NIFTY MEMBS'!V83</f>
        <v>20535.673125681886</v>
      </c>
      <c r="V94" s="4">
        <f>$V$4*'NIFTY MEMBS'!W83</f>
        <v>20887.157200659374</v>
      </c>
      <c r="W94" s="4">
        <f>$W$4*'NIFTY MEMBS'!X83</f>
        <v>16946.835443037977</v>
      </c>
      <c r="X94" s="4">
        <f>$X$4*'NIFTY MEMBS'!Y83</f>
        <v>20794.288996471645</v>
      </c>
      <c r="Y94" s="4">
        <f>$Y$4*'NIFTY MEMBS'!Z83</f>
        <v>20546.106773580923</v>
      </c>
      <c r="Z94" s="4">
        <f>$Z$4*'NIFTY MEMBS'!AA83</f>
        <v>21187.478734263361</v>
      </c>
      <c r="AA94" s="4">
        <f>$AA$4*'NIFTY MEMBS'!AB83</f>
        <v>21496.493456292454</v>
      </c>
      <c r="AB94" s="4">
        <f>$AB$4*'NIFTY MEMBS'!AC83</f>
        <v>16175.158175158174</v>
      </c>
      <c r="AC94" s="4">
        <f>$AC$4*'NIFTY MEMBS'!AD83</f>
        <v>19584.407216494845</v>
      </c>
      <c r="AD94" s="4">
        <f>$AD$4*'NIFTY MEMBS'!AE83</f>
        <v>17404.070737404068</v>
      </c>
      <c r="AE94" s="4">
        <f>$AE$4*'NIFTY MEMBS'!AF83</f>
        <v>17931.365875145158</v>
      </c>
      <c r="AF94" s="4">
        <f>$AF$4*'NIFTY MEMBS'!AG83</f>
        <v>20912.502983099384</v>
      </c>
      <c r="AG94" s="4">
        <f>$AG$4*'NIFTY MEMBS'!AH83</f>
        <v>19896.480331262941</v>
      </c>
      <c r="AH94" s="4">
        <f>$AH$4*'NIFTY MEMBS'!AI83</f>
        <v>21553.170695727538</v>
      </c>
      <c r="AI94" s="4">
        <f>$AI$4*'NIFTY MEMBS'!AJ83</f>
        <v>20649.4076349276</v>
      </c>
      <c r="AJ94" s="4">
        <f>$AJ$4*'NIFTY MEMBS'!AK83</f>
        <v>17001.14961405814</v>
      </c>
      <c r="AK94" s="4">
        <f>$AK$4*'NIFTY MEMBS'!AL83</f>
        <v>22261.531846938149</v>
      </c>
      <c r="AL94" s="4">
        <f>$AL$4*'NIFTY MEMBS'!AM83</f>
        <v>22260.659529609235</v>
      </c>
      <c r="AM94" s="4">
        <f>$AM$4*'NIFTY MEMBS'!AN83</f>
        <v>14566.95976966773</v>
      </c>
      <c r="AN94" s="4">
        <f>$AN$4*'NIFTY MEMBS'!AO83</f>
        <v>25202.799200228503</v>
      </c>
      <c r="AO94" s="4">
        <f>$AO$4*'NIFTY MEMBS'!AP83</f>
        <v>23582.30719377835</v>
      </c>
      <c r="AP94" s="4">
        <f>$AP$4*'NIFTY MEMBS'!AQ83</f>
        <v>21320.516063749052</v>
      </c>
      <c r="AQ94" s="4">
        <f>$AQ$4*'NIFTY MEMBS'!AR83</f>
        <v>17563.752677759192</v>
      </c>
      <c r="AR94" s="4">
        <f>$AR$4*'NIFTY MEMBS'!AS83</f>
        <v>19954.221437446864</v>
      </c>
      <c r="AS94" s="4">
        <f>$AS$4*'NIFTY MEMBS'!AT83</f>
        <v>18873.352194473278</v>
      </c>
      <c r="AT94" s="4">
        <f>$AT$4*'NIFTY MEMBS'!AU83</f>
        <v>20701.351652305002</v>
      </c>
      <c r="AU94" s="4">
        <f>$AU$4*'NIFTY MEMBS'!AV83</f>
        <v>25139.628382049334</v>
      </c>
      <c r="AV94" s="4">
        <f>$AV$4*'NIFTY MEMBS'!AW83</f>
        <v>17281.227173119067</v>
      </c>
      <c r="AW94" s="4">
        <f>$AW$4*'NIFTY MEMBS'!AX83</f>
        <v>17878.523546070475</v>
      </c>
      <c r="AX94" s="4">
        <f>$AX$4*'NIFTY MEMBS'!AY83</f>
        <v>17598.514545079433</v>
      </c>
      <c r="AY94" s="4">
        <f t="shared" si="10"/>
        <v>992224.97065783327</v>
      </c>
      <c r="AZ94" s="4">
        <f t="shared" si="11"/>
        <v>101.2474459854932</v>
      </c>
    </row>
    <row r="95" spans="1:52" ht="14.25" customHeight="1" x14ac:dyDescent="0.3">
      <c r="A95" s="2">
        <v>45782</v>
      </c>
      <c r="B95" s="4">
        <f>$B$4*'NIFTY MEMBS'!C84</f>
        <v>23439.918116683722</v>
      </c>
      <c r="C95" s="4">
        <f>$C$4*'NIFTY MEMBS'!D84</f>
        <v>21728.106980188026</v>
      </c>
      <c r="D95" s="4">
        <f>$D$4*'NIFTY MEMBS'!E84</f>
        <v>23387.854859936077</v>
      </c>
      <c r="E95" s="4">
        <f>$E$4*'NIFTY MEMBS'!F84</f>
        <v>16799.231601600022</v>
      </c>
      <c r="F95" s="4">
        <f>$F$4*'NIFTY MEMBS'!G84</f>
        <v>22270.86822732053</v>
      </c>
      <c r="G95" s="4">
        <f>$G$4*'NIFTY MEMBS'!H84</f>
        <v>19919.314170448812</v>
      </c>
      <c r="H95" s="4">
        <f>$H$4*'NIFTY MEMBS'!I84</f>
        <v>16027.622841965469</v>
      </c>
      <c r="I95" s="4">
        <f>$I$4*'NIFTY MEMBS'!J84</f>
        <v>20228.241677791655</v>
      </c>
      <c r="J95" s="4">
        <f>$J$4*'NIFTY MEMBS'!K84</f>
        <v>25758.07823742304</v>
      </c>
      <c r="K95" s="4">
        <f>$K$4*'NIFTY MEMBS'!L84</f>
        <v>19088.287973439343</v>
      </c>
      <c r="L95" s="4">
        <f>$L$4*'NIFTY MEMBS'!M84</f>
        <v>18160.599863667347</v>
      </c>
      <c r="M95" s="4">
        <f>$M$4*'NIFTY MEMBS'!N84</f>
        <v>22229.95458722554</v>
      </c>
      <c r="N95" s="4">
        <f>$N$4*'NIFTY MEMBS'!O84</f>
        <v>19607.397793640492</v>
      </c>
      <c r="O95" s="4">
        <f>$O$4*'NIFTY MEMBS'!P84</f>
        <v>23315.813017222095</v>
      </c>
      <c r="P95" s="4">
        <f>$P$4*'NIFTY MEMBS'!Q84</f>
        <v>16408.378880200842</v>
      </c>
      <c r="Q95" s="4">
        <f>$Q$4*'NIFTY MEMBS'!R84</f>
        <v>19435.434799862429</v>
      </c>
      <c r="R95" s="4">
        <f>$R$4*'NIFTY MEMBS'!S84</f>
        <v>20389.621734952387</v>
      </c>
      <c r="S95" s="4">
        <f>$S$4*'NIFTY MEMBS'!T84</f>
        <v>21892.144056727004</v>
      </c>
      <c r="T95" s="4">
        <f>$T$4*'NIFTY MEMBS'!U84</f>
        <v>25706.673433138796</v>
      </c>
      <c r="U95" s="4">
        <f>$U$4*'NIFTY MEMBS'!V84</f>
        <v>20417.659080781232</v>
      </c>
      <c r="V95" s="4">
        <f>$V$4*'NIFTY MEMBS'!W84</f>
        <v>20896.148658774167</v>
      </c>
      <c r="W95" s="4">
        <f>$W$4*'NIFTY MEMBS'!X84</f>
        <v>17352.622061482823</v>
      </c>
      <c r="X95" s="4">
        <f>$X$4*'NIFTY MEMBS'!Y84</f>
        <v>22107.163370804952</v>
      </c>
      <c r="Y95" s="4">
        <f>$Y$4*'NIFTY MEMBS'!Z84</f>
        <v>20189.913483857355</v>
      </c>
      <c r="Z95" s="4">
        <f>$Z$4*'NIFTY MEMBS'!AA84</f>
        <v>21456.277645457641</v>
      </c>
      <c r="AA95" s="4">
        <f>$AA$4*'NIFTY MEMBS'!AB84</f>
        <v>21105.527638190953</v>
      </c>
      <c r="AB95" s="4">
        <f>$AB$4*'NIFTY MEMBS'!AC84</f>
        <v>16221.778221778221</v>
      </c>
      <c r="AC95" s="4">
        <f>$AC$4*'NIFTY MEMBS'!AD84</f>
        <v>19858.247422680412</v>
      </c>
      <c r="AD95" s="4">
        <f>$AD$4*'NIFTY MEMBS'!AE84</f>
        <v>17658.99232565899</v>
      </c>
      <c r="AE95" s="4">
        <f>$AE$4*'NIFTY MEMBS'!AF84</f>
        <v>18123.573459336083</v>
      </c>
      <c r="AF95" s="4">
        <f>$AF$4*'NIFTY MEMBS'!AG84</f>
        <v>21147.67969105938</v>
      </c>
      <c r="AG95" s="4">
        <f>$AG$4*'NIFTY MEMBS'!AH84</f>
        <v>19958.592132505179</v>
      </c>
      <c r="AH95" s="4">
        <f>$AH$4*'NIFTY MEMBS'!AI84</f>
        <v>21465.582415961351</v>
      </c>
      <c r="AI95" s="4">
        <f>$AI$4*'NIFTY MEMBS'!AJ84</f>
        <v>20781.044317683194</v>
      </c>
      <c r="AJ95" s="4">
        <f>$AJ$4*'NIFTY MEMBS'!AK84</f>
        <v>17119.395631466585</v>
      </c>
      <c r="AK95" s="4">
        <f>$AK$4*'NIFTY MEMBS'!AL84</f>
        <v>22562.905636426916</v>
      </c>
      <c r="AL95" s="4">
        <f>$AL$4*'NIFTY MEMBS'!AM84</f>
        <v>22354.819560722983</v>
      </c>
      <c r="AM95" s="4">
        <f>$AM$4*'NIFTY MEMBS'!AN84</f>
        <v>15196.553504856362</v>
      </c>
      <c r="AN95" s="4">
        <f>$AN$4*'NIFTY MEMBS'!AO84</f>
        <v>25277.063696086829</v>
      </c>
      <c r="AO95" s="4">
        <f>$AO$4*'NIFTY MEMBS'!AP84</f>
        <v>23943.616331821122</v>
      </c>
      <c r="AP95" s="4">
        <f>$AP$4*'NIFTY MEMBS'!AQ84</f>
        <v>21364.364617590014</v>
      </c>
      <c r="AQ95" s="4">
        <f>$AQ$4*'NIFTY MEMBS'!AR84</f>
        <v>17543.797869530768</v>
      </c>
      <c r="AR95" s="4">
        <f>$AR$4*'NIFTY MEMBS'!AS84</f>
        <v>20180.498332352367</v>
      </c>
      <c r="AS95" s="4">
        <f>$AS$4*'NIFTY MEMBS'!AT84</f>
        <v>18926.27193964435</v>
      </c>
      <c r="AT95" s="4">
        <f>$AT$4*'NIFTY MEMBS'!AU84</f>
        <v>21545.920202833498</v>
      </c>
      <c r="AU95" s="4">
        <f>$AU$4*'NIFTY MEMBS'!AV84</f>
        <v>25241.768988373358</v>
      </c>
      <c r="AV95" s="4">
        <f>$AV$4*'NIFTY MEMBS'!AW84</f>
        <v>17111.760409057708</v>
      </c>
      <c r="AW95" s="4">
        <f>$AW$4*'NIFTY MEMBS'!AX84</f>
        <v>18008.053819589659</v>
      </c>
      <c r="AX95" s="4">
        <f>$AX$4*'NIFTY MEMBS'!AY84</f>
        <v>17469.56880544667</v>
      </c>
      <c r="AY95" s="4">
        <f t="shared" si="10"/>
        <v>998380.70412524452</v>
      </c>
      <c r="AZ95" s="4">
        <f t="shared" si="11"/>
        <v>101.87558205359637</v>
      </c>
    </row>
    <row r="96" spans="1:52" ht="14.25" customHeight="1" x14ac:dyDescent="0.3">
      <c r="A96" s="2">
        <v>45783</v>
      </c>
      <c r="B96" s="4">
        <f>$B$4*'NIFTY MEMBS'!C85</f>
        <v>23269.600818833162</v>
      </c>
      <c r="C96" s="4">
        <f>$C$4*'NIFTY MEMBS'!D85</f>
        <v>21670.892324261258</v>
      </c>
      <c r="D96" s="4">
        <f>$D$4*'NIFTY MEMBS'!E85</f>
        <v>23826.533809613335</v>
      </c>
      <c r="E96" s="4">
        <f>$E$4*'NIFTY MEMBS'!F85</f>
        <v>16826.952303371469</v>
      </c>
      <c r="F96" s="4">
        <f>$F$4*'NIFTY MEMBS'!G85</f>
        <v>22305.145483581971</v>
      </c>
      <c r="G96" s="4">
        <f>$G$4*'NIFTY MEMBS'!H85</f>
        <v>19518.406454866363</v>
      </c>
      <c r="H96" s="4">
        <f>$H$4*'NIFTY MEMBS'!I85</f>
        <v>16058.432934926957</v>
      </c>
      <c r="I96" s="4">
        <f>$I$4*'NIFTY MEMBS'!J85</f>
        <v>20514.189742043844</v>
      </c>
      <c r="J96" s="4">
        <f>$J$4*'NIFTY MEMBS'!K85</f>
        <v>25370.207489221808</v>
      </c>
      <c r="K96" s="4">
        <f>$K$4*'NIFTY MEMBS'!L85</f>
        <v>19027.12856581189</v>
      </c>
      <c r="L96" s="4">
        <f>$L$4*'NIFTY MEMBS'!M85</f>
        <v>18181.322426721199</v>
      </c>
      <c r="M96" s="4">
        <f>$M$4*'NIFTY MEMBS'!N85</f>
        <v>22449.434793858123</v>
      </c>
      <c r="N96" s="4">
        <f>$N$4*'NIFTY MEMBS'!O85</f>
        <v>19911.745619727448</v>
      </c>
      <c r="O96" s="4">
        <f>$O$4*'NIFTY MEMBS'!P85</f>
        <v>23193.916349809882</v>
      </c>
      <c r="P96" s="4">
        <f>$P$4*'NIFTY MEMBS'!Q85</f>
        <v>16518.214388451579</v>
      </c>
      <c r="Q96" s="4">
        <f>$Q$4*'NIFTY MEMBS'!R85</f>
        <v>19250.24471546866</v>
      </c>
      <c r="R96" s="4">
        <f>$R$4*'NIFTY MEMBS'!S85</f>
        <v>20429.806936315192</v>
      </c>
      <c r="S96" s="4">
        <f>$S$4*'NIFTY MEMBS'!T85</f>
        <v>21671.953722709462</v>
      </c>
      <c r="T96" s="4">
        <f>$T$4*'NIFTY MEMBS'!U85</f>
        <v>25828.469931489468</v>
      </c>
      <c r="U96" s="4">
        <f>$U$4*'NIFTY MEMBS'!V85</f>
        <v>20279.361371913274</v>
      </c>
      <c r="V96" s="4">
        <f>$V$4*'NIFTY MEMBS'!W85</f>
        <v>20488.535890903644</v>
      </c>
      <c r="W96" s="4">
        <f>$W$4*'NIFTY MEMBS'!X85</f>
        <v>16827.486437613021</v>
      </c>
      <c r="X96" s="4">
        <f>$X$4*'NIFTY MEMBS'!Y85</f>
        <v>21675.555920242878</v>
      </c>
      <c r="Y96" s="4">
        <f>$Y$4*'NIFTY MEMBS'!Z85</f>
        <v>20004.220299641274</v>
      </c>
      <c r="Z96" s="4">
        <f>$Z$4*'NIFTY MEMBS'!AA85</f>
        <v>21129.63593058864</v>
      </c>
      <c r="AA96" s="4">
        <f>$AA$4*'NIFTY MEMBS'!AB85</f>
        <v>21370.58920978519</v>
      </c>
      <c r="AB96" s="4">
        <f>$AB$4*'NIFTY MEMBS'!AC85</f>
        <v>16063.270063270062</v>
      </c>
      <c r="AC96" s="4">
        <f>$AC$4*'NIFTY MEMBS'!AD85</f>
        <v>19819.587628865982</v>
      </c>
      <c r="AD96" s="4">
        <f>$AD$4*'NIFTY MEMBS'!AE85</f>
        <v>17302.635969302635</v>
      </c>
      <c r="AE96" s="4">
        <f>$AE$4*'NIFTY MEMBS'!AF85</f>
        <v>18180.778097488146</v>
      </c>
      <c r="AF96" s="4">
        <f>$AF$4*'NIFTY MEMBS'!AG85</f>
        <v>20983.663462998717</v>
      </c>
      <c r="AG96" s="4">
        <f>$AG$4*'NIFTY MEMBS'!AH85</f>
        <v>19578.157349896483</v>
      </c>
      <c r="AH96" s="4">
        <f>$AH$4*'NIFTY MEMBS'!AI85</f>
        <v>21726.503291475357</v>
      </c>
      <c r="AI96" s="4">
        <f>$AI$4*'NIFTY MEMBS'!AJ85</f>
        <v>21126.22495246453</v>
      </c>
      <c r="AJ96" s="4">
        <f>$AJ$4*'NIFTY MEMBS'!AK85</f>
        <v>16501.888651666941</v>
      </c>
      <c r="AK96" s="4">
        <f>$AK$4*'NIFTY MEMBS'!AL85</f>
        <v>22346.702700489321</v>
      </c>
      <c r="AL96" s="4">
        <f>$AL$4*'NIFTY MEMBS'!AM85</f>
        <v>22577.937895318606</v>
      </c>
      <c r="AM96" s="4">
        <f>$AM$4*'NIFTY MEMBS'!AN85</f>
        <v>14782.012011799578</v>
      </c>
      <c r="AN96" s="4">
        <f>$AN$4*'NIFTY MEMBS'!AO85</f>
        <v>24650.099971436728</v>
      </c>
      <c r="AO96" s="4">
        <f>$AO$4*'NIFTY MEMBS'!AP85</f>
        <v>23415.424497731688</v>
      </c>
      <c r="AP96" s="4">
        <f>$AP$4*'NIFTY MEMBS'!AQ85</f>
        <v>21251.370267307528</v>
      </c>
      <c r="AQ96" s="4">
        <f>$AQ$4*'NIFTY MEMBS'!AR85</f>
        <v>17562.578865510462</v>
      </c>
      <c r="AR96" s="4">
        <f>$AR$4*'NIFTY MEMBS'!AS85</f>
        <v>19768.491269374143</v>
      </c>
      <c r="AS96" s="4">
        <f>$AS$4*'NIFTY MEMBS'!AT85</f>
        <v>19021.256097643713</v>
      </c>
      <c r="AT96" s="4">
        <f>$AT$4*'NIFTY MEMBS'!AU85</f>
        <v>21360.90315728162</v>
      </c>
      <c r="AU96" s="4">
        <f>$AU$4*'NIFTY MEMBS'!AV85</f>
        <v>25107.030316201239</v>
      </c>
      <c r="AV96" s="4">
        <f>$AV$4*'NIFTY MEMBS'!AW85</f>
        <v>16952.520087655226</v>
      </c>
      <c r="AW96" s="4">
        <f>$AW$4*'NIFTY MEMBS'!AX85</f>
        <v>18509.923883040374</v>
      </c>
      <c r="AX96" s="4">
        <f>$AX$4*'NIFTY MEMBS'!AY85</f>
        <v>17161.130596245101</v>
      </c>
      <c r="AY96" s="4">
        <f t="shared" si="10"/>
        <v>993348.07495623524</v>
      </c>
      <c r="AZ96" s="4">
        <f t="shared" si="11"/>
        <v>101.36204846492195</v>
      </c>
    </row>
    <row r="97" spans="1:52" ht="14.25" customHeight="1" x14ac:dyDescent="0.3">
      <c r="A97" s="2">
        <v>45784</v>
      </c>
      <c r="B97" s="4">
        <f>$B$4*'NIFTY MEMBS'!C86</f>
        <v>23025.588536335719</v>
      </c>
      <c r="C97" s="4">
        <f>$C$4*'NIFTY MEMBS'!D86</f>
        <v>21826.830308061657</v>
      </c>
      <c r="D97" s="4">
        <f>$D$4*'NIFTY MEMBS'!E86</f>
        <v>23773.892335652065</v>
      </c>
      <c r="E97" s="4">
        <f>$E$4*'NIFTY MEMBS'!F86</f>
        <v>16754.489416284698</v>
      </c>
      <c r="F97" s="4">
        <f>$F$4*'NIFTY MEMBS'!G86</f>
        <v>22364.351653488102</v>
      </c>
      <c r="G97" s="4">
        <f>$G$4*'NIFTY MEMBS'!H86</f>
        <v>19568.835098335854</v>
      </c>
      <c r="H97" s="4">
        <f>$H$4*'NIFTY MEMBS'!I86</f>
        <v>16024.435590969455</v>
      </c>
      <c r="I97" s="4">
        <f>$I$4*'NIFTY MEMBS'!J86</f>
        <v>20419.447913526554</v>
      </c>
      <c r="J97" s="4">
        <f>$J$4*'NIFTY MEMBS'!K86</f>
        <v>25915.245194872608</v>
      </c>
      <c r="K97" s="4">
        <f>$K$4*'NIFTY MEMBS'!L86</f>
        <v>18834.913284697042</v>
      </c>
      <c r="L97" s="4">
        <f>$L$4*'NIFTY MEMBS'!M86</f>
        <v>18112.610770279483</v>
      </c>
      <c r="M97" s="4">
        <f>$M$4*'NIFTY MEMBS'!N86</f>
        <v>22542.223173897917</v>
      </c>
      <c r="N97" s="4">
        <f>$N$4*'NIFTY MEMBS'!O86</f>
        <v>20245.944192083061</v>
      </c>
      <c r="O97" s="4">
        <f>$O$4*'NIFTY MEMBS'!P86</f>
        <v>23427.644822187427</v>
      </c>
      <c r="P97" s="4">
        <f>$P$4*'NIFTY MEMBS'!Q86</f>
        <v>16352.938099845707</v>
      </c>
      <c r="Q97" s="4">
        <f>$Q$4*'NIFTY MEMBS'!R86</f>
        <v>18850.234133178124</v>
      </c>
      <c r="R97" s="4">
        <f>$R$4*'NIFTY MEMBS'!S86</f>
        <v>20368.655542937013</v>
      </c>
      <c r="S97" s="4">
        <f>$S$4*'NIFTY MEMBS'!T86</f>
        <v>21670.08770292965</v>
      </c>
      <c r="T97" s="4">
        <f>$T$4*'NIFTY MEMBS'!U86</f>
        <v>25758.690687642727</v>
      </c>
      <c r="U97" s="4">
        <f>$U$4*'NIFTY MEMBS'!V86</f>
        <v>20522.765339520876</v>
      </c>
      <c r="V97" s="4">
        <f>$V$4*'NIFTY MEMBS'!W86</f>
        <v>20503.521654428296</v>
      </c>
      <c r="W97" s="4">
        <f>$W$4*'NIFTY MEMBS'!X86</f>
        <v>17135.623869801086</v>
      </c>
      <c r="X97" s="4">
        <f>$X$4*'NIFTY MEMBS'!Y86</f>
        <v>21961.106096660373</v>
      </c>
      <c r="Y97" s="4">
        <f>$Y$4*'NIFTY MEMBS'!Z86</f>
        <v>20145.178307659844</v>
      </c>
      <c r="Z97" s="4">
        <f>$Z$4*'NIFTY MEMBS'!AA86</f>
        <v>21092.208234093232</v>
      </c>
      <c r="AA97" s="4">
        <f>$AA$4*'NIFTY MEMBS'!AB86</f>
        <v>21339.665359765862</v>
      </c>
      <c r="AB97" s="4">
        <f>$AB$4*'NIFTY MEMBS'!AC86</f>
        <v>16253.080253080252</v>
      </c>
      <c r="AC97" s="4">
        <f>$AC$4*'NIFTY MEMBS'!AD86</f>
        <v>20045.103092783509</v>
      </c>
      <c r="AD97" s="4">
        <f>$AD$4*'NIFTY MEMBS'!AE86</f>
        <v>18159.492826159491</v>
      </c>
      <c r="AE97" s="4">
        <f>$AE$4*'NIFTY MEMBS'!AF86</f>
        <v>17959.968194221186</v>
      </c>
      <c r="AF97" s="4">
        <f>$AF$4*'NIFTY MEMBS'!AG86</f>
        <v>20255.570260126264</v>
      </c>
      <c r="AG97" s="4">
        <f>$AG$4*'NIFTY MEMBS'!AH86</f>
        <v>19839.544513457557</v>
      </c>
      <c r="AH97" s="4">
        <f>$AH$4*'NIFTY MEMBS'!AI86</f>
        <v>21559.624568973468</v>
      </c>
      <c r="AI97" s="4">
        <f>$AI$4*'NIFTY MEMBS'!AJ86</f>
        <v>21354.395202574226</v>
      </c>
      <c r="AJ97" s="4">
        <f>$AJ$4*'NIFTY MEMBS'!AK86</f>
        <v>16823.780587945479</v>
      </c>
      <c r="AK97" s="4">
        <f>$AK$4*'NIFTY MEMBS'!AL86</f>
        <v>22110.844952193762</v>
      </c>
      <c r="AL97" s="4">
        <f>$AL$4*'NIFTY MEMBS'!AM86</f>
        <v>22471.496121016105</v>
      </c>
      <c r="AM97" s="4">
        <f>$AM$4*'NIFTY MEMBS'!AN86</f>
        <v>14807.478724683611</v>
      </c>
      <c r="AN97" s="4">
        <f>$AN$4*'NIFTY MEMBS'!AO86</f>
        <v>24914.310197086543</v>
      </c>
      <c r="AO97" s="4">
        <f>$AO$4*'NIFTY MEMBS'!AP86</f>
        <v>23457.550226830845</v>
      </c>
      <c r="AP97" s="4">
        <f>$AP$4*'NIFTY MEMBS'!AQ86</f>
        <v>21462.180622312164</v>
      </c>
      <c r="AQ97" s="4">
        <f>$AQ$4*'NIFTY MEMBS'!AR86</f>
        <v>17550.840743023153</v>
      </c>
      <c r="AR97" s="4">
        <f>$AR$4*'NIFTY MEMBS'!AS86</f>
        <v>19734.48433719181</v>
      </c>
      <c r="AS97" s="4">
        <f>$AS$4*'NIFTY MEMBS'!AT86</f>
        <v>18950.696437415616</v>
      </c>
      <c r="AT97" s="4">
        <f>$AT$4*'NIFTY MEMBS'!AU86</f>
        <v>21813.167046408438</v>
      </c>
      <c r="AU97" s="4">
        <f>$AU$4*'NIFTY MEMBS'!AV86</f>
        <v>24904.922307943063</v>
      </c>
      <c r="AV97" s="4">
        <f>$AV$4*'NIFTY MEMBS'!AW86</f>
        <v>16956.902848794743</v>
      </c>
      <c r="AW97" s="4">
        <f>$AW$4*'NIFTY MEMBS'!AX86</f>
        <v>18487.937194546343</v>
      </c>
      <c r="AX97" s="4">
        <f>$AX$4*'NIFTY MEMBS'!AY86</f>
        <v>17202.393232927585</v>
      </c>
      <c r="AY97" s="4">
        <f t="shared" si="10"/>
        <v>995612.89181082952</v>
      </c>
      <c r="AZ97" s="4">
        <f t="shared" si="11"/>
        <v>101.59315222559484</v>
      </c>
    </row>
    <row r="98" spans="1:52" ht="14.25" customHeight="1" x14ac:dyDescent="0.3">
      <c r="A98" s="2">
        <v>45785</v>
      </c>
      <c r="B98" s="4">
        <f>$B$4*'NIFTY MEMBS'!C87</f>
        <v>23041.965199590581</v>
      </c>
      <c r="C98" s="4">
        <f>$C$4*'NIFTY MEMBS'!D87</f>
        <v>21634.99293230721</v>
      </c>
      <c r="D98" s="4">
        <f>$D$4*'NIFTY MEMBS'!E87</f>
        <v>23499.404649996868</v>
      </c>
      <c r="E98" s="4">
        <f>$E$4*'NIFTY MEMBS'!F87</f>
        <v>16772.96988413233</v>
      </c>
      <c r="F98" s="4">
        <f>$F$4*'NIFTY MEMBS'!G87</f>
        <v>22365.909710590891</v>
      </c>
      <c r="G98" s="4">
        <f>$G$4*'NIFTY MEMBS'!H87</f>
        <v>19389.813414019161</v>
      </c>
      <c r="H98" s="4">
        <f>$H$4*'NIFTY MEMBS'!I87</f>
        <v>16057.370517928288</v>
      </c>
      <c r="I98" s="4">
        <f>$I$4*'NIFTY MEMBS'!J87</f>
        <v>20282.502906851561</v>
      </c>
      <c r="J98" s="4">
        <f>$J$4*'NIFTY MEMBS'!K87</f>
        <v>25471.140397675659</v>
      </c>
      <c r="K98" s="4">
        <f>$K$4*'NIFTY MEMBS'!L87</f>
        <v>18810.886374557685</v>
      </c>
      <c r="L98" s="4">
        <f>$L$4*'NIFTY MEMBS'!M87</f>
        <v>18126.244035446489</v>
      </c>
      <c r="M98" s="4">
        <f>$M$4*'NIFTY MEMBS'!N87</f>
        <v>22112.184720251957</v>
      </c>
      <c r="N98" s="4">
        <f>$N$4*'NIFTY MEMBS'!O87</f>
        <v>19682.673588578844</v>
      </c>
      <c r="O98" s="4">
        <f>$O$4*'NIFTY MEMBS'!P87</f>
        <v>23625.587116976065</v>
      </c>
      <c r="P98" s="4">
        <f>$P$4*'NIFTY MEMBS'!Q87</f>
        <v>16534.951227804075</v>
      </c>
      <c r="Q98" s="4">
        <f>$Q$4*'NIFTY MEMBS'!R87</f>
        <v>18701.023836609435</v>
      </c>
      <c r="R98" s="4">
        <f>$R$4*'NIFTY MEMBS'!S87</f>
        <v>20321.481610902418</v>
      </c>
      <c r="S98" s="4">
        <f>$S$4*'NIFTY MEMBS'!T87</f>
        <v>21873.483858928907</v>
      </c>
      <c r="T98" s="4">
        <f>$T$4*'NIFTY MEMBS'!U87</f>
        <v>25450.393301192587</v>
      </c>
      <c r="U98" s="4">
        <f>$U$4*'NIFTY MEMBS'!V87</f>
        <v>20709.620910613583</v>
      </c>
      <c r="V98" s="4">
        <f>$V$4*'NIFTY MEMBS'!W87</f>
        <v>20380.638393526151</v>
      </c>
      <c r="W98" s="4">
        <f>$W$4*'NIFTY MEMBS'!X87</f>
        <v>16622.784810126584</v>
      </c>
      <c r="X98" s="4">
        <f>$X$4*'NIFTY MEMBS'!Y87</f>
        <v>21877.410355296623</v>
      </c>
      <c r="Y98" s="4">
        <f>$Y$4*'NIFTY MEMBS'!Z87</f>
        <v>19685.165646760921</v>
      </c>
      <c r="Z98" s="4">
        <f>$Z$4*'NIFTY MEMBS'!AA87</f>
        <v>20901.667233752978</v>
      </c>
      <c r="AA98" s="4">
        <f>$AA$4*'NIFTY MEMBS'!AB87</f>
        <v>21054.724170302059</v>
      </c>
      <c r="AB98" s="4">
        <f>$AB$4*'NIFTY MEMBS'!AC87</f>
        <v>16088.578088578088</v>
      </c>
      <c r="AC98" s="4">
        <f>$AC$4*'NIFTY MEMBS'!AD87</f>
        <v>19861.469072164949</v>
      </c>
      <c r="AD98" s="4">
        <f>$AD$4*'NIFTY MEMBS'!AE87</f>
        <v>18227.560894227561</v>
      </c>
      <c r="AE98" s="4">
        <f>$AE$4*'NIFTY MEMBS'!AF87</f>
        <v>17675.089096223921</v>
      </c>
      <c r="AF98" s="4">
        <f>$AF$4*'NIFTY MEMBS'!AG87</f>
        <v>19982.209880025162</v>
      </c>
      <c r="AG98" s="4">
        <f>$AG$4*'NIFTY MEMBS'!AH87</f>
        <v>19950.828157349897</v>
      </c>
      <c r="AH98" s="4">
        <f>$AH$4*'NIFTY MEMBS'!AI87</f>
        <v>21580.830152495808</v>
      </c>
      <c r="AI98" s="4">
        <f>$AI$4*'NIFTY MEMBS'!AJ87</f>
        <v>21013.602457218076</v>
      </c>
      <c r="AJ98" s="4">
        <f>$AJ$4*'NIFTY MEMBS'!AK87</f>
        <v>16518.311709640337</v>
      </c>
      <c r="AK98" s="4">
        <f>$AK$4*'NIFTY MEMBS'!AL87</f>
        <v>22101.01754601478</v>
      </c>
      <c r="AL98" s="4">
        <f>$AL$4*'NIFTY MEMBS'!AM87</f>
        <v>21994.555093852985</v>
      </c>
      <c r="AM98" s="4">
        <f>$AM$4*'NIFTY MEMBS'!AN87</f>
        <v>14789.086098711809</v>
      </c>
      <c r="AN98" s="4">
        <f>$AN$4*'NIFTY MEMBS'!AO87</f>
        <v>24728.648957440728</v>
      </c>
      <c r="AO98" s="4">
        <f>$AO$4*'NIFTY MEMBS'!AP87</f>
        <v>23426.766040181461</v>
      </c>
      <c r="AP98" s="4">
        <f>$AP$4*'NIFTY MEMBS'!AQ87</f>
        <v>20919.133147820219</v>
      </c>
      <c r="AQ98" s="4">
        <f>$AQ$4*'NIFTY MEMBS'!AR87</f>
        <v>17640.050473926694</v>
      </c>
      <c r="AR98" s="4">
        <f>$AR$4*'NIFTY MEMBS'!AS87</f>
        <v>19446.7333725721</v>
      </c>
      <c r="AS98" s="4">
        <f>$AS$4*'NIFTY MEMBS'!AT87</f>
        <v>18593.827386646582</v>
      </c>
      <c r="AT98" s="4">
        <f>$AT$4*'NIFTY MEMBS'!AU87</f>
        <v>21098.795676083115</v>
      </c>
      <c r="AU98" s="4">
        <f>$AU$4*'NIFTY MEMBS'!AV87</f>
        <v>24252.960990981202</v>
      </c>
      <c r="AV98" s="4">
        <f>$AV$4*'NIFTY MEMBS'!AW87</f>
        <v>16771.365960555151</v>
      </c>
      <c r="AW98" s="4">
        <f>$AW$4*'NIFTY MEMBS'!AX87</f>
        <v>18165.306439470885</v>
      </c>
      <c r="AX98" s="4">
        <f>$AX$4*'NIFTY MEMBS'!AY87</f>
        <v>17057.97400453889</v>
      </c>
      <c r="AY98" s="4">
        <f t="shared" si="10"/>
        <v>986871.69150144013</v>
      </c>
      <c r="AZ98" s="4">
        <f t="shared" si="11"/>
        <v>100.70119301035103</v>
      </c>
    </row>
    <row r="99" spans="1:52" ht="14.25" customHeight="1" x14ac:dyDescent="0.3">
      <c r="A99" s="2">
        <v>45786</v>
      </c>
      <c r="B99" s="4">
        <f>$B$4*'NIFTY MEMBS'!C88</f>
        <v>22553.9406345957</v>
      </c>
      <c r="C99" s="4">
        <f>$C$4*'NIFTY MEMBS'!D88</f>
        <v>21199.712804864368</v>
      </c>
      <c r="D99" s="4">
        <f>$D$4*'NIFTY MEMBS'!E88</f>
        <v>23167.2620166698</v>
      </c>
      <c r="E99" s="4">
        <f>$E$4*'NIFTY MEMBS'!F88</f>
        <v>16731.145667424531</v>
      </c>
      <c r="F99" s="4">
        <f>$F$4*'NIFTY MEMBS'!G88</f>
        <v>21639.855100689441</v>
      </c>
      <c r="G99" s="4">
        <f>$G$4*'NIFTY MEMBS'!H88</f>
        <v>19648.260211800301</v>
      </c>
      <c r="H99" s="4">
        <f>$H$4*'NIFTY MEMBS'!I88</f>
        <v>16016.99867197875</v>
      </c>
      <c r="I99" s="4">
        <f>$I$4*'NIFTY MEMBS'!J88</f>
        <v>20093.019249816978</v>
      </c>
      <c r="J99" s="4">
        <f>$J$4*'NIFTY MEMBS'!K88</f>
        <v>24918.89319856387</v>
      </c>
      <c r="K99" s="4">
        <f>$K$4*'NIFTY MEMBS'!L88</f>
        <v>18502.905071862304</v>
      </c>
      <c r="L99" s="4">
        <f>$L$4*'NIFTY MEMBS'!M88</f>
        <v>18780.640763462849</v>
      </c>
      <c r="M99" s="4">
        <f>$M$4*'NIFTY MEMBS'!N88</f>
        <v>21858.801067066372</v>
      </c>
      <c r="N99" s="4">
        <f>$N$4*'NIFTY MEMBS'!O88</f>
        <v>19351.719662556781</v>
      </c>
      <c r="O99" s="4">
        <f>$O$4*'NIFTY MEMBS'!P88</f>
        <v>23519.346902259</v>
      </c>
      <c r="P99" s="4">
        <f>$P$4*'NIFTY MEMBS'!Q88</f>
        <v>16416.74729987709</v>
      </c>
      <c r="Q99" s="4">
        <f>$Q$4*'NIFTY MEMBS'!R88</f>
        <v>18463.980528585409</v>
      </c>
      <c r="R99" s="4">
        <f>$R$4*'NIFTY MEMBS'!S88</f>
        <v>19854.983838560322</v>
      </c>
      <c r="S99" s="4">
        <f>$S$4*'NIFTY MEMBS'!T88</f>
        <v>21479.753685389063</v>
      </c>
      <c r="T99" s="4">
        <f>$T$4*'NIFTY MEMBS'!U88</f>
        <v>24993.656432377567</v>
      </c>
      <c r="U99" s="4">
        <f>$U$4*'NIFTY MEMBS'!V88</f>
        <v>21576.286552852776</v>
      </c>
      <c r="V99" s="4">
        <f>$V$4*'NIFTY MEMBS'!W88</f>
        <v>20065.937359508469</v>
      </c>
      <c r="W99" s="4">
        <f>$W$4*'NIFTY MEMBS'!X88</f>
        <v>16429.656419529838</v>
      </c>
      <c r="X99" s="4">
        <f>$X$4*'NIFTY MEMBS'!Y88</f>
        <v>21437.597439894966</v>
      </c>
      <c r="Y99" s="4">
        <f>$Y$4*'NIFTY MEMBS'!Z88</f>
        <v>19832.032074277275</v>
      </c>
      <c r="Z99" s="4">
        <f>$Z$4*'NIFTY MEMBS'!AA88</f>
        <v>21493.705341953049</v>
      </c>
      <c r="AA99" s="4">
        <f>$AA$4*'NIFTY MEMBS'!AB88</f>
        <v>21138.660334640233</v>
      </c>
      <c r="AB99" s="4">
        <f>$AB$4*'NIFTY MEMBS'!AC88</f>
        <v>16117.882117882116</v>
      </c>
      <c r="AC99" s="4">
        <f>$AC$4*'NIFTY MEMBS'!AD88</f>
        <v>19284.793814432993</v>
      </c>
      <c r="AD99" s="4">
        <f>$AD$4*'NIFTY MEMBS'!AE88</f>
        <v>18912.245578912243</v>
      </c>
      <c r="AE99" s="4">
        <f>$AE$4*'NIFTY MEMBS'!AF88</f>
        <v>17578.985304128459</v>
      </c>
      <c r="AF99" s="4">
        <f>$AF$4*'NIFTY MEMBS'!AG88</f>
        <v>19956.175558110775</v>
      </c>
      <c r="AG99" s="4">
        <f>$AG$4*'NIFTY MEMBS'!AH88</f>
        <v>19792.960662525878</v>
      </c>
      <c r="AH99" s="4">
        <f>$AH$4*'NIFTY MEMBS'!AI88</f>
        <v>21439.766922977637</v>
      </c>
      <c r="AI99" s="4">
        <f>$AI$4*'NIFTY MEMBS'!AJ88</f>
        <v>20883.428404270879</v>
      </c>
      <c r="AJ99" s="4">
        <f>$AJ$4*'NIFTY MEMBS'!AK88</f>
        <v>16314.665790770243</v>
      </c>
      <c r="AK99" s="4">
        <f>$AK$4*'NIFTY MEMBS'!AL88</f>
        <v>21577.708166984012</v>
      </c>
      <c r="AL99" s="4">
        <f>$AL$4*'NIFTY MEMBS'!AM88</f>
        <v>21796.000245634863</v>
      </c>
      <c r="AM99" s="4">
        <f>$AM$4*'NIFTY MEMBS'!AN88</f>
        <v>14467.922552896485</v>
      </c>
      <c r="AN99" s="4">
        <f>$AN$4*'NIFTY MEMBS'!AO88</f>
        <v>24275.921165381314</v>
      </c>
      <c r="AO99" s="4">
        <f>$AO$4*'NIFTY MEMBS'!AP88</f>
        <v>23123.784834737522</v>
      </c>
      <c r="AP99" s="4">
        <f>$AP$4*'NIFTY MEMBS'!AQ88</f>
        <v>21153.554262585374</v>
      </c>
      <c r="AQ99" s="4">
        <f>$AQ$4*'NIFTY MEMBS'!AR88</f>
        <v>17533.233559292192</v>
      </c>
      <c r="AR99" s="4">
        <f>$AR$4*'NIFTY MEMBS'!AS88</f>
        <v>19357.792165326009</v>
      </c>
      <c r="AS99" s="4">
        <f>$AS$4*'NIFTY MEMBS'!AT88</f>
        <v>18242.386002048945</v>
      </c>
      <c r="AT99" s="4">
        <f>$AT$4*'NIFTY MEMBS'!AU88</f>
        <v>20607.130008736916</v>
      </c>
      <c r="AU99" s="4">
        <f>$AU$4*'NIFTY MEMBS'!AV88</f>
        <v>24202.977290014129</v>
      </c>
      <c r="AV99" s="4">
        <f>$AV$4*'NIFTY MEMBS'!AW88</f>
        <v>16886.778670562457</v>
      </c>
      <c r="AW99" s="4">
        <f>$AW$4*'NIFTY MEMBS'!AX88</f>
        <v>18420.543214597248</v>
      </c>
      <c r="AX99" s="4">
        <f>$AX$4*'NIFTY MEMBS'!AY88</f>
        <v>16880.54466680421</v>
      </c>
      <c r="AY99" s="4">
        <f t="shared" si="10"/>
        <v>979972.67929066997</v>
      </c>
      <c r="AZ99" s="4">
        <f t="shared" si="11"/>
        <v>99.997212172517351</v>
      </c>
    </row>
    <row r="100" spans="1:52" ht="14.25" customHeight="1" x14ac:dyDescent="0.3">
      <c r="A100" s="2">
        <v>45789</v>
      </c>
      <c r="B100" s="4">
        <f>$B$4*'NIFTY MEMBS'!C89</f>
        <v>23525.076765609007</v>
      </c>
      <c r="C100" s="4">
        <f>$C$4*'NIFTY MEMBS'!D89</f>
        <v>21956.965603895085</v>
      </c>
      <c r="D100" s="4">
        <f>$D$4*'NIFTY MEMBS'!E89</f>
        <v>23448.016544463244</v>
      </c>
      <c r="E100" s="4">
        <f>$E$4*'NIFTY MEMBS'!F89</f>
        <v>17607.022577782103</v>
      </c>
      <c r="F100" s="4">
        <f>$F$4*'NIFTY MEMBS'!G89</f>
        <v>22568.457133953958</v>
      </c>
      <c r="G100" s="4">
        <f>$G$4*'NIFTY MEMBS'!H89</f>
        <v>20213.061018658595</v>
      </c>
      <c r="H100" s="4">
        <f>$H$4*'NIFTY MEMBS'!I89</f>
        <v>17284.462151394422</v>
      </c>
      <c r="I100" s="4">
        <f>$I$4*'NIFTY MEMBS'!J89</f>
        <v>20520.218767494942</v>
      </c>
      <c r="J100" s="4">
        <f>$J$4*'NIFTY MEMBS'!K89</f>
        <v>26007.526711173272</v>
      </c>
      <c r="K100" s="4">
        <f>$K$4*'NIFTY MEMBS'!L89</f>
        <v>19024.944301253767</v>
      </c>
      <c r="L100" s="4">
        <f>$L$4*'NIFTY MEMBS'!M89</f>
        <v>19562.099522835717</v>
      </c>
      <c r="M100" s="4">
        <f>$M$4*'NIFTY MEMBS'!N89</f>
        <v>22511.888511192599</v>
      </c>
      <c r="N100" s="4">
        <f>$N$4*'NIFTY MEMBS'!O89</f>
        <v>20147.306943543153</v>
      </c>
      <c r="O100" s="4">
        <f>$O$4*'NIFTY MEMBS'!P89</f>
        <v>23987.922165063741</v>
      </c>
      <c r="P100" s="4">
        <f>$P$4*'NIFTY MEMBS'!Q89</f>
        <v>17472.214231543712</v>
      </c>
      <c r="Q100" s="4">
        <f>$Q$4*'NIFTY MEMBS'!R89</f>
        <v>17843.858303129713</v>
      </c>
      <c r="R100" s="4">
        <f>$R$4*'NIFTY MEMBS'!S89</f>
        <v>20504.935791036951</v>
      </c>
      <c r="S100" s="4">
        <f>$S$4*'NIFTY MEMBS'!T89</f>
        <v>22448.217951110284</v>
      </c>
      <c r="T100" s="4">
        <f>$T$4*'NIFTY MEMBS'!U89</f>
        <v>26013.702106064451</v>
      </c>
      <c r="U100" s="4">
        <f>$U$4*'NIFTY MEMBS'!V89</f>
        <v>21899.595863361865</v>
      </c>
      <c r="V100" s="4">
        <f>$V$4*'NIFTY MEMBS'!W89</f>
        <v>20893.151506069236</v>
      </c>
      <c r="W100" s="4">
        <f>$W$4*'NIFTY MEMBS'!X89</f>
        <v>17323.68896925859</v>
      </c>
      <c r="X100" s="4">
        <f>$X$4*'NIFTY MEMBS'!Y89</f>
        <v>22353.327315992447</v>
      </c>
      <c r="Y100" s="4">
        <f>$Y$4*'NIFTY MEMBS'!Z89</f>
        <v>20596.750369276222</v>
      </c>
      <c r="Z100" s="4">
        <f>$Z$4*'NIFTY MEMBS'!AA89</f>
        <v>21966.655324940461</v>
      </c>
      <c r="AA100" s="4">
        <f>$AA$4*'NIFTY MEMBS'!AB89</f>
        <v>22203.324313877078</v>
      </c>
      <c r="AB100" s="4">
        <f>$AB$4*'NIFTY MEMBS'!AC89</f>
        <v>17134.865134865133</v>
      </c>
      <c r="AC100" s="4">
        <f>$AC$4*'NIFTY MEMBS'!AD89</f>
        <v>19913.015463917527</v>
      </c>
      <c r="AD100" s="4">
        <f>$AD$4*'NIFTY MEMBS'!AE89</f>
        <v>19240.57390724057</v>
      </c>
      <c r="AE100" s="4">
        <f>$AE$4*'NIFTY MEMBS'!AF89</f>
        <v>18395.867536939895</v>
      </c>
      <c r="AF100" s="4">
        <f>$AF$4*'NIFTY MEMBS'!AG89</f>
        <v>20449.092053023236</v>
      </c>
      <c r="AG100" s="4">
        <f>$AG$4*'NIFTY MEMBS'!AH89</f>
        <v>20471.014492753624</v>
      </c>
      <c r="AH100" s="4">
        <f>$AH$4*'NIFTY MEMBS'!AI89</f>
        <v>21978.204348066611</v>
      </c>
      <c r="AI100" s="4">
        <f>$AI$4*'NIFTY MEMBS'!AJ89</f>
        <v>22177.855784700889</v>
      </c>
      <c r="AJ100" s="4">
        <f>$AJ$4*'NIFTY MEMBS'!AK89</f>
        <v>17270.48776482181</v>
      </c>
      <c r="AK100" s="4">
        <f>$AK$4*'NIFTY MEMBS'!AL89</f>
        <v>22462.174723092357</v>
      </c>
      <c r="AL100" s="4">
        <f>$AL$4*'NIFTY MEMBS'!AM89</f>
        <v>22598.407467299858</v>
      </c>
      <c r="AM100" s="4">
        <f>$AM$4*'NIFTY MEMBS'!AN89</f>
        <v>15396.042755781298</v>
      </c>
      <c r="AN100" s="4">
        <f>$AN$4*'NIFTY MEMBS'!AO89</f>
        <v>25014.281633818904</v>
      </c>
      <c r="AO100" s="4">
        <f>$AO$4*'NIFTY MEMBS'!AP89</f>
        <v>23804.27738172391</v>
      </c>
      <c r="AP100" s="4">
        <f>$AP$4*'NIFTY MEMBS'!AQ89</f>
        <v>21990.04975124378</v>
      </c>
      <c r="AQ100" s="4">
        <f>$AQ$4*'NIFTY MEMBS'!AR89</f>
        <v>18465.240484784459</v>
      </c>
      <c r="AR100" s="4">
        <f>$AR$4*'NIFTY MEMBS'!AS89</f>
        <v>19771.10718723432</v>
      </c>
      <c r="AS100" s="4">
        <f>$AS$4*'NIFTY MEMBS'!AT89</f>
        <v>18796.007951530941</v>
      </c>
      <c r="AT100" s="4">
        <f>$AT$4*'NIFTY MEMBS'!AU89</f>
        <v>22131.807513747794</v>
      </c>
      <c r="AU100" s="4">
        <f>$AU$4*'NIFTY MEMBS'!AV89</f>
        <v>24896.229490383568</v>
      </c>
      <c r="AV100" s="4">
        <f>$AV$4*'NIFTY MEMBS'!AW89</f>
        <v>17466.764061358655</v>
      </c>
      <c r="AW100" s="4">
        <f>$AW$4*'NIFTY MEMBS'!AX89</f>
        <v>19046.685865188141</v>
      </c>
      <c r="AX100" s="4">
        <f>$AX$4*'NIFTY MEMBS'!AY89</f>
        <v>16267.794512069322</v>
      </c>
      <c r="AY100" s="4">
        <f t="shared" si="10"/>
        <v>1015022.2380295611</v>
      </c>
      <c r="AZ100" s="4">
        <f t="shared" si="11"/>
        <v>103.57369775811848</v>
      </c>
    </row>
    <row r="101" spans="1:52" ht="14.25" customHeight="1" x14ac:dyDescent="0.3">
      <c r="A101" s="2">
        <v>45790</v>
      </c>
      <c r="B101" s="4">
        <f>$B$4*'NIFTY MEMBS'!C90</f>
        <v>23184.442169907881</v>
      </c>
      <c r="C101" s="4">
        <f>$C$4*'NIFTY MEMBS'!D90</f>
        <v>21568.803428391933</v>
      </c>
      <c r="D101" s="4">
        <f>$D$4*'NIFTY MEMBS'!E90</f>
        <v>22818.825593783291</v>
      </c>
      <c r="E101" s="4">
        <f>$E$4*'NIFTY MEMBS'!F90</f>
        <v>17094.432759060899</v>
      </c>
      <c r="F101" s="4">
        <f>$F$4*'NIFTY MEMBS'!G90</f>
        <v>22289.564912554044</v>
      </c>
      <c r="G101" s="4">
        <f>$G$4*'NIFTY MEMBS'!H90</f>
        <v>20215.582450832069</v>
      </c>
      <c r="H101" s="4">
        <f>$H$4*'NIFTY MEMBS'!I90</f>
        <v>16665.073041168656</v>
      </c>
      <c r="I101" s="4">
        <f>$I$4*'NIFTY MEMBS'!J90</f>
        <v>20326.428663709576</v>
      </c>
      <c r="J101" s="4">
        <f>$J$4*'NIFTY MEMBS'!K90</f>
        <v>26075.295949706575</v>
      </c>
      <c r="K101" s="4">
        <f>$K$4*'NIFTY MEMBS'!L90</f>
        <v>18692.936088419028</v>
      </c>
      <c r="L101" s="4">
        <f>$L$4*'NIFTY MEMBS'!M90</f>
        <v>19451.942740286297</v>
      </c>
      <c r="M101" s="4">
        <f>$M$4*'NIFTY MEMBS'!N90</f>
        <v>22272.779993397751</v>
      </c>
      <c r="N101" s="4">
        <f>$N$4*'NIFTY MEMBS'!O90</f>
        <v>19817.001946787801</v>
      </c>
      <c r="O101" s="4">
        <f>$O$4*'NIFTY MEMBS'!P90</f>
        <v>23659.136658465664</v>
      </c>
      <c r="P101" s="4">
        <f>$P$4*'NIFTY MEMBS'!Q90</f>
        <v>16941.865634561571</v>
      </c>
      <c r="Q101" s="4">
        <f>$Q$4*'NIFTY MEMBS'!R90</f>
        <v>17989.893912537369</v>
      </c>
      <c r="R101" s="4">
        <f>$R$4*'NIFTY MEMBS'!S90</f>
        <v>20373.897090940856</v>
      </c>
      <c r="S101" s="4">
        <f>$S$4*'NIFTY MEMBS'!T90</f>
        <v>22272.812091808173</v>
      </c>
      <c r="T101" s="4">
        <f>$T$4*'NIFTY MEMBS'!U90</f>
        <v>25605.176351179904</v>
      </c>
      <c r="U101" s="4">
        <f>$U$4*'NIFTY MEMBS'!V90</f>
        <v>21901.439832813438</v>
      </c>
      <c r="V101" s="4">
        <f>$V$4*'NIFTY MEMBS'!W90</f>
        <v>20470.552974674061</v>
      </c>
      <c r="W101" s="4">
        <f>$W$4*'NIFTY MEMBS'!X90</f>
        <v>16755.877034358047</v>
      </c>
      <c r="X101" s="4">
        <f>$X$4*'NIFTY MEMBS'!Y90</f>
        <v>22469.84491671453</v>
      </c>
      <c r="Y101" s="4">
        <f>$Y$4*'NIFTY MEMBS'!Z90</f>
        <v>20355.349229795316</v>
      </c>
      <c r="Z101" s="4">
        <f>$Z$4*'NIFTY MEMBS'!AA90</f>
        <v>22847.907451514126</v>
      </c>
      <c r="AA101" s="4">
        <f>$AA$4*'NIFTY MEMBS'!AB90</f>
        <v>21865.370810094428</v>
      </c>
      <c r="AB101" s="4">
        <f>$AB$4*'NIFTY MEMBS'!AC90</f>
        <v>16754.578754578753</v>
      </c>
      <c r="AC101" s="4">
        <f>$AC$4*'NIFTY MEMBS'!AD90</f>
        <v>19230.025773195877</v>
      </c>
      <c r="AD101" s="4">
        <f>$AD$4*'NIFTY MEMBS'!AE90</f>
        <v>18890.890890890892</v>
      </c>
      <c r="AE101" s="4">
        <f>$AE$4*'NIFTY MEMBS'!AF90</f>
        <v>18449.639896802833</v>
      </c>
      <c r="AF101" s="4">
        <f>$AF$4*'NIFTY MEMBS'!AG90</f>
        <v>20173.128240730694</v>
      </c>
      <c r="AG101" s="4">
        <f>$AG$4*'NIFTY MEMBS'!AH90</f>
        <v>20452.898550724636</v>
      </c>
      <c r="AH101" s="4">
        <f>$AH$4*'NIFTY MEMBS'!AI90</f>
        <v>21852.814810717118</v>
      </c>
      <c r="AI101" s="4">
        <f>$AI$4*'NIFTY MEMBS'!AJ90</f>
        <v>21856.077226853882</v>
      </c>
      <c r="AJ101" s="4">
        <f>$AJ$4*'NIFTY MEMBS'!AK90</f>
        <v>17566.102808342916</v>
      </c>
      <c r="AK101" s="4">
        <f>$AK$4*'NIFTY MEMBS'!AL90</f>
        <v>22182.912597506293</v>
      </c>
      <c r="AL101" s="4">
        <f>$AL$4*'NIFTY MEMBS'!AM90</f>
        <v>22184.922113278608</v>
      </c>
      <c r="AM101" s="4">
        <f>$AM$4*'NIFTY MEMBS'!AN90</f>
        <v>15072.049575201081</v>
      </c>
      <c r="AN101" s="4">
        <f>$AN$4*'NIFTY MEMBS'!AO90</f>
        <v>24850.042844901454</v>
      </c>
      <c r="AO101" s="4">
        <f>$AO$4*'NIFTY MEMBS'!AP90</f>
        <v>23818.859364873617</v>
      </c>
      <c r="AP101" s="4">
        <f>$AP$4*'NIFTY MEMBS'!AQ90</f>
        <v>21409.899654271016</v>
      </c>
      <c r="AQ101" s="4">
        <f>$AQ$4*'NIFTY MEMBS'!AR90</f>
        <v>18458.197611292075</v>
      </c>
      <c r="AR101" s="4">
        <f>$AR$4*'NIFTY MEMBS'!AS90</f>
        <v>19882.283696291935</v>
      </c>
      <c r="AS101" s="4">
        <f>$AS$4*'NIFTY MEMBS'!AT90</f>
        <v>18772.940370302524</v>
      </c>
      <c r="AT101" s="4">
        <f>$AT$4*'NIFTY MEMBS'!AU90</f>
        <v>21708.666678087469</v>
      </c>
      <c r="AU101" s="4">
        <f>$AU$4*'NIFTY MEMBS'!AV90</f>
        <v>24309.464305117894</v>
      </c>
      <c r="AV101" s="4">
        <f>$AV$4*'NIFTY MEMBS'!AW90</f>
        <v>17634.769905040175</v>
      </c>
      <c r="AW101" s="4">
        <f>$AW$4*'NIFTY MEMBS'!AX90</f>
        <v>19422.849427031677</v>
      </c>
      <c r="AX101" s="4">
        <f>$AX$4*'NIFTY MEMBS'!AY90</f>
        <v>15888.17825459047</v>
      </c>
      <c r="AY101" s="4">
        <f t="shared" si="10"/>
        <v>1004804.4270780872</v>
      </c>
      <c r="AZ101" s="4">
        <f t="shared" si="11"/>
        <v>102.53106398755992</v>
      </c>
    </row>
    <row r="102" spans="1:52" ht="14.25" customHeight="1" x14ac:dyDescent="0.3">
      <c r="A102" s="2">
        <v>45791</v>
      </c>
      <c r="B102" s="4">
        <f>$B$4*'NIFTY MEMBS'!C91</f>
        <v>23326.919140225178</v>
      </c>
      <c r="C102" s="4">
        <f>$C$4*'NIFTY MEMBS'!D91</f>
        <v>21434.18070856425</v>
      </c>
      <c r="D102" s="4">
        <f>$D$4*'NIFTY MEMBS'!E91</f>
        <v>22989.283699943597</v>
      </c>
      <c r="E102" s="4">
        <f>$E$4*'NIFTY MEMBS'!F91</f>
        <v>17258.325329183332</v>
      </c>
      <c r="F102" s="4">
        <f>$F$4*'NIFTY MEMBS'!G91</f>
        <v>22221.010400031162</v>
      </c>
      <c r="G102" s="4">
        <f>$G$4*'NIFTY MEMBS'!H91</f>
        <v>20189.107413010588</v>
      </c>
      <c r="H102" s="4">
        <f>$H$4*'NIFTY MEMBS'!I91</f>
        <v>16917.928286852588</v>
      </c>
      <c r="I102" s="4">
        <f>$I$4*'NIFTY MEMBS'!J91</f>
        <v>20244.606175444642</v>
      </c>
      <c r="J102" s="4">
        <f>$J$4*'NIFTY MEMBS'!K91</f>
        <v>26187.764047698009</v>
      </c>
      <c r="K102" s="4">
        <f>$K$4*'NIFTY MEMBS'!L91</f>
        <v>18745.358437813989</v>
      </c>
      <c r="L102" s="4">
        <f>$L$4*'NIFTY MEMBS'!M91</f>
        <v>19485.207907293796</v>
      </c>
      <c r="M102" s="4">
        <f>$M$4*'NIFTY MEMBS'!N91</f>
        <v>22608.245675080077</v>
      </c>
      <c r="N102" s="4">
        <f>$N$4*'NIFTY MEMBS'!O91</f>
        <v>20128.487994808565</v>
      </c>
      <c r="O102" s="4">
        <f>$O$4*'NIFTY MEMBS'!P91</f>
        <v>23399.686870946094</v>
      </c>
      <c r="P102" s="4">
        <f>$P$4*'NIFTY MEMBS'!Q91</f>
        <v>17131.201129736655</v>
      </c>
      <c r="Q102" s="4">
        <f>$Q$4*'NIFTY MEMBS'!R91</f>
        <v>18076.668694939017</v>
      </c>
      <c r="R102" s="4">
        <f>$R$4*'NIFTY MEMBS'!S91</f>
        <v>20393.116100288284</v>
      </c>
      <c r="S102" s="4">
        <f>$S$4*'NIFTY MEMBS'!T91</f>
        <v>22308.266467624559</v>
      </c>
      <c r="T102" s="4">
        <f>$T$4*'NIFTY MEMBS'!U91</f>
        <v>25633.088048718597</v>
      </c>
      <c r="U102" s="4">
        <f>$U$4*'NIFTY MEMBS'!V91</f>
        <v>22051.416014874689</v>
      </c>
      <c r="V102" s="4">
        <f>$V$4*'NIFTY MEMBS'!W91</f>
        <v>20293.720965083172</v>
      </c>
      <c r="W102" s="4">
        <f>$W$4*'NIFTY MEMBS'!X91</f>
        <v>17132.730560578664</v>
      </c>
      <c r="X102" s="4">
        <f>$X$4*'NIFTY MEMBS'!Y91</f>
        <v>22512.513333880361</v>
      </c>
      <c r="Y102" s="4">
        <f>$Y$4*'NIFTY MEMBS'!Z91</f>
        <v>20764.718294998944</v>
      </c>
      <c r="Z102" s="4">
        <f>$Z$4*'NIFTY MEMBS'!AA91</f>
        <v>23433.140523987757</v>
      </c>
      <c r="AA102" s="4">
        <f>$AA$4*'NIFTY MEMBS'!AB91</f>
        <v>21852.117731514714</v>
      </c>
      <c r="AB102" s="4">
        <f>$AB$4*'NIFTY MEMBS'!AC91</f>
        <v>16845.820845820846</v>
      </c>
      <c r="AC102" s="4">
        <f>$AC$4*'NIFTY MEMBS'!AD91</f>
        <v>19068.943298969072</v>
      </c>
      <c r="AD102" s="4">
        <f>$AD$4*'NIFTY MEMBS'!AE91</f>
        <v>18657.323990657325</v>
      </c>
      <c r="AE102" s="4">
        <f>$AE$4*'NIFTY MEMBS'!AF91</f>
        <v>18540.023225083089</v>
      </c>
      <c r="AF102" s="4">
        <f>$AF$4*'NIFTY MEMBS'!AG91</f>
        <v>19806.044301737791</v>
      </c>
      <c r="AG102" s="4">
        <f>$AG$4*'NIFTY MEMBS'!AH91</f>
        <v>20864.389233954455</v>
      </c>
      <c r="AH102" s="4">
        <f>$AH$4*'NIFTY MEMBS'!AI91</f>
        <v>21854.658774501673</v>
      </c>
      <c r="AI102" s="4">
        <f>$AI$4*'NIFTY MEMBS'!AJ91</f>
        <v>22716.103554190435</v>
      </c>
      <c r="AJ102" s="4">
        <f>$AJ$4*'NIFTY MEMBS'!AK91</f>
        <v>17572.672031532275</v>
      </c>
      <c r="AK102" s="4">
        <f>$AK$4*'NIFTY MEMBS'!AL91</f>
        <v>22416.313494257105</v>
      </c>
      <c r="AL102" s="4">
        <f>$AL$4*'NIFTY MEMBS'!AM91</f>
        <v>22297.504759175485</v>
      </c>
      <c r="AM102" s="4">
        <f>$AM$4*'NIFTY MEMBS'!AN91</f>
        <v>15172.501609354773</v>
      </c>
      <c r="AN102" s="4">
        <f>$AN$4*'NIFTY MEMBS'!AO91</f>
        <v>25067.123678948868</v>
      </c>
      <c r="AO102" s="4">
        <f>$AO$4*'NIFTY MEMBS'!AP91</f>
        <v>24034.34867141931</v>
      </c>
      <c r="AP102" s="4">
        <f>$AP$4*'NIFTY MEMBS'!AQ91</f>
        <v>21942.828231722739</v>
      </c>
      <c r="AQ102" s="4">
        <f>$AQ$4*'NIFTY MEMBS'!AR91</f>
        <v>18818.557971652433</v>
      </c>
      <c r="AR102" s="4">
        <f>$AR$4*'NIFTY MEMBS'!AS91</f>
        <v>19551.37008697927</v>
      </c>
      <c r="AS102" s="4">
        <f>$AS$4*'NIFTY MEMBS'!AT91</f>
        <v>18770.226537216829</v>
      </c>
      <c r="AT102" s="4">
        <f>$AT$4*'NIFTY MEMBS'!AU91</f>
        <v>22337.382008805438</v>
      </c>
      <c r="AU102" s="4">
        <f>$AU$4*'NIFTY MEMBS'!AV91</f>
        <v>24348.58198413561</v>
      </c>
      <c r="AV102" s="4">
        <f>$AV$4*'NIFTY MEMBS'!AW91</f>
        <v>17823.228634039446</v>
      </c>
      <c r="AW102" s="4">
        <f>$AW$4*'NIFTY MEMBS'!AX91</f>
        <v>19440.056400635698</v>
      </c>
      <c r="AX102" s="4">
        <f>$AX$4*'NIFTY MEMBS'!AY91</f>
        <v>16120.280585929442</v>
      </c>
      <c r="AY102" s="4">
        <f t="shared" si="10"/>
        <v>1010785.0938638404</v>
      </c>
      <c r="AZ102" s="4">
        <f t="shared" si="11"/>
        <v>103.14133610855514</v>
      </c>
    </row>
    <row r="103" spans="1:52" ht="14.25" customHeight="1" x14ac:dyDescent="0.3">
      <c r="A103" s="2">
        <v>45792</v>
      </c>
      <c r="B103" s="4">
        <f>$B$4*'NIFTY MEMBS'!C92</f>
        <v>23814.943705220063</v>
      </c>
      <c r="C103" s="4">
        <f>$C$4*'NIFTY MEMBS'!D92</f>
        <v>21694.451300231103</v>
      </c>
      <c r="D103" s="4">
        <f>$D$4*'NIFTY MEMBS'!E92</f>
        <v>23402.895281067871</v>
      </c>
      <c r="E103" s="4">
        <f>$E$4*'NIFTY MEMBS'!F92</f>
        <v>17410.059696774431</v>
      </c>
      <c r="F103" s="4">
        <f>$F$4*'NIFTY MEMBS'!G92</f>
        <v>22604.292447318192</v>
      </c>
      <c r="G103" s="4">
        <f>$G$4*'NIFTY MEMBS'!H92</f>
        <v>20366.868381240543</v>
      </c>
      <c r="H103" s="4">
        <f>$H$4*'NIFTY MEMBS'!I92</f>
        <v>17136.786188579015</v>
      </c>
      <c r="I103" s="4">
        <f>$I$4*'NIFTY MEMBS'!J92</f>
        <v>20285.086774902029</v>
      </c>
      <c r="J103" s="4">
        <f>$J$4*'NIFTY MEMBS'!K92</f>
        <v>26497.772266520555</v>
      </c>
      <c r="K103" s="4">
        <f>$K$4*'NIFTY MEMBS'!L92</f>
        <v>18900.441221440738</v>
      </c>
      <c r="L103" s="4">
        <f>$L$4*'NIFTY MEMBS'!M92</f>
        <v>19731.152010906611</v>
      </c>
      <c r="M103" s="4">
        <f>$M$4*'NIFTY MEMBS'!N92</f>
        <v>23111.444197603563</v>
      </c>
      <c r="N103" s="4">
        <f>$N$4*'NIFTY MEMBS'!O92</f>
        <v>20404.282933160284</v>
      </c>
      <c r="O103" s="4">
        <f>$O$4*'NIFTY MEMBS'!P92</f>
        <v>23556.251397897562</v>
      </c>
      <c r="P103" s="4">
        <f>$P$4*'NIFTY MEMBS'!Q92</f>
        <v>17741.04971364314</v>
      </c>
      <c r="Q103" s="4">
        <f>$Q$4*'NIFTY MEMBS'!R92</f>
        <v>18414.243763062514</v>
      </c>
      <c r="R103" s="4">
        <f>$R$4*'NIFTY MEMBS'!S92</f>
        <v>20780.990652572724</v>
      </c>
      <c r="S103" s="4">
        <f>$S$4*'NIFTY MEMBS'!T92</f>
        <v>22562.045157678673</v>
      </c>
      <c r="T103" s="4">
        <f>$T$4*'NIFTY MEMBS'!U92</f>
        <v>25905.861456483126</v>
      </c>
      <c r="U103" s="4">
        <f>$U$4*'NIFTY MEMBS'!V92</f>
        <v>22353.82700493262</v>
      </c>
      <c r="V103" s="4">
        <f>$V$4*'NIFTY MEMBS'!W92</f>
        <v>20497.527349018434</v>
      </c>
      <c r="W103" s="4">
        <f>$W$4*'NIFTY MEMBS'!X92</f>
        <v>17547.197106690779</v>
      </c>
      <c r="X103" s="4">
        <f>$X$4*'NIFTY MEMBS'!Y92</f>
        <v>23077.049314843684</v>
      </c>
      <c r="Y103" s="4">
        <f>$Y$4*'NIFTY MEMBS'!Z92</f>
        <v>20899.767883519733</v>
      </c>
      <c r="Z103" s="4">
        <f>$Z$4*'NIFTY MEMBS'!AA92</f>
        <v>23844.845185437225</v>
      </c>
      <c r="AA103" s="4">
        <f>$AA$4*'NIFTY MEMBS'!AB92</f>
        <v>22934.452482191173</v>
      </c>
      <c r="AB103" s="4">
        <f>$AB$4*'NIFTY MEMBS'!AC92</f>
        <v>17087.579087579088</v>
      </c>
      <c r="AC103" s="4">
        <f>$AC$4*'NIFTY MEMBS'!AD92</f>
        <v>19307.345360824744</v>
      </c>
      <c r="AD103" s="4">
        <f>$AD$4*'NIFTY MEMBS'!AE92</f>
        <v>19435.435435435436</v>
      </c>
      <c r="AE103" s="4">
        <f>$AE$4*'NIFTY MEMBS'!AF92</f>
        <v>19051.432690162517</v>
      </c>
      <c r="AF103" s="4">
        <f>$AF$4*'NIFTY MEMBS'!AG92</f>
        <v>20219.122209446119</v>
      </c>
      <c r="AG103" s="4">
        <f>$AG$4*'NIFTY MEMBS'!AH92</f>
        <v>20944.616977225673</v>
      </c>
      <c r="AH103" s="4">
        <f>$AH$4*'NIFTY MEMBS'!AI92</f>
        <v>22110.047758662022</v>
      </c>
      <c r="AI103" s="4">
        <f>$AI$4*'NIFTY MEMBS'!AJ92</f>
        <v>23014.480035103112</v>
      </c>
      <c r="AJ103" s="4">
        <f>$AJ$4*'NIFTY MEMBS'!AK92</f>
        <v>17979.963869272462</v>
      </c>
      <c r="AK103" s="4">
        <f>$AK$4*'NIFTY MEMBS'!AL92</f>
        <v>23133.71414532277</v>
      </c>
      <c r="AL103" s="4">
        <f>$AL$4*'NIFTY MEMBS'!AM92</f>
        <v>22377.336089902357</v>
      </c>
      <c r="AM103" s="4">
        <f>$AM$4*'NIFTY MEMBS'!AN92</f>
        <v>15782.287901189155</v>
      </c>
      <c r="AN103" s="4">
        <f>$AN$4*'NIFTY MEMBS'!AO92</f>
        <v>25487.003713224789</v>
      </c>
      <c r="AO103" s="4">
        <f>$AO$4*'NIFTY MEMBS'!AP92</f>
        <v>24342.190537913153</v>
      </c>
      <c r="AP103" s="4">
        <f>$AP$4*'NIFTY MEMBS'!AQ92</f>
        <v>22307.108525170755</v>
      </c>
      <c r="AQ103" s="4">
        <f>$AQ$4*'NIFTY MEMBS'!AR92</f>
        <v>19122.575344073713</v>
      </c>
      <c r="AR103" s="4">
        <f>$AR$4*'NIFTY MEMBS'!AS92</f>
        <v>19648.159047805901</v>
      </c>
      <c r="AS103" s="4">
        <f>$AS$4*'NIFTY MEMBS'!AT92</f>
        <v>19193.584498585413</v>
      </c>
      <c r="AT103" s="4">
        <f>$AT$4*'NIFTY MEMBS'!AU92</f>
        <v>23120.278210816639</v>
      </c>
      <c r="AU103" s="4">
        <f>$AU$4*'NIFTY MEMBS'!AV92</f>
        <v>24931.000760621537</v>
      </c>
      <c r="AV103" s="4">
        <f>$AV$4*'NIFTY MEMBS'!AW92</f>
        <v>18061.358655953252</v>
      </c>
      <c r="AW103" s="4">
        <f>$AW$4*'NIFTY MEMBS'!AX92</f>
        <v>20672.266899279457</v>
      </c>
      <c r="AX103" s="4">
        <f>$AX$4*'NIFTY MEMBS'!AY92</f>
        <v>16102.743965339387</v>
      </c>
      <c r="AY103" s="4">
        <f t="shared" si="10"/>
        <v>1028907.2165918457</v>
      </c>
      <c r="AZ103" s="4">
        <f t="shared" si="11"/>
        <v>104.99053230529039</v>
      </c>
    </row>
    <row r="104" spans="1:52" ht="14.25" customHeight="1" x14ac:dyDescent="0.3">
      <c r="A104" s="2">
        <v>45793</v>
      </c>
      <c r="B104" s="4">
        <f>$B$4*'NIFTY MEMBS'!C93</f>
        <v>23850.972364380759</v>
      </c>
      <c r="C104" s="4">
        <f>$C$4*'NIFTY MEMBS'!D93</f>
        <v>21704.548004218181</v>
      </c>
      <c r="D104" s="4">
        <f>$D$4*'NIFTY MEMBS'!E93</f>
        <v>22736.103277558439</v>
      </c>
      <c r="E104" s="4">
        <f>$E$4*'NIFTY MEMBS'!F93</f>
        <v>17319.602669941276</v>
      </c>
      <c r="F104" s="4">
        <f>$F$4*'NIFTY MEMBS'!G93</f>
        <v>22654.150274607564</v>
      </c>
      <c r="G104" s="4">
        <f>$G$4*'NIFTY MEMBS'!H93</f>
        <v>19972.264246091778</v>
      </c>
      <c r="H104" s="4">
        <f>$H$4*'NIFTY MEMBS'!I93</f>
        <v>16891.367861885788</v>
      </c>
      <c r="I104" s="4">
        <f>$I$4*'NIFTY MEMBS'!J93</f>
        <v>20510.744584643213</v>
      </c>
      <c r="J104" s="4">
        <f>$J$4*'NIFTY MEMBS'!K93</f>
        <v>26435.770622756045</v>
      </c>
      <c r="K104" s="4">
        <f>$K$4*'NIFTY MEMBS'!L93</f>
        <v>19033.681359486258</v>
      </c>
      <c r="L104" s="4">
        <f>$L$4*'NIFTY MEMBS'!M93</f>
        <v>19657.53237900477</v>
      </c>
      <c r="M104" s="4">
        <f>$M$4*'NIFTY MEMBS'!N93</f>
        <v>23188.173050328776</v>
      </c>
      <c r="N104" s="4">
        <f>$N$4*'NIFTY MEMBS'!O93</f>
        <v>20347.82608695652</v>
      </c>
      <c r="O104" s="4">
        <f>$O$4*'NIFTY MEMBS'!P93</f>
        <v>23576.381122791317</v>
      </c>
      <c r="P104" s="4">
        <f>$P$4*'NIFTY MEMBS'!Q93</f>
        <v>17363.424775752505</v>
      </c>
      <c r="Q104" s="4">
        <f>$Q$4*'NIFTY MEMBS'!R93</f>
        <v>18359.215852271223</v>
      </c>
      <c r="R104" s="4">
        <f>$R$4*'NIFTY MEMBS'!S93</f>
        <v>20800.209661920151</v>
      </c>
      <c r="S104" s="4">
        <f>$S$4*'NIFTY MEMBS'!T93</f>
        <v>22556.447098339242</v>
      </c>
      <c r="T104" s="4">
        <f>$T$4*'NIFTY MEMBS'!U93</f>
        <v>25800.558233950771</v>
      </c>
      <c r="U104" s="4">
        <f>$U$4*'NIFTY MEMBS'!V93</f>
        <v>22334.772653933032</v>
      </c>
      <c r="V104" s="4">
        <f>$V$4*'NIFTY MEMBS'!W93</f>
        <v>20566.46186123183</v>
      </c>
      <c r="W104" s="4">
        <f>$W$4*'NIFTY MEMBS'!X93</f>
        <v>17776.491862567811</v>
      </c>
      <c r="X104" s="4">
        <f>$X$4*'NIFTY MEMBS'!Y93</f>
        <v>23096.742430458686</v>
      </c>
      <c r="Y104" s="4">
        <f>$Y$4*'NIFTY MEMBS'!Z93</f>
        <v>20871.069845959064</v>
      </c>
      <c r="Z104" s="4">
        <f>$Z$4*'NIFTY MEMBS'!AA93</f>
        <v>24763.525008506298</v>
      </c>
      <c r="AA104" s="4">
        <f>$AA$4*'NIFTY MEMBS'!AB93</f>
        <v>22569.9928212491</v>
      </c>
      <c r="AB104" s="4">
        <f>$AB$4*'NIFTY MEMBS'!AC93</f>
        <v>16937.062937062936</v>
      </c>
      <c r="AC104" s="4">
        <f>$AC$4*'NIFTY MEMBS'!AD93</f>
        <v>19342.783505154639</v>
      </c>
      <c r="AD104" s="4">
        <f>$AD$4*'NIFTY MEMBS'!AE93</f>
        <v>19504.838171504838</v>
      </c>
      <c r="AE104" s="4">
        <f>$AE$4*'NIFTY MEMBS'!AF93</f>
        <v>19409.533724994424</v>
      </c>
      <c r="AF104" s="4">
        <f>$AF$4*'NIFTY MEMBS'!AG93</f>
        <v>20424.793352569803</v>
      </c>
      <c r="AG104" s="4">
        <f>$AG$4*'NIFTY MEMBS'!AH93</f>
        <v>20952.380952380954</v>
      </c>
      <c r="AH104" s="4">
        <f>$AH$4*'NIFTY MEMBS'!AI93</f>
        <v>22208.699821135517</v>
      </c>
      <c r="AI104" s="4">
        <f>$AI$4*'NIFTY MEMBS'!AJ93</f>
        <v>23043.732631271025</v>
      </c>
      <c r="AJ104" s="4">
        <f>$AJ$4*'NIFTY MEMBS'!AK93</f>
        <v>18196.74823452127</v>
      </c>
      <c r="AK104" s="4">
        <f>$AK$4*'NIFTY MEMBS'!AL93</f>
        <v>22965.010339250246</v>
      </c>
      <c r="AL104" s="4">
        <f>$AL$4*'NIFTY MEMBS'!AM93</f>
        <v>22555.421366139231</v>
      </c>
      <c r="AM104" s="4">
        <f>$AM$4*'NIFTY MEMBS'!AN93</f>
        <v>15797.850892396065</v>
      </c>
      <c r="AN104" s="4">
        <f>$AN$4*'NIFTY MEMBS'!AO93</f>
        <v>25327.049414453013</v>
      </c>
      <c r="AO104" s="4">
        <f>$AO$4*'NIFTY MEMBS'!AP93</f>
        <v>24321.127673363571</v>
      </c>
      <c r="AP104" s="4">
        <f>$AP$4*'NIFTY MEMBS'!AQ93</f>
        <v>22178.935829327933</v>
      </c>
      <c r="AQ104" s="4">
        <f>$AQ$4*'NIFTY MEMBS'!AR93</f>
        <v>18980.544061977289</v>
      </c>
      <c r="AR104" s="4">
        <f>$AR$4*'NIFTY MEMBS'!AS93</f>
        <v>19618.07599241384</v>
      </c>
      <c r="AS104" s="4">
        <f>$AS$4*'NIFTY MEMBS'!AT93</f>
        <v>19037.539096157889</v>
      </c>
      <c r="AT104" s="4">
        <f>$AT$4*'NIFTY MEMBS'!AU93</f>
        <v>22801.637743477291</v>
      </c>
      <c r="AU104" s="4">
        <f>$AU$4*'NIFTY MEMBS'!AV93</f>
        <v>25383.027273715095</v>
      </c>
      <c r="AV104" s="4">
        <f>$AV$4*'NIFTY MEMBS'!AW93</f>
        <v>17979.547114682253</v>
      </c>
      <c r="AW104" s="4">
        <f>$AW$4*'NIFTY MEMBS'!AX93</f>
        <v>20769.295111546595</v>
      </c>
      <c r="AX104" s="4">
        <f>$AX$4*'NIFTY MEMBS'!AY93</f>
        <v>16096.554569837015</v>
      </c>
      <c r="AY104" s="4">
        <f t="shared" si="10"/>
        <v>1028570.2198201228</v>
      </c>
      <c r="AZ104" s="4">
        <f t="shared" si="11"/>
        <v>104.95614487960437</v>
      </c>
    </row>
    <row r="105" spans="1:52" ht="14.25" customHeight="1" x14ac:dyDescent="0.3">
      <c r="A105" s="2">
        <v>45796</v>
      </c>
      <c r="B105" s="4">
        <f>$B$4*'NIFTY MEMBS'!C94</f>
        <v>23595.496417604911</v>
      </c>
      <c r="C105" s="4">
        <f>$C$4*'NIFTY MEMBS'!D94</f>
        <v>21749.422244160742</v>
      </c>
      <c r="D105" s="4">
        <f>$D$4*'NIFTY MEMBS'!E94</f>
        <v>22789.998119947359</v>
      </c>
      <c r="E105" s="4">
        <f>$E$4*'NIFTY MEMBS'!F94</f>
        <v>17112.913226908535</v>
      </c>
      <c r="F105" s="4">
        <f>$F$4*'NIFTY MEMBS'!G94</f>
        <v>22576.247419467923</v>
      </c>
      <c r="G105" s="4">
        <f>$G$4*'NIFTY MEMBS'!H94</f>
        <v>20045.385779122538</v>
      </c>
      <c r="H105" s="4">
        <f>$H$4*'NIFTY MEMBS'!I94</f>
        <v>16571.580345285522</v>
      </c>
      <c r="I105" s="4">
        <f>$I$4*'NIFTY MEMBS'!J94</f>
        <v>20521.941346195254</v>
      </c>
      <c r="J105" s="4">
        <f>$J$4*'NIFTY MEMBS'!K94</f>
        <v>26690.986691275069</v>
      </c>
      <c r="K105" s="4">
        <f>$K$4*'NIFTY MEMBS'!L94</f>
        <v>19018.391507579399</v>
      </c>
      <c r="L105" s="4">
        <f>$L$4*'NIFTY MEMBS'!M94</f>
        <v>19632.992501704157</v>
      </c>
      <c r="M105" s="4">
        <f>$M$4*'NIFTY MEMBS'!N94</f>
        <v>23177.466698785724</v>
      </c>
      <c r="N105" s="4">
        <f>$N$4*'NIFTY MEMBS'!O94</f>
        <v>20298.507462686564</v>
      </c>
      <c r="O105" s="4">
        <f>$O$4*'NIFTY MEMBS'!P94</f>
        <v>23609.930664280917</v>
      </c>
      <c r="P105" s="4">
        <f>$P$4*'NIFTY MEMBS'!Q94</f>
        <v>17255.681372420826</v>
      </c>
      <c r="Q105" s="4">
        <f>$Q$4*'NIFTY MEMBS'!R94</f>
        <v>18309.479086748324</v>
      </c>
      <c r="R105" s="4">
        <f>$R$4*'NIFTY MEMBS'!S94</f>
        <v>20842.142045950903</v>
      </c>
      <c r="S105" s="4">
        <f>$S$4*'NIFTY MEMBS'!T94</f>
        <v>22444.485911550662</v>
      </c>
      <c r="T105" s="4">
        <f>$T$4*'NIFTY MEMBS'!U94</f>
        <v>25860.18776960162</v>
      </c>
      <c r="U105" s="4">
        <f>$U$4*'NIFTY MEMBS'!V94</f>
        <v>22236.427616515819</v>
      </c>
      <c r="V105" s="4">
        <f>$V$4*'NIFTY MEMBS'!W94</f>
        <v>20689.345122133971</v>
      </c>
      <c r="W105" s="4">
        <f>$W$4*'NIFTY MEMBS'!X94</f>
        <v>17217.35985533454</v>
      </c>
      <c r="X105" s="4">
        <f>$X$4*'NIFTY MEMBS'!Y94</f>
        <v>22947.402970378269</v>
      </c>
      <c r="Y105" s="4">
        <f>$Y$4*'NIFTY MEMBS'!Z94</f>
        <v>20812.829710909478</v>
      </c>
      <c r="Z105" s="4">
        <f>$Z$4*'NIFTY MEMBS'!AA94</f>
        <v>24753.317454916643</v>
      </c>
      <c r="AA105" s="4">
        <f>$AA$4*'NIFTY MEMBS'!AB94</f>
        <v>22521.398199790161</v>
      </c>
      <c r="AB105" s="4">
        <f>$AB$4*'NIFTY MEMBS'!AC94</f>
        <v>16766.566766566764</v>
      </c>
      <c r="AC105" s="4">
        <f>$AC$4*'NIFTY MEMBS'!AD94</f>
        <v>19590.850515463921</v>
      </c>
      <c r="AD105" s="4">
        <f>$AD$4*'NIFTY MEMBS'!AE94</f>
        <v>19472.806139472807</v>
      </c>
      <c r="AE105" s="4">
        <f>$AE$4*'NIFTY MEMBS'!AF94</f>
        <v>20252.730091355807</v>
      </c>
      <c r="AF105" s="4">
        <f>$AF$4*'NIFTY MEMBS'!AG94</f>
        <v>20232.139370403314</v>
      </c>
      <c r="AG105" s="4">
        <f>$AG$4*'NIFTY MEMBS'!AH94</f>
        <v>20843.685300207038</v>
      </c>
      <c r="AH105" s="4">
        <f>$AH$4*'NIFTY MEMBS'!AI94</f>
        <v>22199.48000221276</v>
      </c>
      <c r="AI105" s="4">
        <f>$AI$4*'NIFTY MEMBS'!AJ94</f>
        <v>23046.657890887815</v>
      </c>
      <c r="AJ105" s="4">
        <f>$AJ$4*'NIFTY MEMBS'!AK94</f>
        <v>18200.032846115952</v>
      </c>
      <c r="AK105" s="4">
        <f>$AK$4*'NIFTY MEMBS'!AL94</f>
        <v>22332.780541735763</v>
      </c>
      <c r="AL105" s="4">
        <f>$AL$4*'NIFTY MEMBS'!AM94</f>
        <v>22639.346611262357</v>
      </c>
      <c r="AM105" s="4">
        <f>$AM$4*'NIFTY MEMBS'!AN94</f>
        <v>15707.302579919498</v>
      </c>
      <c r="AN105" s="4">
        <f>$AN$4*'NIFTY MEMBS'!AO94</f>
        <v>25278.491859468719</v>
      </c>
      <c r="AO105" s="4">
        <f>$AO$4*'NIFTY MEMBS'!AP94</f>
        <v>24334.089436163315</v>
      </c>
      <c r="AP105" s="4">
        <f>$AP$4*'NIFTY MEMBS'!AQ94</f>
        <v>22205.91955476853</v>
      </c>
      <c r="AQ105" s="4">
        <f>$AQ$4*'NIFTY MEMBS'!AR94</f>
        <v>18755.17211022097</v>
      </c>
      <c r="AR105" s="4">
        <f>$AR$4*'NIFTY MEMBS'!AS94</f>
        <v>19509.515401216402</v>
      </c>
      <c r="AS105" s="4">
        <f>$AS$4*'NIFTY MEMBS'!AT94</f>
        <v>18927.628856187199</v>
      </c>
      <c r="AT105" s="4">
        <f>$AT$4*'NIFTY MEMBS'!AU94</f>
        <v>23223.065458345463</v>
      </c>
      <c r="AU105" s="4">
        <f>$AU$4*'NIFTY MEMBS'!AV94</f>
        <v>24976.638052808867</v>
      </c>
      <c r="AV105" s="4">
        <f>$AV$4*'NIFTY MEMBS'!AW94</f>
        <v>17808.619430241051</v>
      </c>
      <c r="AW105" s="4">
        <f>$AW$4*'NIFTY MEMBS'!AX94</f>
        <v>20971.955022882881</v>
      </c>
      <c r="AX105" s="4">
        <f>$AX$4*'NIFTY MEMBS'!AY94</f>
        <v>16175.985145450795</v>
      </c>
      <c r="AY105" s="4">
        <f t="shared" si="10"/>
        <v>1026732.7765246141</v>
      </c>
      <c r="AZ105" s="4">
        <f t="shared" si="11"/>
        <v>104.76865066577695</v>
      </c>
    </row>
    <row r="106" spans="1:52" ht="14.25" customHeight="1" x14ac:dyDescent="0.3">
      <c r="A106" s="2">
        <v>45797</v>
      </c>
      <c r="B106" s="4">
        <f>$B$4*'NIFTY MEMBS'!C95</f>
        <v>23330.194472876148</v>
      </c>
      <c r="C106" s="4">
        <f>$C$4*'NIFTY MEMBS'!D95</f>
        <v>21482.420516502505</v>
      </c>
      <c r="D106" s="4">
        <f>$D$4*'NIFTY MEMBS'!E95</f>
        <v>22672.181487748323</v>
      </c>
      <c r="E106" s="4">
        <f>$E$4*'NIFTY MEMBS'!F95</f>
        <v>17013.215966151565</v>
      </c>
      <c r="F106" s="4">
        <f>$F$4*'NIFTY MEMBS'!G95</f>
        <v>22407.977252366298</v>
      </c>
      <c r="G106" s="4">
        <f>$G$4*'NIFTY MEMBS'!H95</f>
        <v>19809.631870902671</v>
      </c>
      <c r="H106" s="4">
        <f>$H$4*'NIFTY MEMBS'!I95</f>
        <v>16580.079681274899</v>
      </c>
      <c r="I106" s="4">
        <f>$I$4*'NIFTY MEMBS'!J95</f>
        <v>20163.644976529868</v>
      </c>
      <c r="J106" s="4">
        <f>$J$4*'NIFTY MEMBS'!K95</f>
        <v>26181.996452929216</v>
      </c>
      <c r="K106" s="4">
        <f>$K$4*'NIFTY MEMBS'!L95</f>
        <v>18998.733126556286</v>
      </c>
      <c r="L106" s="4">
        <f>$L$4*'NIFTY MEMBS'!M95</f>
        <v>19456.305385139742</v>
      </c>
      <c r="M106" s="4">
        <f>$M$4*'NIFTY MEMBS'!N95</f>
        <v>22551.145133517126</v>
      </c>
      <c r="N106" s="4">
        <f>$N$4*'NIFTY MEMBS'!O95</f>
        <v>19879.948085658663</v>
      </c>
      <c r="O106" s="4">
        <f>$O$4*'NIFTY MEMBS'!P95</f>
        <v>23373.965555804069</v>
      </c>
      <c r="P106" s="4">
        <f>$P$4*'NIFTY MEMBS'!Q95</f>
        <v>17137.477444493841</v>
      </c>
      <c r="Q106" s="4">
        <f>$Q$4*'NIFTY MEMBS'!R95</f>
        <v>18072.435778724303</v>
      </c>
      <c r="R106" s="4">
        <f>$R$4*'NIFTY MEMBS'!S95</f>
        <v>20436.795666986982</v>
      </c>
      <c r="S106" s="4">
        <f>$S$4*'NIFTY MEMBS'!T95</f>
        <v>22313.864526963986</v>
      </c>
      <c r="T106" s="4">
        <f>$T$4*'NIFTY MEMBS'!U95</f>
        <v>25438.974879472211</v>
      </c>
      <c r="U106" s="4">
        <f>$U$4*'NIFTY MEMBS'!V95</f>
        <v>22008.390061004658</v>
      </c>
      <c r="V106" s="4">
        <f>$V$4*'NIFTY MEMBS'!W95</f>
        <v>20536.490334182527</v>
      </c>
      <c r="W106" s="4">
        <f>$W$4*'NIFTY MEMBS'!X95</f>
        <v>16512.115732368897</v>
      </c>
      <c r="X106" s="4">
        <f>$X$4*'NIFTY MEMBS'!Y95</f>
        <v>22722.573233773688</v>
      </c>
      <c r="Y106" s="4">
        <f>$Y$4*'NIFTY MEMBS'!Z95</f>
        <v>21039.037771681789</v>
      </c>
      <c r="Z106" s="4">
        <f>$Z$4*'NIFTY MEMBS'!AA95</f>
        <v>24756.719972779862</v>
      </c>
      <c r="AA106" s="4">
        <f>$AA$4*'NIFTY MEMBS'!AB95</f>
        <v>22368.987796123474</v>
      </c>
      <c r="AB106" s="4">
        <f>$AB$4*'NIFTY MEMBS'!AC95</f>
        <v>16630.702630702632</v>
      </c>
      <c r="AC106" s="4">
        <f>$AC$4*'NIFTY MEMBS'!AD95</f>
        <v>19194.587628865978</v>
      </c>
      <c r="AD106" s="4">
        <f>$AD$4*'NIFTY MEMBS'!AE95</f>
        <v>19189.856523189854</v>
      </c>
      <c r="AE106" s="4">
        <f>$AE$4*'NIFTY MEMBS'!AF95</f>
        <v>19598.309030896227</v>
      </c>
      <c r="AF106" s="4">
        <f>$AF$4*'NIFTY MEMBS'!AG95</f>
        <v>19921.463128891588</v>
      </c>
      <c r="AG106" s="4">
        <f>$AG$4*'NIFTY MEMBS'!AH95</f>
        <v>21123.188405797104</v>
      </c>
      <c r="AH106" s="4">
        <f>$AH$4*'NIFTY MEMBS'!AI95</f>
        <v>21744.94292932087</v>
      </c>
      <c r="AI106" s="4">
        <f>$AI$4*'NIFTY MEMBS'!AJ95</f>
        <v>23210.472429428111</v>
      </c>
      <c r="AJ106" s="4">
        <f>$AJ$4*'NIFTY MEMBS'!AK95</f>
        <v>17832.156347511907</v>
      </c>
      <c r="AK106" s="4">
        <f>$AK$4*'NIFTY MEMBS'!AL95</f>
        <v>22282.005609811025</v>
      </c>
      <c r="AL106" s="4">
        <f>$AL$4*'NIFTY MEMBS'!AM95</f>
        <v>22055.963809796736</v>
      </c>
      <c r="AM106" s="4">
        <f>$AM$4*'NIFTY MEMBS'!AN95</f>
        <v>15420.094651282887</v>
      </c>
      <c r="AN106" s="4">
        <f>$AN$4*'NIFTY MEMBS'!AO95</f>
        <v>25104.255926878031</v>
      </c>
      <c r="AO106" s="4">
        <f>$AO$4*'NIFTY MEMBS'!AP95</f>
        <v>24207.712248865839</v>
      </c>
      <c r="AP106" s="4">
        <f>$AP$4*'NIFTY MEMBS'!AQ95</f>
        <v>22354.330044691793</v>
      </c>
      <c r="AQ106" s="4">
        <f>$AQ$4*'NIFTY MEMBS'!AR95</f>
        <v>18499.281039997652</v>
      </c>
      <c r="AR106" s="4">
        <f>$AR$4*'NIFTY MEMBS'!AS95</f>
        <v>19022.954679223072</v>
      </c>
      <c r="AS106" s="4">
        <f>$AS$4*'NIFTY MEMBS'!AT95</f>
        <v>18758.014288331196</v>
      </c>
      <c r="AT106" s="4">
        <f>$AT$4*'NIFTY MEMBS'!AU95</f>
        <v>22556.661470200263</v>
      </c>
      <c r="AU106" s="4">
        <f>$AU$4*'NIFTY MEMBS'!AV95</f>
        <v>24524.611539715312</v>
      </c>
      <c r="AV106" s="4">
        <f>$AV$4*'NIFTY MEMBS'!AW95</f>
        <v>17884.587289992698</v>
      </c>
      <c r="AW106" s="4">
        <f>$AW$4*'NIFTY MEMBS'!AX95</f>
        <v>20273.638677452891</v>
      </c>
      <c r="AX106" s="4">
        <f>$AX$4*'NIFTY MEMBS'!AY95</f>
        <v>16138.84877243656</v>
      </c>
      <c r="AY106" s="4">
        <f t="shared" si="10"/>
        <v>1014773.942265794</v>
      </c>
      <c r="AZ106" s="4">
        <f t="shared" si="11"/>
        <v>103.54836145569325</v>
      </c>
    </row>
    <row r="107" spans="1:52" ht="14.25" customHeight="1" x14ac:dyDescent="0.3">
      <c r="A107" s="2">
        <v>45798</v>
      </c>
      <c r="B107" s="4">
        <f>$B$4*'NIFTY MEMBS'!C96</f>
        <v>23405.527123848515</v>
      </c>
      <c r="C107" s="4">
        <f>$C$4*'NIFTY MEMBS'!D96</f>
        <v>21615.921380331623</v>
      </c>
      <c r="D107" s="4">
        <f>$D$4*'NIFTY MEMBS'!E96</f>
        <v>22842.639593908629</v>
      </c>
      <c r="E107" s="4">
        <f>$E$4*'NIFTY MEMBS'!F96</f>
        <v>17146.95619399628</v>
      </c>
      <c r="F107" s="4">
        <f>$F$4*'NIFTY MEMBS'!G96</f>
        <v>22509.250964047831</v>
      </c>
      <c r="G107" s="4">
        <f>$G$4*'NIFTY MEMBS'!H96</f>
        <v>19846.192637418051</v>
      </c>
      <c r="H107" s="4">
        <f>$H$4*'NIFTY MEMBS'!I96</f>
        <v>16664.010624169987</v>
      </c>
      <c r="I107" s="4">
        <f>$I$4*'NIFTY MEMBS'!J96</f>
        <v>20360.018948365705</v>
      </c>
      <c r="J107" s="4">
        <f>$J$4*'NIFTY MEMBS'!K96</f>
        <v>26523.726442980114</v>
      </c>
      <c r="K107" s="4">
        <f>$K$4*'NIFTY MEMBS'!L96</f>
        <v>18915.731073347604</v>
      </c>
      <c r="L107" s="4">
        <f>$L$4*'NIFTY MEMBS'!M96</f>
        <v>19571.915473755966</v>
      </c>
      <c r="M107" s="4">
        <f>$M$4*'NIFTY MEMBS'!N96</f>
        <v>22510.104119268759</v>
      </c>
      <c r="N107" s="4">
        <f>$N$4*'NIFTY MEMBS'!O96</f>
        <v>20056.456846203761</v>
      </c>
      <c r="O107" s="4">
        <f>$O$4*'NIFTY MEMBS'!P96</f>
        <v>23163.721762469246</v>
      </c>
      <c r="P107" s="4">
        <f>$P$4*'NIFTY MEMBS'!Q96</f>
        <v>17280.786631449566</v>
      </c>
      <c r="Q107" s="4">
        <f>$Q$4*'NIFTY MEMBS'!R96</f>
        <v>18326.410751607182</v>
      </c>
      <c r="R107" s="4">
        <f>$R$4*'NIFTY MEMBS'!S96</f>
        <v>20382.633004280597</v>
      </c>
      <c r="S107" s="4">
        <f>$S$4*'NIFTY MEMBS'!T96</f>
        <v>22351.18492256018</v>
      </c>
      <c r="T107" s="4">
        <f>$T$4*'NIFTY MEMBS'!U96</f>
        <v>25847.500634356758</v>
      </c>
      <c r="U107" s="4">
        <f>$U$4*'NIFTY MEMBS'!V96</f>
        <v>22007.775404520798</v>
      </c>
      <c r="V107" s="4">
        <f>$V$4*'NIFTY MEMBS'!W96</f>
        <v>20749.288176232578</v>
      </c>
      <c r="W107" s="4">
        <f>$W$4*'NIFTY MEMBS'!X96</f>
        <v>16634.358047016278</v>
      </c>
      <c r="X107" s="4">
        <f>$X$4*'NIFTY MEMBS'!Y96</f>
        <v>22722.573233773688</v>
      </c>
      <c r="Y107" s="4">
        <f>$Y$4*'NIFTY MEMBS'!Z96</f>
        <v>20990.082295843007</v>
      </c>
      <c r="Z107" s="4">
        <f>$Z$4*'NIFTY MEMBS'!AA96</f>
        <v>26063.286832255872</v>
      </c>
      <c r="AA107" s="4">
        <f>$AA$4*'NIFTY MEMBS'!AB96</f>
        <v>22108.343917389142</v>
      </c>
      <c r="AB107" s="4">
        <f>$AB$4*'NIFTY MEMBS'!AC96</f>
        <v>16711.288711288711</v>
      </c>
      <c r="AC107" s="4">
        <f>$AC$4*'NIFTY MEMBS'!AD96</f>
        <v>19081.829896907217</v>
      </c>
      <c r="AD107" s="4">
        <f>$AD$4*'NIFTY MEMBS'!AE96</f>
        <v>19400.734067400732</v>
      </c>
      <c r="AE107" s="4">
        <f>$AE$4*'NIFTY MEMBS'!AF96</f>
        <v>19878.611757841325</v>
      </c>
      <c r="AF107" s="4">
        <f>$AF$4*'NIFTY MEMBS'!AG96</f>
        <v>20067.255331612174</v>
      </c>
      <c r="AG107" s="4">
        <f>$AG$4*'NIFTY MEMBS'!AH96</f>
        <v>20980.848861283645</v>
      </c>
      <c r="AH107" s="4">
        <f>$AH$4*'NIFTY MEMBS'!AI96</f>
        <v>22059.338754586861</v>
      </c>
      <c r="AI107" s="4">
        <f>$AI$4*'NIFTY MEMBS'!AJ96</f>
        <v>23641.948222904779</v>
      </c>
      <c r="AJ107" s="4">
        <f>$AJ$4*'NIFTY MEMBS'!AK96</f>
        <v>18022.66382000329</v>
      </c>
      <c r="AK107" s="4">
        <f>$AK$4*'NIFTY MEMBS'!AL96</f>
        <v>22168.171488237822</v>
      </c>
      <c r="AL107" s="4">
        <f>$AL$4*'NIFTY MEMBS'!AM96</f>
        <v>22143.982969316108</v>
      </c>
      <c r="AM107" s="4">
        <f>$AM$4*'NIFTY MEMBS'!AN96</f>
        <v>15403.116842693529</v>
      </c>
      <c r="AN107" s="4">
        <f>$AN$4*'NIFTY MEMBS'!AO96</f>
        <v>25191.373893173379</v>
      </c>
      <c r="AO107" s="4">
        <f>$AO$4*'NIFTY MEMBS'!AP96</f>
        <v>24617.627997407646</v>
      </c>
      <c r="AP107" s="4">
        <f>$AP$4*'NIFTY MEMBS'!AQ96</f>
        <v>22362.762458891979</v>
      </c>
      <c r="AQ107" s="4">
        <f>$AQ$4*'NIFTY MEMBS'!AR96</f>
        <v>18759.867359215896</v>
      </c>
      <c r="AR107" s="4">
        <f>$AR$4*'NIFTY MEMBS'!AS96</f>
        <v>19389.18317964816</v>
      </c>
      <c r="AS107" s="4">
        <f>$AS$4*'NIFTY MEMBS'!AT96</f>
        <v>18953.410270501314</v>
      </c>
      <c r="AT107" s="4">
        <f>$AT$4*'NIFTY MEMBS'!AU96</f>
        <v>22544.669624655231</v>
      </c>
      <c r="AU107" s="4">
        <f>$AU$4*'NIFTY MEMBS'!AV96</f>
        <v>24748.451591872217</v>
      </c>
      <c r="AV107" s="4">
        <f>$AV$4*'NIFTY MEMBS'!AW96</f>
        <v>17891.891891891893</v>
      </c>
      <c r="AW107" s="4">
        <f>$AW$4*'NIFTY MEMBS'!AX96</f>
        <v>20379.748348011039</v>
      </c>
      <c r="AX107" s="4">
        <f>$AX$4*'NIFTY MEMBS'!AY96</f>
        <v>15885.083556839285</v>
      </c>
      <c r="AY107" s="4">
        <f t="shared" si="10"/>
        <v>1020880.257931582</v>
      </c>
      <c r="AZ107" s="4">
        <f t="shared" si="11"/>
        <v>104.17145489097777</v>
      </c>
    </row>
    <row r="108" spans="1:52" ht="14.25" customHeight="1" x14ac:dyDescent="0.3">
      <c r="A108" s="2">
        <v>45799</v>
      </c>
      <c r="B108" s="4">
        <f>$B$4*'NIFTY MEMBS'!C97</f>
        <v>23081.269191402251</v>
      </c>
      <c r="C108" s="4">
        <f>$C$4*'NIFTY MEMBS'!D97</f>
        <v>21538.513316430704</v>
      </c>
      <c r="D108" s="4">
        <f>$D$4*'NIFTY MEMBS'!E97</f>
        <v>22954.189383969417</v>
      </c>
      <c r="E108" s="4">
        <f>$E$4*'NIFTY MEMBS'!F97</f>
        <v>16909.628080584567</v>
      </c>
      <c r="F108" s="4">
        <f>$F$4*'NIFTY MEMBS'!G97</f>
        <v>22468.741479375218</v>
      </c>
      <c r="G108" s="4">
        <f>$G$4*'NIFTY MEMBS'!H97</f>
        <v>19799.546142208772</v>
      </c>
      <c r="H108" s="4">
        <f>$H$4*'NIFTY MEMBS'!I97</f>
        <v>16440.903054448871</v>
      </c>
      <c r="I108" s="4">
        <f>$I$4*'NIFTY MEMBS'!J97</f>
        <v>20074.07088411352</v>
      </c>
      <c r="J108" s="4">
        <f>$J$4*'NIFTY MEMBS'!K97</f>
        <v>26355.024295992964</v>
      </c>
      <c r="K108" s="4">
        <f>$K$4*'NIFTY MEMBS'!L97</f>
        <v>18614.30256432659</v>
      </c>
      <c r="L108" s="4">
        <f>$L$4*'NIFTY MEMBS'!M97</f>
        <v>19366.87116564417</v>
      </c>
      <c r="M108" s="4">
        <f>$M$4*'NIFTY MEMBS'!N97</f>
        <v>22206.757492215591</v>
      </c>
      <c r="N108" s="4">
        <f>$N$4*'NIFTY MEMBS'!O97</f>
        <v>19508.760545100584</v>
      </c>
      <c r="O108" s="4">
        <f>$O$4*'NIFTY MEMBS'!P97</f>
        <v>23102.214269738313</v>
      </c>
      <c r="P108" s="4">
        <f>$P$4*'NIFTY MEMBS'!Q97</f>
        <v>17082.036664138705</v>
      </c>
      <c r="Q108" s="4">
        <f>$Q$4*'NIFTY MEMBS'!R97</f>
        <v>18187.782745575278</v>
      </c>
      <c r="R108" s="4">
        <f>$R$4*'NIFTY MEMBS'!S97</f>
        <v>20407.093561631867</v>
      </c>
      <c r="S108" s="4">
        <f>$S$4*'NIFTY MEMBS'!T97</f>
        <v>22177.645083037882</v>
      </c>
      <c r="T108" s="4">
        <f>$T$4*'NIFTY MEMBS'!U97</f>
        <v>25386.95762496828</v>
      </c>
      <c r="U108" s="4">
        <f>$U$4*'NIFTY MEMBS'!V97</f>
        <v>21764.986093397056</v>
      </c>
      <c r="V108" s="4">
        <f>$V$4*'NIFTY MEMBS'!W97</f>
        <v>20464.558669264199</v>
      </c>
      <c r="W108" s="4">
        <f>$W$4*'NIFTY MEMBS'!X97</f>
        <v>16565.641952983726</v>
      </c>
      <c r="X108" s="4">
        <f>$X$4*'NIFTY MEMBS'!Y97</f>
        <v>22505.948962008697</v>
      </c>
      <c r="Y108" s="4">
        <f>$Y$4*'NIFTY MEMBS'!Z97</f>
        <v>20398.396286136314</v>
      </c>
      <c r="Z108" s="4">
        <f>$Z$4*'NIFTY MEMBS'!AA97</f>
        <v>26090.506975161621</v>
      </c>
      <c r="AA108" s="4">
        <f>$AA$4*'NIFTY MEMBS'!AB97</f>
        <v>22212.159699596887</v>
      </c>
      <c r="AB108" s="4">
        <f>$AB$4*'NIFTY MEMBS'!AC97</f>
        <v>16379.620379620379</v>
      </c>
      <c r="AC108" s="4">
        <f>$AC$4*'NIFTY MEMBS'!AD97</f>
        <v>18743.556701030928</v>
      </c>
      <c r="AD108" s="4">
        <f>$AD$4*'NIFTY MEMBS'!AE97</f>
        <v>19151.151151151153</v>
      </c>
      <c r="AE108" s="4">
        <f>$AE$4*'NIFTY MEMBS'!AF97</f>
        <v>19983.868292041119</v>
      </c>
      <c r="AF108" s="4">
        <f>$AF$4*'NIFTY MEMBS'!AG97</f>
        <v>19952.704315188854</v>
      </c>
      <c r="AG108" s="4">
        <f>$AG$4*'NIFTY MEMBS'!AH97</f>
        <v>20644.409937888202</v>
      </c>
      <c r="AH108" s="4">
        <f>$AH$4*'NIFTY MEMBS'!AI97</f>
        <v>21774.446349873691</v>
      </c>
      <c r="AI108" s="4">
        <f>$AI$4*'NIFTY MEMBS'!AJ97</f>
        <v>23590.756179610937</v>
      </c>
      <c r="AJ108" s="4">
        <f>$AJ$4*'NIFTY MEMBS'!AK97</f>
        <v>18035.802266382005</v>
      </c>
      <c r="AK108" s="4">
        <f>$AK$4*'NIFTY MEMBS'!AL97</f>
        <v>21903.650471920231</v>
      </c>
      <c r="AL108" s="4">
        <f>$AL$4*'NIFTY MEMBS'!AM97</f>
        <v>22053.91685259861</v>
      </c>
      <c r="AM108" s="4">
        <f>$AM$4*'NIFTY MEMBS'!AN97</f>
        <v>15115.908914056919</v>
      </c>
      <c r="AN108" s="4">
        <f>$AN$4*'NIFTY MEMBS'!AO97</f>
        <v>25125.678377606393</v>
      </c>
      <c r="AO108" s="4">
        <f>$AO$4*'NIFTY MEMBS'!AP97</f>
        <v>24492.871030460137</v>
      </c>
      <c r="AP108" s="4">
        <f>$AP$4*'NIFTY MEMBS'!AQ97</f>
        <v>21909.098574921998</v>
      </c>
      <c r="AQ108" s="4">
        <f>$AQ$4*'NIFTY MEMBS'!AR97</f>
        <v>18377.204566129647</v>
      </c>
      <c r="AR108" s="4">
        <f>$AR$4*'NIFTY MEMBS'!AS97</f>
        <v>19207.376888365707</v>
      </c>
      <c r="AS108" s="4">
        <f>$AS$4*'NIFTY MEMBS'!AT97</f>
        <v>18873.352194473278</v>
      </c>
      <c r="AT108" s="4">
        <f>$AT$4*'NIFTY MEMBS'!AU97</f>
        <v>22262.004693950967</v>
      </c>
      <c r="AU108" s="4">
        <f>$AU$4*'NIFTY MEMBS'!AV97</f>
        <v>24485.493860697599</v>
      </c>
      <c r="AV108" s="4">
        <f>$AV$4*'NIFTY MEMBS'!AW97</f>
        <v>17855.368882395909</v>
      </c>
      <c r="AW108" s="4">
        <f>$AW$4*'NIFTY MEMBS'!AX97</f>
        <v>20439.494784136125</v>
      </c>
      <c r="AX108" s="4">
        <f>$AX$4*'NIFTY MEMBS'!AY97</f>
        <v>16195.584897874976</v>
      </c>
      <c r="AY108" s="4">
        <f t="shared" si="10"/>
        <v>1012217.8267458278</v>
      </c>
      <c r="AZ108" s="4">
        <f t="shared" si="11"/>
        <v>103.28753334141101</v>
      </c>
    </row>
    <row r="109" spans="1:52" ht="14.25" customHeight="1" x14ac:dyDescent="0.3">
      <c r="A109" s="2">
        <v>45800</v>
      </c>
      <c r="B109" s="4">
        <f>$B$4*'NIFTY MEMBS'!C98</f>
        <v>23366.223132036845</v>
      </c>
      <c r="C109" s="4">
        <f>$C$4*'NIFTY MEMBS'!D98</f>
        <v>21692.207588233974</v>
      </c>
      <c r="D109" s="4">
        <f>$D$4*'NIFTY MEMBS'!E98</f>
        <v>22957.949489252365</v>
      </c>
      <c r="E109" s="4">
        <f>$E$4*'NIFTY MEMBS'!F98</f>
        <v>17092.487446655887</v>
      </c>
      <c r="F109" s="4">
        <f>$F$4*'NIFTY MEMBS'!G98</f>
        <v>22588.711876290265</v>
      </c>
      <c r="G109" s="4">
        <f>$G$4*'NIFTY MEMBS'!H98</f>
        <v>19931.921331316185</v>
      </c>
      <c r="H109" s="4">
        <f>$H$4*'NIFTY MEMBS'!I98</f>
        <v>16624.701195219121</v>
      </c>
      <c r="I109" s="4">
        <f>$I$4*'NIFTY MEMBS'!J98</f>
        <v>20319.538348908318</v>
      </c>
      <c r="J109" s="4">
        <f>$J$4*'NIFTY MEMBS'!K98</f>
        <v>26656.381122662322</v>
      </c>
      <c r="K109" s="4">
        <f>$K$4*'NIFTY MEMBS'!L98</f>
        <v>19059.892534183738</v>
      </c>
      <c r="L109" s="4">
        <f>$L$4*'NIFTY MEMBS'!M98</f>
        <v>19631.356509884117</v>
      </c>
      <c r="M109" s="4">
        <f>$M$4*'NIFTY MEMBS'!N98</f>
        <v>22221.032627606328</v>
      </c>
      <c r="N109" s="4">
        <f>$N$4*'NIFTY MEMBS'!O98</f>
        <v>19550.292018170017</v>
      </c>
      <c r="O109" s="4">
        <f>$O$4*'NIFTY MEMBS'!P98</f>
        <v>23493.625587116974</v>
      </c>
      <c r="P109" s="4">
        <f>$P$4*'NIFTY MEMBS'!Q98</f>
        <v>17241.036637987396</v>
      </c>
      <c r="Q109" s="4">
        <f>$Q$4*'NIFTY MEMBS'!R98</f>
        <v>17816.344347734066</v>
      </c>
      <c r="R109" s="4">
        <f>$R$4*'NIFTY MEMBS'!S98</f>
        <v>20522.407617716432</v>
      </c>
      <c r="S109" s="4">
        <f>$S$4*'NIFTY MEMBS'!T98</f>
        <v>22580.705355476766</v>
      </c>
      <c r="T109" s="4">
        <f>$T$4*'NIFTY MEMBS'!U98</f>
        <v>25837.350926160871</v>
      </c>
      <c r="U109" s="4">
        <f>$U$4*'NIFTY MEMBS'!V98</f>
        <v>22002.858152649937</v>
      </c>
      <c r="V109" s="4">
        <f>$V$4*'NIFTY MEMBS'!W98</f>
        <v>20656.37644237974</v>
      </c>
      <c r="W109" s="4">
        <f>$W$4*'NIFTY MEMBS'!X98</f>
        <v>17182.640144665464</v>
      </c>
      <c r="X109" s="4">
        <f>$X$4*'NIFTY MEMBS'!Y98</f>
        <v>22899.811274308689</v>
      </c>
      <c r="Y109" s="4">
        <f>$Y$4*'NIFTY MEMBS'!Z98</f>
        <v>20615.319687697829</v>
      </c>
      <c r="Z109" s="4">
        <f>$Z$4*'NIFTY MEMBS'!AA98</f>
        <v>26117.727118067374</v>
      </c>
      <c r="AA109" s="4">
        <f>$AA$4*'NIFTY MEMBS'!AB98</f>
        <v>22276.216246065491</v>
      </c>
      <c r="AB109" s="4">
        <f>$AB$4*'NIFTY MEMBS'!AC98</f>
        <v>16474.192474192474</v>
      </c>
      <c r="AC109" s="4">
        <f>$AC$4*'NIFTY MEMBS'!AD98</f>
        <v>19207.474226804126</v>
      </c>
      <c r="AD109" s="4">
        <f>$AD$4*'NIFTY MEMBS'!AE98</f>
        <v>19172.505839172503</v>
      </c>
      <c r="AE109" s="4">
        <f>$AE$4*'NIFTY MEMBS'!AF98</f>
        <v>20001.029683486737</v>
      </c>
      <c r="AF109" s="4">
        <f>$AF$4*'NIFTY MEMBS'!AG98</f>
        <v>20094.157464257045</v>
      </c>
      <c r="AG109" s="4">
        <f>$AG$4*'NIFTY MEMBS'!AH98</f>
        <v>20781.573498964804</v>
      </c>
      <c r="AH109" s="4">
        <f>$AH$4*'NIFTY MEMBS'!AI98</f>
        <v>22260.330807102953</v>
      </c>
      <c r="AI109" s="4">
        <f>$AI$4*'NIFTY MEMBS'!AJ98</f>
        <v>23836.477987421382</v>
      </c>
      <c r="AJ109" s="4">
        <f>$AJ$4*'NIFTY MEMBS'!AK98</f>
        <v>18508.786336015768</v>
      </c>
      <c r="AK109" s="4">
        <f>$AK$4*'NIFTY MEMBS'!AL98</f>
        <v>21779.169993653133</v>
      </c>
      <c r="AL109" s="4">
        <f>$AL$4*'NIFTY MEMBS'!AM98</f>
        <v>22107.137739749858</v>
      </c>
      <c r="AM109" s="4">
        <f>$AM$4*'NIFTY MEMBS'!AN98</f>
        <v>15380.479764574387</v>
      </c>
      <c r="AN109" s="4">
        <f>$AN$4*'NIFTY MEMBS'!AO98</f>
        <v>25688.374750071405</v>
      </c>
      <c r="AO109" s="4">
        <f>$AO$4*'NIFTY MEMBS'!AP98</f>
        <v>25288.399222294225</v>
      </c>
      <c r="AP109" s="4">
        <f>$AP$4*'NIFTY MEMBS'!AQ98</f>
        <v>21927.649886162406</v>
      </c>
      <c r="AQ109" s="4">
        <f>$AQ$4*'NIFTY MEMBS'!AR98</f>
        <v>18549.754966693079</v>
      </c>
      <c r="AR109" s="4">
        <f>$AR$4*'NIFTY MEMBS'!AS98</f>
        <v>19412.726440389772</v>
      </c>
      <c r="AS109" s="4">
        <f>$AS$4*'NIFTY MEMBS'!AT98</f>
        <v>19171.873833899845</v>
      </c>
      <c r="AT109" s="4">
        <f>$AT$4*'NIFTY MEMBS'!AU98</f>
        <v>22608.055093964675</v>
      </c>
      <c r="AU109" s="4">
        <f>$AU$4*'NIFTY MEMBS'!AV98</f>
        <v>24791.915679669673</v>
      </c>
      <c r="AV109" s="4">
        <f>$AV$4*'NIFTY MEMBS'!AW98</f>
        <v>17970.781592403215</v>
      </c>
      <c r="AW109" s="4">
        <f>$AW$4*'NIFTY MEMBS'!AX98</f>
        <v>20594.835518061347</v>
      </c>
      <c r="AX109" s="4">
        <f>$AX$4*'NIFTY MEMBS'!AY98</f>
        <v>16368.887971941409</v>
      </c>
      <c r="AY109" s="4">
        <f t="shared" si="10"/>
        <v>1022911.6855293927</v>
      </c>
      <c r="AZ109" s="4">
        <f t="shared" si="11"/>
        <v>104.37874342136659</v>
      </c>
    </row>
    <row r="110" spans="1:52" ht="14.25" customHeight="1" x14ac:dyDescent="0.3">
      <c r="A110" s="2">
        <v>45803</v>
      </c>
      <c r="B110" s="4">
        <f>$B$4*'NIFTY MEMBS'!C99</f>
        <v>23497.236438075739</v>
      </c>
      <c r="C110" s="4">
        <f>$C$4*'NIFTY MEMBS'!D99</f>
        <v>21766.250084139203</v>
      </c>
      <c r="D110" s="4">
        <f>$D$4*'NIFTY MEMBS'!E99</f>
        <v>23154.728332393308</v>
      </c>
      <c r="E110" s="4">
        <f>$E$4*'NIFTY MEMBS'!F99</f>
        <v>17202.883925640435</v>
      </c>
      <c r="F110" s="4">
        <f>$F$4*'NIFTY MEMBS'!G99</f>
        <v>22756.982043391887</v>
      </c>
      <c r="G110" s="4">
        <f>$G$4*'NIFTY MEMBS'!H99</f>
        <v>20030.257186081693</v>
      </c>
      <c r="H110" s="4">
        <f>$H$4*'NIFTY MEMBS'!I99</f>
        <v>16791.500664010622</v>
      </c>
      <c r="I110" s="4">
        <f>$I$4*'NIFTY MEMBS'!J99</f>
        <v>20620.128332113174</v>
      </c>
      <c r="J110" s="4">
        <f>$J$4*'NIFTY MEMBS'!K99</f>
        <v>26731.359854656614</v>
      </c>
      <c r="K110" s="4">
        <f>$K$4*'NIFTY MEMBS'!L99</f>
        <v>19348.215455856011</v>
      </c>
      <c r="L110" s="4">
        <f>$L$4*'NIFTY MEMBS'!M99</f>
        <v>19897.4778459441</v>
      </c>
      <c r="M110" s="4">
        <f>$M$4*'NIFTY MEMBS'!N99</f>
        <v>22163.93208604338</v>
      </c>
      <c r="N110" s="4">
        <f>$N$4*'NIFTY MEMBS'!O99</f>
        <v>19988.31927319922</v>
      </c>
      <c r="O110" s="4">
        <f>$O$4*'NIFTY MEMBS'!P99</f>
        <v>23365.019011406843</v>
      </c>
      <c r="P110" s="4">
        <f>$P$4*'NIFTY MEMBS'!Q99</f>
        <v>17506.733962708229</v>
      </c>
      <c r="Q110" s="4">
        <f>$Q$4*'NIFTY MEMBS'!R99</f>
        <v>17736.977168708163</v>
      </c>
      <c r="R110" s="4">
        <f>$R$4*'NIFTY MEMBS'!S99</f>
        <v>20422.818205643398</v>
      </c>
      <c r="S110" s="4">
        <f>$S$4*'NIFTY MEMBS'!T99</f>
        <v>22675.872364247065</v>
      </c>
      <c r="T110" s="4">
        <f>$T$4*'NIFTY MEMBS'!U99</f>
        <v>26041.613803603144</v>
      </c>
      <c r="U110" s="4">
        <f>$U$4*'NIFTY MEMBS'!V99</f>
        <v>22190.94303671036</v>
      </c>
      <c r="V110" s="4">
        <f>$V$4*'NIFTY MEMBS'!W99</f>
        <v>20590.439082871271</v>
      </c>
      <c r="W110" s="4">
        <f>$W$4*'NIFTY MEMBS'!X99</f>
        <v>16405.063291139242</v>
      </c>
      <c r="X110" s="4">
        <f>$X$4*'NIFTY MEMBS'!Y99</f>
        <v>22978.583736768687</v>
      </c>
      <c r="Y110" s="4">
        <f>$Y$4*'NIFTY MEMBS'!Z99</f>
        <v>20758.80987550116</v>
      </c>
      <c r="Z110" s="4">
        <f>$Z$4*'NIFTY MEMBS'!AA99</f>
        <v>26168.764886015655</v>
      </c>
      <c r="AA110" s="4">
        <f>$AA$4*'NIFTY MEMBS'!AB99</f>
        <v>22801.921696394056</v>
      </c>
      <c r="AB110" s="4">
        <f>$AB$4*'NIFTY MEMBS'!AC99</f>
        <v>16666.000666000666</v>
      </c>
      <c r="AC110" s="4">
        <f>$AC$4*'NIFTY MEMBS'!AD99</f>
        <v>19117.268041237116</v>
      </c>
      <c r="AD110" s="4">
        <f>$AD$4*'NIFTY MEMBS'!AE99</f>
        <v>19459.45945945946</v>
      </c>
      <c r="AE110" s="4">
        <f>$AE$4*'NIFTY MEMBS'!AF99</f>
        <v>20498.710035409673</v>
      </c>
      <c r="AF110" s="4">
        <f>$AF$4*'NIFTY MEMBS'!AG99</f>
        <v>20195.691319723166</v>
      </c>
      <c r="AG110" s="4">
        <f>$AG$4*'NIFTY MEMBS'!AH99</f>
        <v>20843.685300207038</v>
      </c>
      <c r="AH110" s="4">
        <f>$AH$4*'NIFTY MEMBS'!AI99</f>
        <v>22625.435636444105</v>
      </c>
      <c r="AI110" s="4">
        <f>$AI$4*'NIFTY MEMBS'!AJ99</f>
        <v>23769.197016235186</v>
      </c>
      <c r="AJ110" s="4">
        <f>$AJ$4*'NIFTY MEMBS'!AK99</f>
        <v>18508.786336015768</v>
      </c>
      <c r="AK110" s="4">
        <f>$AK$4*'NIFTY MEMBS'!AL99</f>
        <v>21754.601478205677</v>
      </c>
      <c r="AL110" s="4">
        <f>$AL$4*'NIFTY MEMBS'!AM99</f>
        <v>22219.720385646735</v>
      </c>
      <c r="AM110" s="4">
        <f>$AM$4*'NIFTY MEMBS'!AN99</f>
        <v>15636.561710797179</v>
      </c>
      <c r="AN110" s="4">
        <f>$AN$4*'NIFTY MEMBS'!AO99</f>
        <v>25729.791488146238</v>
      </c>
      <c r="AO110" s="4">
        <f>$AO$4*'NIFTY MEMBS'!AP99</f>
        <v>25275.437459494486</v>
      </c>
      <c r="AP110" s="4">
        <f>$AP$4*'NIFTY MEMBS'!AQ99</f>
        <v>22310.481490850831</v>
      </c>
      <c r="AQ110" s="4">
        <f>$AQ$4*'NIFTY MEMBS'!AR99</f>
        <v>18797.42935117528</v>
      </c>
      <c r="AR110" s="4">
        <f>$AR$4*'NIFTY MEMBS'!AS99</f>
        <v>19412.726440389772</v>
      </c>
      <c r="AS110" s="4">
        <f>$AS$4*'NIFTY MEMBS'!AT99</f>
        <v>19258.716492642121</v>
      </c>
      <c r="AT110" s="4">
        <f>$AT$4*'NIFTY MEMBS'!AU99</f>
        <v>22767.375327634349</v>
      </c>
      <c r="AU110" s="4">
        <f>$AU$4*'NIFTY MEMBS'!AV99</f>
        <v>24911.441921112681</v>
      </c>
      <c r="AV110" s="4">
        <f>$AV$4*'NIFTY MEMBS'!AW99</f>
        <v>18128.560993425861</v>
      </c>
      <c r="AW110" s="4">
        <f>$AW$4*'NIFTY MEMBS'!AX99</f>
        <v>20836.689091495689</v>
      </c>
      <c r="AX110" s="4">
        <f>$AX$4*'NIFTY MEMBS'!AY99</f>
        <v>16507.117804827729</v>
      </c>
      <c r="AY110" s="4">
        <f t="shared" si="10"/>
        <v>1028823.7168898394</v>
      </c>
      <c r="AZ110" s="4">
        <f t="shared" si="11"/>
        <v>104.98201192753463</v>
      </c>
    </row>
    <row r="111" spans="1:52" ht="14.25" customHeight="1" x14ac:dyDescent="0.3">
      <c r="A111" s="2">
        <v>45804</v>
      </c>
      <c r="B111" s="4">
        <f>$B$4*'NIFTY MEMBS'!C100</f>
        <v>23289.252814738993</v>
      </c>
      <c r="C111" s="4">
        <f>$C$4*'NIFTY MEMBS'!D100</f>
        <v>21610.312100338801</v>
      </c>
      <c r="D111" s="4">
        <f>$D$4*'NIFTY MEMBS'!E100</f>
        <v>23109.607068997931</v>
      </c>
      <c r="E111" s="4">
        <f>$E$4*'NIFTY MEMBS'!F100</f>
        <v>17015.161278556578</v>
      </c>
      <c r="F111" s="4">
        <f>$F$4*'NIFTY MEMBS'!G100</f>
        <v>22535.73793479531</v>
      </c>
      <c r="G111" s="4">
        <f>$G$4*'NIFTY MEMBS'!H100</f>
        <v>20012.607160867374</v>
      </c>
      <c r="H111" s="4">
        <f>$H$4*'NIFTY MEMBS'!I100</f>
        <v>16681.009296148735</v>
      </c>
      <c r="I111" s="4">
        <f>$I$4*'NIFTY MEMBS'!J100</f>
        <v>20500.409112441324</v>
      </c>
      <c r="J111" s="4">
        <f>$J$4*'NIFTY MEMBS'!K100</f>
        <v>26447.305812293627</v>
      </c>
      <c r="K111" s="4">
        <f>$K$4*'NIFTY MEMBS'!L100</f>
        <v>18955.04783539382</v>
      </c>
      <c r="L111" s="4">
        <f>$L$4*'NIFTY MEMBS'!M100</f>
        <v>19850.034083162918</v>
      </c>
      <c r="M111" s="4">
        <f>$M$4*'NIFTY MEMBS'!N100</f>
        <v>22151.441342576487</v>
      </c>
      <c r="N111" s="4">
        <f>$N$4*'NIFTY MEMBS'!O100</f>
        <v>19726.151849448412</v>
      </c>
      <c r="O111" s="4">
        <f>$O$4*'NIFTY MEMBS'!P100</f>
        <v>23231.939163498097</v>
      </c>
      <c r="P111" s="4">
        <f>$P$4*'NIFTY MEMBS'!Q100</f>
        <v>17281.832683909095</v>
      </c>
      <c r="Q111" s="4">
        <f>$Q$4*'NIFTY MEMBS'!R100</f>
        <v>17814.227889626709</v>
      </c>
      <c r="R111" s="4">
        <f>$R$4*'NIFTY MEMBS'!S100</f>
        <v>19954.573250633352</v>
      </c>
      <c r="S111" s="4">
        <f>$S$4*'NIFTY MEMBS'!T100</f>
        <v>22310.132487404368</v>
      </c>
      <c r="T111" s="4">
        <f>$T$4*'NIFTY MEMBS'!U100</f>
        <v>25753.615833544784</v>
      </c>
      <c r="U111" s="4">
        <f>$U$4*'NIFTY MEMBS'!V100</f>
        <v>22062.479831584125</v>
      </c>
      <c r="V111" s="4">
        <f>$V$4*'NIFTY MEMBS'!W100</f>
        <v>20293.720965083172</v>
      </c>
      <c r="W111" s="4">
        <f>$W$4*'NIFTY MEMBS'!X100</f>
        <v>16259.674502712478</v>
      </c>
      <c r="X111" s="4">
        <f>$X$4*'NIFTY MEMBS'!Y100</f>
        <v>23044.22745548535</v>
      </c>
      <c r="Y111" s="4">
        <f>$Y$4*'NIFTY MEMBS'!Z100</f>
        <v>20640.641485545475</v>
      </c>
      <c r="Z111" s="4">
        <f>$Z$4*'NIFTY MEMBS'!AA100</f>
        <v>26226.607689690372</v>
      </c>
      <c r="AA111" s="4">
        <f>$AA$4*'NIFTY MEMBS'!AB100</f>
        <v>22391.076260422993</v>
      </c>
      <c r="AB111" s="4">
        <f>$AB$4*'NIFTY MEMBS'!AC100</f>
        <v>16533.466533466533</v>
      </c>
      <c r="AC111" s="4">
        <f>$AC$4*'NIFTY MEMBS'!AD100</f>
        <v>18978.737113402065</v>
      </c>
      <c r="AD111" s="4">
        <f>$AD$4*'NIFTY MEMBS'!AE100</f>
        <v>19124.45779112446</v>
      </c>
      <c r="AE111" s="4">
        <f>$AE$4*'NIFTY MEMBS'!AF100</f>
        <v>20509.006870277044</v>
      </c>
      <c r="AF111" s="4">
        <f>$AF$4*'NIFTY MEMBS'!AG100</f>
        <v>20199.162562645084</v>
      </c>
      <c r="AG111" s="4">
        <f>$AG$4*'NIFTY MEMBS'!AH100</f>
        <v>20701.345755693583</v>
      </c>
      <c r="AH111" s="4">
        <f>$AH$4*'NIFTY MEMBS'!AI100</f>
        <v>22689.052387011125</v>
      </c>
      <c r="AI111" s="4">
        <f>$AI$4*'NIFTY MEMBS'!AJ100</f>
        <v>23644.873482521572</v>
      </c>
      <c r="AJ111" s="4">
        <f>$AJ$4*'NIFTY MEMBS'!AK100</f>
        <v>19142.7163737888</v>
      </c>
      <c r="AK111" s="4">
        <f>$AK$4*'NIFTY MEMBS'!AL100</f>
        <v>21409.004360911487</v>
      </c>
      <c r="AL111" s="4">
        <f>$AL$4*'NIFTY MEMBS'!AM100</f>
        <v>22064.151638589236</v>
      </c>
      <c r="AM111" s="4">
        <f>$AM$4*'NIFTY MEMBS'!AN100</f>
        <v>15769.554544747138</v>
      </c>
      <c r="AN111" s="4">
        <f>$AN$4*'NIFTY MEMBS'!AO100</f>
        <v>25754.070265638384</v>
      </c>
      <c r="AO111" s="4">
        <f>$AO$4*'NIFTY MEMBS'!AP100</f>
        <v>25139.338950097208</v>
      </c>
      <c r="AP111" s="4">
        <f>$AP$4*'NIFTY MEMBS'!AQ100</f>
        <v>22243.022177249346</v>
      </c>
      <c r="AQ111" s="4">
        <f>$AQ$4*'NIFTY MEMBS'!AR100</f>
        <v>18691.786248789507</v>
      </c>
      <c r="AR111" s="4">
        <f>$AR$4*'NIFTY MEMBS'!AS100</f>
        <v>19364.331959976458</v>
      </c>
      <c r="AS111" s="4">
        <f>$AS$4*'NIFTY MEMBS'!AT100</f>
        <v>19196.298331671111</v>
      </c>
      <c r="AT111" s="4">
        <f>$AT$4*'NIFTY MEMBS'!AU100</f>
        <v>22678.293046442701</v>
      </c>
      <c r="AU111" s="4">
        <f>$AU$4*'NIFTY MEMBS'!AV100</f>
        <v>24739.758774312726</v>
      </c>
      <c r="AV111" s="4">
        <f>$AV$4*'NIFTY MEMBS'!AW100</f>
        <v>18162.162162162163</v>
      </c>
      <c r="AW111" s="4">
        <f>$AW$4*'NIFTY MEMBS'!AX100</f>
        <v>20735.359135827544</v>
      </c>
      <c r="AX111" s="4">
        <f>$AX$4*'NIFTY MEMBS'!AY100</f>
        <v>16932.122962657315</v>
      </c>
      <c r="AY111" s="4">
        <f t="shared" si="10"/>
        <v>1023550.9006179033</v>
      </c>
      <c r="AZ111" s="4">
        <f t="shared" si="11"/>
        <v>104.44396945080648</v>
      </c>
    </row>
    <row r="112" spans="1:52" ht="14.25" customHeight="1" x14ac:dyDescent="0.3">
      <c r="A112" s="2">
        <v>45805</v>
      </c>
      <c r="B112" s="4">
        <f>$B$4*'NIFTY MEMBS'!C101</f>
        <v>23138.587512794267</v>
      </c>
      <c r="C112" s="4">
        <f>$C$4*'NIFTY MEMBS'!D101</f>
        <v>21578.900132379011</v>
      </c>
      <c r="D112" s="4">
        <f>$D$4*'NIFTY MEMBS'!E101</f>
        <v>23263.771385598793</v>
      </c>
      <c r="E112" s="4">
        <f>$E$4*'NIFTY MEMBS'!F101</f>
        <v>17010.297997544043</v>
      </c>
      <c r="F112" s="4">
        <f>$F$4*'NIFTY MEMBS'!G101</f>
        <v>22651.034160401978</v>
      </c>
      <c r="G112" s="4">
        <f>$G$4*'NIFTY MEMBS'!H101</f>
        <v>20084.467977811393</v>
      </c>
      <c r="H112" s="4">
        <f>$H$4*'NIFTY MEMBS'!I101</f>
        <v>16699.070385126161</v>
      </c>
      <c r="I112" s="4">
        <f>$I$4*'NIFTY MEMBS'!J101</f>
        <v>20343.654450712718</v>
      </c>
      <c r="J112" s="4">
        <f>$J$4*'NIFTY MEMBS'!K101</f>
        <v>26725.592259887821</v>
      </c>
      <c r="K112" s="4">
        <f>$K$4*'NIFTY MEMBS'!L101</f>
        <v>18356.559346468042</v>
      </c>
      <c r="L112" s="4">
        <f>$L$4*'NIFTY MEMBS'!M101</f>
        <v>19884.389911383776</v>
      </c>
      <c r="M112" s="4">
        <f>$M$4*'NIFTY MEMBS'!N101</f>
        <v>22003.336812897585</v>
      </c>
      <c r="N112" s="4">
        <f>$N$4*'NIFTY MEMBS'!O101</f>
        <v>19453.60155743024</v>
      </c>
      <c r="O112" s="4">
        <f>$O$4*'NIFTY MEMBS'!P101</f>
        <v>23197.271303958845</v>
      </c>
      <c r="P112" s="4">
        <f>$P$4*'NIFTY MEMBS'!Q101</f>
        <v>17336.227411804703</v>
      </c>
      <c r="Q112" s="4">
        <f>$Q$4*'NIFTY MEMBS'!R101</f>
        <v>17634.328950501334</v>
      </c>
      <c r="R112" s="4">
        <f>$R$4*'NIFTY MEMBS'!S101</f>
        <v>19634.83882239888</v>
      </c>
      <c r="S112" s="4">
        <f>$S$4*'NIFTY MEMBS'!T101</f>
        <v>22293.338309386083</v>
      </c>
      <c r="T112" s="4">
        <f>$T$4*'NIFTY MEMBS'!U101</f>
        <v>25658.462319208324</v>
      </c>
      <c r="U112" s="4">
        <f>$U$4*'NIFTY MEMBS'!V101</f>
        <v>21972.125328457059</v>
      </c>
      <c r="V112" s="4">
        <f>$V$4*'NIFTY MEMBS'!W101</f>
        <v>20383.635546231082</v>
      </c>
      <c r="W112" s="4">
        <f>$W$4*'NIFTY MEMBS'!X101</f>
        <v>16215.551537070527</v>
      </c>
      <c r="X112" s="4">
        <f>$X$4*'NIFTY MEMBS'!Y101</f>
        <v>23155.821777303681</v>
      </c>
      <c r="Y112" s="4">
        <f>$Y$4*'NIFTY MEMBS'!Z101</f>
        <v>20482.802278961808</v>
      </c>
      <c r="Z112" s="4">
        <f>$Z$4*'NIFTY MEMBS'!AA101</f>
        <v>26570.261993875472</v>
      </c>
      <c r="AA112" s="4">
        <f>$AA$4*'NIFTY MEMBS'!AB101</f>
        <v>22110.552763819094</v>
      </c>
      <c r="AB112" s="4">
        <f>$AB$4*'NIFTY MEMBS'!AC101</f>
        <v>16478.854478854479</v>
      </c>
      <c r="AC112" s="4">
        <f>$AC$4*'NIFTY MEMBS'!AD101</f>
        <v>18759.66494845361</v>
      </c>
      <c r="AD112" s="4">
        <f>$AD$4*'NIFTY MEMBS'!AE101</f>
        <v>19164.497831164499</v>
      </c>
      <c r="AE112" s="4">
        <f>$AE$4*'NIFTY MEMBS'!AF101</f>
        <v>20248.153720303642</v>
      </c>
      <c r="AF112" s="4">
        <f>$AF$4*'NIFTY MEMBS'!AG101</f>
        <v>19987.416744408041</v>
      </c>
      <c r="AG112" s="4">
        <f>$AG$4*'NIFTY MEMBS'!AH101</f>
        <v>20610.766045548655</v>
      </c>
      <c r="AH112" s="4">
        <f>$AH$4*'NIFTY MEMBS'!AI101</f>
        <v>22302.74197414763</v>
      </c>
      <c r="AI112" s="4">
        <f>$AI$4*'NIFTY MEMBS'!AJ101</f>
        <v>23583.443030568964</v>
      </c>
      <c r="AJ112" s="4">
        <f>$AJ$4*'NIFTY MEMBS'!AK101</f>
        <v>19073.739530300547</v>
      </c>
      <c r="AK112" s="4">
        <f>$AK$4*'NIFTY MEMBS'!AL101</f>
        <v>21109.26847245255</v>
      </c>
      <c r="AL112" s="4">
        <f>$AL$4*'NIFTY MEMBS'!AM101</f>
        <v>21806.235031625485</v>
      </c>
      <c r="AM112" s="4">
        <f>$AM$4*'NIFTY MEMBS'!AN101</f>
        <v>15729.93965803864</v>
      </c>
      <c r="AN112" s="4">
        <f>$AN$4*'NIFTY MEMBS'!AO101</f>
        <v>25812.624964295912</v>
      </c>
      <c r="AO112" s="4">
        <f>$AO$4*'NIFTY MEMBS'!AP101</f>
        <v>25581.659105638362</v>
      </c>
      <c r="AP112" s="4">
        <f>$AP$4*'NIFTY MEMBS'!AQ101</f>
        <v>21922.590437642295</v>
      </c>
      <c r="AQ112" s="4">
        <f>$AQ$4*'NIFTY MEMBS'!AR101</f>
        <v>18549.754966693079</v>
      </c>
      <c r="AR112" s="4">
        <f>$AR$4*'NIFTY MEMBS'!AS101</f>
        <v>19207.376888365707</v>
      </c>
      <c r="AS112" s="4">
        <f>$AS$4*'NIFTY MEMBS'!AT101</f>
        <v>18878.77986064467</v>
      </c>
      <c r="AT112" s="4">
        <f>$AT$4*'NIFTY MEMBS'!AU101</f>
        <v>22465.86606821647</v>
      </c>
      <c r="AU112" s="4">
        <f>$AU$4*'NIFTY MEMBS'!AV101</f>
        <v>24370.31402803434</v>
      </c>
      <c r="AV112" s="4">
        <f>$AV$4*'NIFTY MEMBS'!AW101</f>
        <v>18153.396639883125</v>
      </c>
      <c r="AW112" s="4">
        <f>$AW$4*'NIFTY MEMBS'!AX101</f>
        <v>20850.07229318771</v>
      </c>
      <c r="AX112" s="4">
        <f>$AX$4*'NIFTY MEMBS'!AY101</f>
        <v>16611.305962451002</v>
      </c>
      <c r="AY112" s="4">
        <f t="shared" si="10"/>
        <v>1019096.9449143325</v>
      </c>
      <c r="AZ112" s="4">
        <f t="shared" si="11"/>
        <v>103.98948417493187</v>
      </c>
    </row>
    <row r="113" spans="1:52" ht="14.25" customHeight="1" x14ac:dyDescent="0.3">
      <c r="A113" s="2">
        <v>45806</v>
      </c>
      <c r="B113" s="4">
        <f>$B$4*'NIFTY MEMBS'!C102</f>
        <v>23218.833162743089</v>
      </c>
      <c r="C113" s="4">
        <f>$C$4*'NIFTY MEMBS'!D102</f>
        <v>21623.774372321572</v>
      </c>
      <c r="D113" s="4">
        <f>$D$4*'NIFTY MEMBS'!E102</f>
        <v>23357.774017672495</v>
      </c>
      <c r="E113" s="4">
        <f>$E$4*'NIFTY MEMBS'!F102</f>
        <v>17012.243309949055</v>
      </c>
      <c r="F113" s="4">
        <f>$F$4*'NIFTY MEMBS'!G102</f>
        <v>22693.101702177384</v>
      </c>
      <c r="G113" s="4">
        <f>$G$4*'NIFTY MEMBS'!H102</f>
        <v>20104.639435199191</v>
      </c>
      <c r="H113" s="4">
        <f>$H$4*'NIFTY MEMBS'!I102</f>
        <v>16845.683930942894</v>
      </c>
      <c r="I113" s="4">
        <f>$I$4*'NIFTY MEMBS'!J102</f>
        <v>20384.135050170105</v>
      </c>
      <c r="J113" s="4">
        <f>$J$4*'NIFTY MEMBS'!K102</f>
        <v>26542.471125978689</v>
      </c>
      <c r="K113" s="4">
        <f>$K$4*'NIFTY MEMBS'!L102</f>
        <v>18293.21567428247</v>
      </c>
      <c r="L113" s="4">
        <f>$L$4*'NIFTY MEMBS'!M102</f>
        <v>19933.469665985005</v>
      </c>
      <c r="M113" s="4">
        <f>$M$4*'NIFTY MEMBS'!N102</f>
        <v>22112.184720251957</v>
      </c>
      <c r="N113" s="4">
        <f>$N$4*'NIFTY MEMBS'!O102</f>
        <v>19526.281635301752</v>
      </c>
      <c r="O113" s="4">
        <f>$O$4*'NIFTY MEMBS'!P102</f>
        <v>23278.908521583537</v>
      </c>
      <c r="P113" s="4">
        <f>$P$4*'NIFTY MEMBS'!Q102</f>
        <v>17413.635293809984</v>
      </c>
      <c r="Q113" s="4">
        <f>$Q$4*'NIFTY MEMBS'!R102</f>
        <v>17987.777454430008</v>
      </c>
      <c r="R113" s="4">
        <f>$R$4*'NIFTY MEMBS'!S102</f>
        <v>19689.001485105266</v>
      </c>
      <c r="S113" s="4">
        <f>$S$4*'NIFTY MEMBS'!T102</f>
        <v>22423.95969397276</v>
      </c>
      <c r="T113" s="4">
        <f>$T$4*'NIFTY MEMBS'!U102</f>
        <v>25512.560263892414</v>
      </c>
      <c r="U113" s="4">
        <f>$U$4*'NIFTY MEMBS'!V102</f>
        <v>22055.718610261694</v>
      </c>
      <c r="V113" s="4">
        <f>$V$4*'NIFTY MEMBS'!W102</f>
        <v>20341.675408362058</v>
      </c>
      <c r="W113" s="4">
        <f>$W$4*'NIFTY MEMBS'!X102</f>
        <v>16518.625678119352</v>
      </c>
      <c r="X113" s="4">
        <f>$X$4*'NIFTY MEMBS'!Y102</f>
        <v>23608.763436448669</v>
      </c>
      <c r="Y113" s="4">
        <f>$Y$4*'NIFTY MEMBS'!Z102</f>
        <v>20514.032496307238</v>
      </c>
      <c r="Z113" s="4">
        <f>$Z$4*'NIFTY MEMBS'!AA102</f>
        <v>26321.878189860501</v>
      </c>
      <c r="AA113" s="4">
        <f>$AA$4*'NIFTY MEMBS'!AB102</f>
        <v>22225.412778176596</v>
      </c>
      <c r="AB113" s="4">
        <f>$AB$4*'NIFTY MEMBS'!AC102</f>
        <v>16659.340659340658</v>
      </c>
      <c r="AC113" s="4">
        <f>$AC$4*'NIFTY MEMBS'!AD102</f>
        <v>18885.30927835052</v>
      </c>
      <c r="AD113" s="4">
        <f>$AD$4*'NIFTY MEMBS'!AE102</f>
        <v>19338.004671338003</v>
      </c>
      <c r="AE113" s="4">
        <f>$AE$4*'NIFTY MEMBS'!AF102</f>
        <v>20306.502451218745</v>
      </c>
      <c r="AF113" s="4">
        <f>$AF$4*'NIFTY MEMBS'!AG102</f>
        <v>19910.181589395354</v>
      </c>
      <c r="AG113" s="4">
        <f>$AG$4*'NIFTY MEMBS'!AH102</f>
        <v>20610.766045548655</v>
      </c>
      <c r="AH113" s="4">
        <f>$AH$4*'NIFTY MEMBS'!AI102</f>
        <v>22450.259076911734</v>
      </c>
      <c r="AI113" s="4">
        <f>$AI$4*'NIFTY MEMBS'!AJ102</f>
        <v>23858.417434547315</v>
      </c>
      <c r="AJ113" s="4">
        <f>$AJ$4*'NIFTY MEMBS'!AK102</f>
        <v>18909.5089505666</v>
      </c>
      <c r="AK113" s="4">
        <f>$AK$4*'NIFTY MEMBS'!AL102</f>
        <v>21076.510451855946</v>
      </c>
      <c r="AL113" s="4">
        <f>$AL$4*'NIFTY MEMBS'!AM102</f>
        <v>22021.165537428609</v>
      </c>
      <c r="AM113" s="4">
        <f>$AM$4*'NIFTY MEMBS'!AN102</f>
        <v>16007.243864998127</v>
      </c>
      <c r="AN113" s="4">
        <f>$AN$4*'NIFTY MEMBS'!AO102</f>
        <v>26063.981719508709</v>
      </c>
      <c r="AO113" s="4">
        <f>$AO$4*'NIFTY MEMBS'!AP102</f>
        <v>25304.601425793902</v>
      </c>
      <c r="AP113" s="4">
        <f>$AP$4*'NIFTY MEMBS'!AQ102</f>
        <v>21924.276920482331</v>
      </c>
      <c r="AQ113" s="4">
        <f>$AQ$4*'NIFTY MEMBS'!AR102</f>
        <v>18780.995979693049</v>
      </c>
      <c r="AR113" s="4">
        <f>$AR$4*'NIFTY MEMBS'!AS102</f>
        <v>19317.245438493232</v>
      </c>
      <c r="AS113" s="4">
        <f>$AS$4*'NIFTY MEMBS'!AT102</f>
        <v>18787.866452273851</v>
      </c>
      <c r="AT113" s="4">
        <f>$AT$4*'NIFTY MEMBS'!AU102</f>
        <v>22347.660733558321</v>
      </c>
      <c r="AU113" s="4">
        <f>$AU$4*'NIFTY MEMBS'!AV102</f>
        <v>24118.222318809083</v>
      </c>
      <c r="AV113" s="4">
        <f>$AV$4*'NIFTY MEMBS'!AW102</f>
        <v>18235.208181154128</v>
      </c>
      <c r="AW113" s="4">
        <f>$AW$4*'NIFTY MEMBS'!AX102</f>
        <v>20823.305889803672</v>
      </c>
      <c r="AX113" s="4">
        <f>$AX$4*'NIFTY MEMBS'!AY102</f>
        <v>17003.3010109346</v>
      </c>
      <c r="AY113" s="4">
        <f t="shared" si="10"/>
        <v>1022279.6331953109</v>
      </c>
      <c r="AZ113" s="4">
        <f t="shared" si="11"/>
        <v>104.31424828523581</v>
      </c>
    </row>
    <row r="114" spans="1:52" ht="14.25" customHeight="1" x14ac:dyDescent="0.3">
      <c r="A114" s="2">
        <v>45807</v>
      </c>
      <c r="B114" s="4">
        <f>$B$4*'NIFTY MEMBS'!C103</f>
        <v>23269.600818833162</v>
      </c>
      <c r="C114" s="4">
        <f>$C$4*'NIFTY MEMBS'!D103</f>
        <v>21818.977316071712</v>
      </c>
      <c r="D114" s="4">
        <f>$D$4*'NIFTY MEMBS'!E103</f>
        <v>23265.024754026446</v>
      </c>
      <c r="E114" s="4">
        <f>$E$4*'NIFTY MEMBS'!F103</f>
        <v>16843.487458814088</v>
      </c>
      <c r="F114" s="4">
        <f>$F$4*'NIFTY MEMBS'!G103</f>
        <v>22526.389592178552</v>
      </c>
      <c r="G114" s="4">
        <f>$G$4*'NIFTY MEMBS'!H103</f>
        <v>20481.593545133634</v>
      </c>
      <c r="H114" s="4">
        <f>$H$4*'NIFTY MEMBS'!I103</f>
        <v>16602.39043824701</v>
      </c>
      <c r="I114" s="4">
        <f>$I$4*'NIFTY MEMBS'!J103</f>
        <v>20225.657809741188</v>
      </c>
      <c r="J114" s="4">
        <f>$J$4*'NIFTY MEMBS'!K103</f>
        <v>26474.701887445386</v>
      </c>
      <c r="K114" s="4">
        <f>$K$4*'NIFTY MEMBS'!L103</f>
        <v>18262.635970468742</v>
      </c>
      <c r="L114" s="4">
        <f>$L$4*'NIFTY MEMBS'!M103</f>
        <v>20041.445126107701</v>
      </c>
      <c r="M114" s="4">
        <f>$M$4*'NIFTY MEMBS'!N103</f>
        <v>21981.92410981148</v>
      </c>
      <c r="N114" s="4">
        <f>$N$4*'NIFTY MEMBS'!O103</f>
        <v>19317.326411421156</v>
      </c>
      <c r="O114" s="4">
        <f>$O$4*'NIFTY MEMBS'!P103</f>
        <v>23201.744576157456</v>
      </c>
      <c r="P114" s="4">
        <f>$P$4*'NIFTY MEMBS'!Q103</f>
        <v>17119.694552681816</v>
      </c>
      <c r="Q114" s="4">
        <f>$Q$4*'NIFTY MEMBS'!R103</f>
        <v>17752.850604513344</v>
      </c>
      <c r="R114" s="4">
        <f>$R$4*'NIFTY MEMBS'!S103</f>
        <v>19585.917707696339</v>
      </c>
      <c r="S114" s="4">
        <f>$S$4*'NIFTY MEMBS'!T103</f>
        <v>22246.68781489084</v>
      </c>
      <c r="T114" s="4">
        <f>$T$4*'NIFTY MEMBS'!U103</f>
        <v>25595.026642984012</v>
      </c>
      <c r="U114" s="4">
        <f>$U$4*'NIFTY MEMBS'!V103</f>
        <v>21851.038001137116</v>
      </c>
      <c r="V114" s="4">
        <f>$V$4*'NIFTY MEMBS'!W103</f>
        <v>20014.985763524652</v>
      </c>
      <c r="W114" s="4">
        <f>$W$4*'NIFTY MEMBS'!X103</f>
        <v>17237.613019891502</v>
      </c>
      <c r="X114" s="4">
        <f>$X$4*'NIFTY MEMBS'!Y103</f>
        <v>23513.580044309507</v>
      </c>
      <c r="Y114" s="4">
        <f>$Y$4*'NIFTY MEMBS'!Z103</f>
        <v>20206.794682422453</v>
      </c>
      <c r="Z114" s="4">
        <f>$Z$4*'NIFTY MEMBS'!AA103</f>
        <v>26172.167403878877</v>
      </c>
      <c r="AA114" s="4">
        <f>$AA$4*'NIFTY MEMBS'!AB103</f>
        <v>21944.889281572698</v>
      </c>
      <c r="AB114" s="4">
        <f>$AB$4*'NIFTY MEMBS'!AC103</f>
        <v>16628.038628038626</v>
      </c>
      <c r="AC114" s="4">
        <f>$AC$4*'NIFTY MEMBS'!AD103</f>
        <v>18669.458762886599</v>
      </c>
      <c r="AD114" s="4">
        <f>$AD$4*'NIFTY MEMBS'!AE103</f>
        <v>19205.872539205873</v>
      </c>
      <c r="AE114" s="4">
        <f>$AE$4*'NIFTY MEMBS'!AF103</f>
        <v>19694.41282299169</v>
      </c>
      <c r="AF114" s="4">
        <f>$AF$4*'NIFTY MEMBS'!AG103</f>
        <v>19604.712212266502</v>
      </c>
      <c r="AG114" s="4">
        <f>$AG$4*'NIFTY MEMBS'!AH103</f>
        <v>20564.182194616977</v>
      </c>
      <c r="AH114" s="4">
        <f>$AH$4*'NIFTY MEMBS'!AI103</f>
        <v>22092.530102708784</v>
      </c>
      <c r="AI114" s="4">
        <f>$AI$4*'NIFTY MEMBS'!AJ103</f>
        <v>23551.265174784261</v>
      </c>
      <c r="AJ114" s="4">
        <f>$AJ$4*'NIFTY MEMBS'!AK103</f>
        <v>18830.678272294303</v>
      </c>
      <c r="AK114" s="4">
        <f>$AK$4*'NIFTY MEMBS'!AL103</f>
        <v>20848.842208709539</v>
      </c>
      <c r="AL114" s="4">
        <f>$AL$4*'NIFTY MEMBS'!AM103</f>
        <v>21834.892432399236</v>
      </c>
      <c r="AM114" s="4">
        <f>$AM$4*'NIFTY MEMBS'!AN103</f>
        <v>15969.043795672074</v>
      </c>
      <c r="AN114" s="4">
        <f>$AN$4*'NIFTY MEMBS'!AO103</f>
        <v>25881.176806626674</v>
      </c>
      <c r="AO114" s="4">
        <f>$AO$4*'NIFTY MEMBS'!AP103</f>
        <v>25173.363577446529</v>
      </c>
      <c r="AP114" s="4">
        <f>$AP$4*'NIFTY MEMBS'!AQ103</f>
        <v>21367.737583270089</v>
      </c>
      <c r="AQ114" s="4">
        <f>$AQ$4*'NIFTY MEMBS'!AR103</f>
        <v>18474.630982774306</v>
      </c>
      <c r="AR114" s="4">
        <f>$AR$4*'NIFTY MEMBS'!AS103</f>
        <v>19170.754038323197</v>
      </c>
      <c r="AS114" s="4">
        <f>$AS$4*'NIFTY MEMBS'!AT103</f>
        <v>18672.528546131769</v>
      </c>
      <c r="AT114" s="4">
        <f>$AT$4*'NIFTY MEMBS'!AU103</f>
        <v>21905.675569184383</v>
      </c>
      <c r="AU114" s="4">
        <f>$AU$4*'NIFTY MEMBS'!AV103</f>
        <v>24042.160165163532</v>
      </c>
      <c r="AV114" s="4">
        <f>$AV$4*'NIFTY MEMBS'!AW103</f>
        <v>18279.035792549308</v>
      </c>
      <c r="AW114" s="4">
        <f>$AW$4*'NIFTY MEMBS'!AX103</f>
        <v>20597.22537550635</v>
      </c>
      <c r="AX114" s="4">
        <f>$AX$4*'NIFTY MEMBS'!AY103</f>
        <v>16854.755518877661</v>
      </c>
      <c r="AY114" s="4">
        <f t="shared" si="10"/>
        <v>1015467.118436389</v>
      </c>
      <c r="AZ114" s="4">
        <f t="shared" si="11"/>
        <v>103.61909371799889</v>
      </c>
    </row>
    <row r="115" spans="1:52" ht="14.25" customHeight="1" x14ac:dyDescent="0.3">
      <c r="A115" s="2">
        <v>45810</v>
      </c>
      <c r="B115" s="4">
        <f>$B$4*'NIFTY MEMBS'!C104</f>
        <v>23151.688843398158</v>
      </c>
      <c r="C115" s="4">
        <f>$C$4*'NIFTY MEMBS'!D104</f>
        <v>21675.379748255513</v>
      </c>
      <c r="D115" s="4">
        <f>$D$4*'NIFTY MEMBS'!E104</f>
        <v>23238.704017045809</v>
      </c>
      <c r="E115" s="4">
        <f>$E$4*'NIFTY MEMBS'!F104</f>
        <v>16777.346837043613</v>
      </c>
      <c r="F115" s="4">
        <f>$F$4*'NIFTY MEMBS'!G104</f>
        <v>22599.618276009813</v>
      </c>
      <c r="G115" s="4">
        <f>$G$4*'NIFTY MEMBS'!H104</f>
        <v>20515.632879475539</v>
      </c>
      <c r="H115" s="4">
        <f>$H$4*'NIFTY MEMBS'!I104</f>
        <v>16507.835325365206</v>
      </c>
      <c r="I115" s="4">
        <f>$I$4*'NIFTY MEMBS'!J104</f>
        <v>20426.338228327808</v>
      </c>
      <c r="J115" s="4">
        <f>$J$4*'NIFTY MEMBS'!K104</f>
        <v>26295.906449612852</v>
      </c>
      <c r="K115" s="4">
        <f>$K$4*'NIFTY MEMBS'!L104</f>
        <v>18317.242584421823</v>
      </c>
      <c r="L115" s="4">
        <f>$L$4*'NIFTY MEMBS'!M104</f>
        <v>20065.985003408314</v>
      </c>
      <c r="M115" s="4">
        <f>$M$4*'NIFTY MEMBS'!N104</f>
        <v>21930.17674402006</v>
      </c>
      <c r="N115" s="4">
        <f>$N$4*'NIFTY MEMBS'!O104</f>
        <v>19635.950681375729</v>
      </c>
      <c r="O115" s="4">
        <f>$O$4*'NIFTY MEMBS'!P104</f>
        <v>23077.611272645936</v>
      </c>
      <c r="P115" s="4">
        <f>$P$4*'NIFTY MEMBS'!Q104</f>
        <v>17066.345877245745</v>
      </c>
      <c r="Q115" s="4">
        <f>$Q$4*'NIFTY MEMBS'!R104</f>
        <v>17721.103732902986</v>
      </c>
      <c r="R115" s="4">
        <f>$R$4*'NIFTY MEMBS'!S104</f>
        <v>19559.709967677121</v>
      </c>
      <c r="S115" s="4">
        <f>$S$4*'NIFTY MEMBS'!T104</f>
        <v>22287.740250046652</v>
      </c>
      <c r="T115" s="4">
        <f>$T$4*'NIFTY MEMBS'!U104</f>
        <v>25742.197411824407</v>
      </c>
      <c r="U115" s="4">
        <f>$U$4*'NIFTY MEMBS'!V104</f>
        <v>21669.714338399128</v>
      </c>
      <c r="V115" s="4">
        <f>$V$4*'NIFTY MEMBS'!W104</f>
        <v>19934.062640491535</v>
      </c>
      <c r="W115" s="4">
        <f>$W$4*'NIFTY MEMBS'!X104</f>
        <v>17446.654611211572</v>
      </c>
      <c r="X115" s="4">
        <f>$X$4*'NIFTY MEMBS'!Y104</f>
        <v>24091.244769016161</v>
      </c>
      <c r="Y115" s="4">
        <f>$Y$4*'NIFTY MEMBS'!Z104</f>
        <v>20114.792150242669</v>
      </c>
      <c r="Z115" s="4">
        <f>$Z$4*'NIFTY MEMBS'!AA104</f>
        <v>26369.513439945564</v>
      </c>
      <c r="AA115" s="4">
        <f>$AA$4*'NIFTY MEMBS'!AB104</f>
        <v>21620.188856369761</v>
      </c>
      <c r="AB115" s="4">
        <f>$AB$4*'NIFTY MEMBS'!AC104</f>
        <v>16495.504495504494</v>
      </c>
      <c r="AC115" s="4">
        <f>$AC$4*'NIFTY MEMBS'!AD104</f>
        <v>18882.087628865982</v>
      </c>
      <c r="AD115" s="4">
        <f>$AD$4*'NIFTY MEMBS'!AE104</f>
        <v>18994.994994994995</v>
      </c>
      <c r="AE115" s="4">
        <f>$AE$4*'NIFTY MEMBS'!AF104</f>
        <v>19480.46747630298</v>
      </c>
      <c r="AF115" s="4">
        <f>$AF$4*'NIFTY MEMBS'!AG104</f>
        <v>19670.665827782956</v>
      </c>
      <c r="AG115" s="4">
        <f>$AG$4*'NIFTY MEMBS'!AH104</f>
        <v>20688.405797101448</v>
      </c>
      <c r="AH115" s="4">
        <f>$AH$4*'NIFTY MEMBS'!AI104</f>
        <v>22185.650273828625</v>
      </c>
      <c r="AI115" s="4">
        <f>$AI$4*'NIFTY MEMBS'!AJ104</f>
        <v>23261.66447272195</v>
      </c>
      <c r="AJ115" s="4">
        <f>$AJ$4*'NIFTY MEMBS'!AK104</f>
        <v>18817.539825915588</v>
      </c>
      <c r="AK115" s="4">
        <f>$AK$4*'NIFTY MEMBS'!AL104</f>
        <v>20671.129946972953</v>
      </c>
      <c r="AL115" s="4">
        <f>$AL$4*'NIFTY MEMBS'!AM104</f>
        <v>21947.475078296109</v>
      </c>
      <c r="AM115" s="4">
        <f>$AM$4*'NIFTY MEMBS'!AN104</f>
        <v>15906.791830844435</v>
      </c>
      <c r="AN115" s="4">
        <f>$AN$4*'NIFTY MEMBS'!AO104</f>
        <v>25742.64495858326</v>
      </c>
      <c r="AO115" s="4">
        <f>$AO$4*'NIFTY MEMBS'!AP104</f>
        <v>24844.458846403108</v>
      </c>
      <c r="AP115" s="4">
        <f>$AP$4*'NIFTY MEMBS'!AQ104</f>
        <v>21286.786406948308</v>
      </c>
      <c r="AQ115" s="4">
        <f>$AQ$4*'NIFTY MEMBS'!AR104</f>
        <v>18183.525545089062</v>
      </c>
      <c r="AR115" s="4">
        <f>$AR$4*'NIFTY MEMBS'!AS104</f>
        <v>19229.612190177228</v>
      </c>
      <c r="AS115" s="4">
        <f>$AS$4*'NIFTY MEMBS'!AT104</f>
        <v>18767.512704131132</v>
      </c>
      <c r="AT115" s="4">
        <f>$AT$4*'NIFTY MEMBS'!AU104</f>
        <v>22015.31529988179</v>
      </c>
      <c r="AU115" s="4">
        <f>$AU$4*'NIFTY MEMBS'!AV104</f>
        <v>24348.58198413561</v>
      </c>
      <c r="AV115" s="4">
        <f>$AV$4*'NIFTY MEMBS'!AW104</f>
        <v>18227.903579254933</v>
      </c>
      <c r="AW115" s="4">
        <f>$AW$4*'NIFTY MEMBS'!AX104</f>
        <v>20229.187328975826</v>
      </c>
      <c r="AX115" s="4">
        <f>$AX$4*'NIFTY MEMBS'!AY104</f>
        <v>16767.072415927381</v>
      </c>
      <c r="AY115" s="4">
        <f t="shared" si="10"/>
        <v>1014483.6638444198</v>
      </c>
      <c r="AZ115" s="4">
        <f t="shared" si="11"/>
        <v>103.51874120861426</v>
      </c>
    </row>
    <row r="116" spans="1:52" ht="14.25" customHeight="1" x14ac:dyDescent="0.3">
      <c r="A116" s="2">
        <v>45811</v>
      </c>
      <c r="B116" s="4">
        <f>$B$4*'NIFTY MEMBS'!C105</f>
        <v>23017.40020470829</v>
      </c>
      <c r="C116" s="4">
        <f>$C$4*'NIFTY MEMBS'!D105</f>
        <v>21591.240548363214</v>
      </c>
      <c r="D116" s="4">
        <f>$D$4*'NIFTY MEMBS'!E105</f>
        <v>23078.272858306696</v>
      </c>
      <c r="E116" s="4">
        <f>$E$4*'NIFTY MEMBS'!F105</f>
        <v>16560.444503884544</v>
      </c>
      <c r="F116" s="4">
        <f>$F$4*'NIFTY MEMBS'!G105</f>
        <v>22403.303081057922</v>
      </c>
      <c r="G116" s="4">
        <f>$G$4*'NIFTY MEMBS'!H105</f>
        <v>20418.557740796768</v>
      </c>
      <c r="H116" s="4">
        <f>$H$4*'NIFTY MEMBS'!I105</f>
        <v>16393.09428950863</v>
      </c>
      <c r="I116" s="4">
        <f>$I$4*'NIFTY MEMBS'!J105</f>
        <v>20260.109383747473</v>
      </c>
      <c r="J116" s="4">
        <f>$J$4*'NIFTY MEMBS'!K105</f>
        <v>25893.616714489639</v>
      </c>
      <c r="K116" s="4">
        <f>$K$4*'NIFTY MEMBS'!L105</f>
        <v>18214.582150190028</v>
      </c>
      <c r="L116" s="4">
        <f>$L$4*'NIFTY MEMBS'!M105</f>
        <v>19876.209952283571</v>
      </c>
      <c r="M116" s="4">
        <f>$M$4*'NIFTY MEMBS'!N105</f>
        <v>21641.105252357629</v>
      </c>
      <c r="N116" s="4">
        <f>$N$4*'NIFTY MEMBS'!O105</f>
        <v>19769.630110317976</v>
      </c>
      <c r="O116" s="4">
        <f>$O$4*'NIFTY MEMBS'!P105</f>
        <v>22864.012525162154</v>
      </c>
      <c r="P116" s="4">
        <f>$P$4*'NIFTY MEMBS'!Q105</f>
        <v>17054.839300190906</v>
      </c>
      <c r="Q116" s="4">
        <f>$Q$4*'NIFTY MEMBS'!R105</f>
        <v>17645.969470091801</v>
      </c>
      <c r="R116" s="4">
        <f>$R$4*'NIFTY MEMBS'!S105</f>
        <v>19280.160740805451</v>
      </c>
      <c r="S116" s="4">
        <f>$S$4*'NIFTY MEMBS'!T105</f>
        <v>22047.023698451205</v>
      </c>
      <c r="T116" s="4">
        <f>$T$4*'NIFTY MEMBS'!U105</f>
        <v>25271.50469424004</v>
      </c>
      <c r="U116" s="4">
        <f>$U$4*'NIFTY MEMBS'!V105</f>
        <v>21634.678918819249</v>
      </c>
      <c r="V116" s="4">
        <f>$V$4*'NIFTY MEMBS'!W105</f>
        <v>19676.307507867525</v>
      </c>
      <c r="W116" s="4">
        <f>$W$4*'NIFTY MEMBS'!X105</f>
        <v>17193.490054249549</v>
      </c>
      <c r="X116" s="4">
        <f>$X$4*'NIFTY MEMBS'!Y105</f>
        <v>23505.374579469924</v>
      </c>
      <c r="Y116" s="4">
        <f>$Y$4*'NIFTY MEMBS'!Z105</f>
        <v>20027.009917704159</v>
      </c>
      <c r="Z116" s="4">
        <f>$Z$4*'NIFTY MEMBS'!AA105</f>
        <v>26267.437904049002</v>
      </c>
      <c r="AA116" s="4">
        <f>$AA$4*'NIFTY MEMBS'!AB105</f>
        <v>21509.74653487216</v>
      </c>
      <c r="AB116" s="4">
        <f>$AB$4*'NIFTY MEMBS'!AC105</f>
        <v>16398.268398268399</v>
      </c>
      <c r="AC116" s="4">
        <f>$AC$4*'NIFTY MEMBS'!AD105</f>
        <v>18572.809278350516</v>
      </c>
      <c r="AD116" s="4">
        <f>$AD$4*'NIFTY MEMBS'!AE105</f>
        <v>18788.121454788121</v>
      </c>
      <c r="AE116" s="4">
        <f>$AE$4*'NIFTY MEMBS'!AF105</f>
        <v>19593.73265984406</v>
      </c>
      <c r="AF116" s="4">
        <f>$AF$4*'NIFTY MEMBS'!AG105</f>
        <v>19575.206647430194</v>
      </c>
      <c r="AG116" s="4">
        <f>$AG$4*'NIFTY MEMBS'!AH105</f>
        <v>20333.850931677021</v>
      </c>
      <c r="AH116" s="4">
        <f>$AH$4*'NIFTY MEMBS'!AI105</f>
        <v>22048.274971879557</v>
      </c>
      <c r="AI116" s="4">
        <f>$AI$4*'NIFTY MEMBS'!AJ105</f>
        <v>23014.480035103112</v>
      </c>
      <c r="AJ116" s="4">
        <f>$AJ$4*'NIFTY MEMBS'!AK105</f>
        <v>18650.02463458696</v>
      </c>
      <c r="AK116" s="4">
        <f>$AK$4*'NIFTY MEMBS'!AL105</f>
        <v>20902.892942693936</v>
      </c>
      <c r="AL116" s="4">
        <f>$AL$4*'NIFTY MEMBS'!AM105</f>
        <v>21918.817677522362</v>
      </c>
      <c r="AM116" s="4">
        <f>$AM$4*'NIFTY MEMBS'!AN105</f>
        <v>15817.658335750313</v>
      </c>
      <c r="AN116" s="4">
        <f>$AN$4*'NIFTY MEMBS'!AO105</f>
        <v>25354.184518708935</v>
      </c>
      <c r="AO116" s="4">
        <f>$AO$4*'NIFTY MEMBS'!AP105</f>
        <v>24559.300064808809</v>
      </c>
      <c r="AP116" s="4">
        <f>$AP$4*'NIFTY MEMBS'!AQ105</f>
        <v>21317.143098068977</v>
      </c>
      <c r="AQ116" s="4">
        <f>$AQ$4*'NIFTY MEMBS'!AR105</f>
        <v>18121.313495906328</v>
      </c>
      <c r="AR116" s="4">
        <f>$AR$4*'NIFTY MEMBS'!AS105</f>
        <v>19268.850958079918</v>
      </c>
      <c r="AS116" s="4">
        <f>$AS$4*'NIFTY MEMBS'!AT105</f>
        <v>18487.987896304436</v>
      </c>
      <c r="AT116" s="4">
        <f>$AT$4*'NIFTY MEMBS'!AU105</f>
        <v>22210.611070186555</v>
      </c>
      <c r="AU116" s="4">
        <f>$AU$4*'NIFTY MEMBS'!AV105</f>
        <v>24222.536129522981</v>
      </c>
      <c r="AV116" s="4">
        <f>$AV$4*'NIFTY MEMBS'!AW105</f>
        <v>18236.669101533967</v>
      </c>
      <c r="AW116" s="4">
        <f>$AW$4*'NIFTY MEMBS'!AX105</f>
        <v>20115.908086082665</v>
      </c>
      <c r="AX116" s="4">
        <f>$AX$4*'NIFTY MEMBS'!AY105</f>
        <v>16522.59129358366</v>
      </c>
      <c r="AY116" s="4">
        <f t="shared" si="10"/>
        <v>1007126.3563166674</v>
      </c>
      <c r="AZ116" s="4">
        <f t="shared" si="11"/>
        <v>102.76799554251707</v>
      </c>
    </row>
    <row r="117" spans="1:52" ht="14.25" customHeight="1" x14ac:dyDescent="0.3">
      <c r="A117" s="2">
        <v>45812</v>
      </c>
      <c r="B117" s="4">
        <f>$B$4*'NIFTY MEMBS'!C106</f>
        <v>23312.180143295802</v>
      </c>
      <c r="C117" s="4">
        <f>$C$4*'NIFTY MEMBS'!D106</f>
        <v>21777.468644124841</v>
      </c>
      <c r="D117" s="4">
        <f>$D$4*'NIFTY MEMBS'!E106</f>
        <v>23505.671492135112</v>
      </c>
      <c r="E117" s="4">
        <f>$E$4*'NIFTY MEMBS'!F106</f>
        <v>16442.266775279943</v>
      </c>
      <c r="F117" s="4">
        <f>$F$4*'NIFTY MEMBS'!G106</f>
        <v>22295.797140965216</v>
      </c>
      <c r="G117" s="4">
        <f>$G$4*'NIFTY MEMBS'!H106</f>
        <v>20335.350479072113</v>
      </c>
      <c r="H117" s="4">
        <f>$H$4*'NIFTY MEMBS'!I106</f>
        <v>16480.212483399733</v>
      </c>
      <c r="I117" s="4">
        <f>$I$4*'NIFTY MEMBS'!J106</f>
        <v>20365.186684466647</v>
      </c>
      <c r="J117" s="4">
        <f>$J$4*'NIFTY MEMBS'!K106</f>
        <v>25916.687093564808</v>
      </c>
      <c r="K117" s="4">
        <f>$K$4*'NIFTY MEMBS'!L106</f>
        <v>18216.766414748152</v>
      </c>
      <c r="L117" s="4">
        <f>$L$4*'NIFTY MEMBS'!M106</f>
        <v>19776.414451261076</v>
      </c>
      <c r="M117" s="4">
        <f>$M$4*'NIFTY MEMBS'!N106</f>
        <v>21703.558969692105</v>
      </c>
      <c r="N117" s="4">
        <f>$N$4*'NIFTY MEMBS'!O106</f>
        <v>19814.40622972096</v>
      </c>
      <c r="O117" s="4">
        <f>$O$4*'NIFTY MEMBS'!P106</f>
        <v>22884.142250055913</v>
      </c>
      <c r="P117" s="4">
        <f>$P$4*'NIFTY MEMBS'!Q106</f>
        <v>17009.859044431076</v>
      </c>
      <c r="Q117" s="4">
        <f>$Q$4*'NIFTY MEMBS'!R106</f>
        <v>17618.455514696154</v>
      </c>
      <c r="R117" s="4">
        <f>$R$4*'NIFTY MEMBS'!S106</f>
        <v>19276.666375469555</v>
      </c>
      <c r="S117" s="4">
        <f>$S$4*'NIFTY MEMBS'!T106</f>
        <v>21851.091621571191</v>
      </c>
      <c r="T117" s="4">
        <f>$T$4*'NIFTY MEMBS'!U106</f>
        <v>24817.305252473987</v>
      </c>
      <c r="U117" s="4">
        <f>$U$4*'NIFTY MEMBS'!V106</f>
        <v>21511.747622047729</v>
      </c>
      <c r="V117" s="4">
        <f>$V$4*'NIFTY MEMBS'!W106</f>
        <v>19736.250561966131</v>
      </c>
      <c r="W117" s="4">
        <f>$W$4*'NIFTY MEMBS'!X106</f>
        <v>17770.705244122968</v>
      </c>
      <c r="X117" s="4">
        <f>$X$4*'NIFTY MEMBS'!Y106</f>
        <v>23569.377205218672</v>
      </c>
      <c r="Y117" s="4">
        <f>$Y$4*'NIFTY MEMBS'!Z106</f>
        <v>20092.846592108042</v>
      </c>
      <c r="Z117" s="4">
        <f>$Z$4*'NIFTY MEMBS'!AA106</f>
        <v>26580.469547465131</v>
      </c>
      <c r="AA117" s="4">
        <f>$AA$4*'NIFTY MEMBS'!AB106</f>
        <v>21393.782097299685</v>
      </c>
      <c r="AB117" s="4">
        <f>$AB$4*'NIFTY MEMBS'!AC106</f>
        <v>16440.892440892439</v>
      </c>
      <c r="AC117" s="4">
        <f>$AC$4*'NIFTY MEMBS'!AD106</f>
        <v>18592.139175257733</v>
      </c>
      <c r="AD117" s="4">
        <f>$AD$4*'NIFTY MEMBS'!AE106</f>
        <v>18929.596262929594</v>
      </c>
      <c r="AE117" s="4">
        <f>$AE$4*'NIFTY MEMBS'!AF106</f>
        <v>19594.876752607102</v>
      </c>
      <c r="AF117" s="4">
        <f>$AF$4*'NIFTY MEMBS'!AG106</f>
        <v>19517.063328488057</v>
      </c>
      <c r="AG117" s="4">
        <f>$AG$4*'NIFTY MEMBS'!AH106</f>
        <v>20424.430641821949</v>
      </c>
      <c r="AH117" s="4">
        <f>$AH$4*'NIFTY MEMBS'!AI106</f>
        <v>22104.515867308368</v>
      </c>
      <c r="AI117" s="4">
        <f>$AI$4*'NIFTY MEMBS'!AJ106</f>
        <v>23135.878309199939</v>
      </c>
      <c r="AJ117" s="4">
        <f>$AJ$4*'NIFTY MEMBS'!AK106</f>
        <v>19073.739530300547</v>
      </c>
      <c r="AK117" s="4">
        <f>$AK$4*'NIFTY MEMBS'!AL106</f>
        <v>20880.781278791226</v>
      </c>
      <c r="AL117" s="4">
        <f>$AL$4*'NIFTY MEMBS'!AM106</f>
        <v>21777.577630851738</v>
      </c>
      <c r="AM117" s="4">
        <f>$AM$4*'NIFTY MEMBS'!AN106</f>
        <v>15581.383832881771</v>
      </c>
      <c r="AN117" s="4">
        <f>$AN$4*'NIFTY MEMBS'!AO106</f>
        <v>25362.753499000282</v>
      </c>
      <c r="AO117" s="4">
        <f>$AO$4*'NIFTY MEMBS'!AP106</f>
        <v>24588.464031108226</v>
      </c>
      <c r="AP117" s="4">
        <f>$AP$4*'NIFTY MEMBS'!AQ106</f>
        <v>21447.002276751831</v>
      </c>
      <c r="AQ117" s="4">
        <f>$AQ$4*'NIFTY MEMBS'!AR106</f>
        <v>18272.735275992607</v>
      </c>
      <c r="AR117" s="4">
        <f>$AR$4*'NIFTY MEMBS'!AS106</f>
        <v>19251.847491988752</v>
      </c>
      <c r="AS117" s="4">
        <f>$AS$4*'NIFTY MEMBS'!AT106</f>
        <v>18603.325802446521</v>
      </c>
      <c r="AT117" s="4">
        <f>$AT$4*'NIFTY MEMBS'!AU106</f>
        <v>21969.061038493823</v>
      </c>
      <c r="AU117" s="4">
        <f>$AU$4*'NIFTY MEMBS'!AV106</f>
        <v>24435.510159730526</v>
      </c>
      <c r="AV117" s="4">
        <f>$AV$4*'NIFTY MEMBS'!AW106</f>
        <v>18289.262235208182</v>
      </c>
      <c r="AW117" s="4">
        <f>$AW$4*'NIFTY MEMBS'!AX106</f>
        <v>20077.670366962611</v>
      </c>
      <c r="AX117" s="4">
        <f>$AX$4*'NIFTY MEMBS'!AY106</f>
        <v>16801.114091190429</v>
      </c>
      <c r="AY117" s="4">
        <f t="shared" si="10"/>
        <v>1009206.2872508571</v>
      </c>
      <c r="AZ117" s="4">
        <f t="shared" si="11"/>
        <v>102.9802333929446</v>
      </c>
    </row>
    <row r="118" spans="1:52" ht="14.25" customHeight="1" x14ac:dyDescent="0.3">
      <c r="A118" s="2">
        <v>45813</v>
      </c>
      <c r="B118" s="4">
        <f>$B$4*'NIFTY MEMBS'!C107</f>
        <v>23621.699078812693</v>
      </c>
      <c r="C118" s="4">
        <f>$C$4*'NIFTY MEMBS'!D107</f>
        <v>21871.704548004218</v>
      </c>
      <c r="D118" s="4">
        <f>$D$4*'NIFTY MEMBS'!E107</f>
        <v>23548.28601867519</v>
      </c>
      <c r="E118" s="4">
        <f>$E$4*'NIFTY MEMBS'!F107</f>
        <v>16394.606621357099</v>
      </c>
      <c r="F118" s="4">
        <f>$F$4*'NIFTY MEMBS'!G107</f>
        <v>22666.614731429905</v>
      </c>
      <c r="G118" s="4">
        <f>$G$4*'NIFTY MEMBS'!H107</f>
        <v>20322.743318204739</v>
      </c>
      <c r="H118" s="4">
        <f>$H$4*'NIFTY MEMBS'!I107</f>
        <v>16513.147410358564</v>
      </c>
      <c r="I118" s="4">
        <f>$I$4*'NIFTY MEMBS'!J107</f>
        <v>20467.680117135355</v>
      </c>
      <c r="J118" s="4">
        <f>$J$4*'NIFTY MEMBS'!K107</f>
        <v>25763.84583219183</v>
      </c>
      <c r="K118" s="4">
        <f>$K$4*'NIFTY MEMBS'!L107</f>
        <v>18308.505526189332</v>
      </c>
      <c r="L118" s="4">
        <f>$L$4*'NIFTY MEMBS'!M107</f>
        <v>19864.212678936605</v>
      </c>
      <c r="M118" s="4">
        <f>$M$4*'NIFTY MEMBS'!N107</f>
        <v>21637.536468509945</v>
      </c>
      <c r="N118" s="4">
        <f>$N$4*'NIFTY MEMBS'!O107</f>
        <v>19737.832576249188</v>
      </c>
      <c r="O118" s="4">
        <f>$O$4*'NIFTY MEMBS'!P107</f>
        <v>22812.569894878103</v>
      </c>
      <c r="P118" s="4">
        <f>$P$4*'NIFTY MEMBS'!Q107</f>
        <v>17075.760349381522</v>
      </c>
      <c r="Q118" s="4">
        <f>$Q$4*'NIFTY MEMBS'!R107</f>
        <v>17811.053202465671</v>
      </c>
      <c r="R118" s="4">
        <f>$R$4*'NIFTY MEMBS'!S107</f>
        <v>19496.811391630996</v>
      </c>
      <c r="S118" s="4">
        <f>$S$4*'NIFTY MEMBS'!T107</f>
        <v>21627.169247994028</v>
      </c>
      <c r="T118" s="4">
        <f>$T$4*'NIFTY MEMBS'!U107</f>
        <v>24663.790916011163</v>
      </c>
      <c r="U118" s="4">
        <f>$U$4*'NIFTY MEMBS'!V107</f>
        <v>21537.563194369748</v>
      </c>
      <c r="V118" s="4">
        <f>$V$4*'NIFTY MEMBS'!W107</f>
        <v>19700.284729506966</v>
      </c>
      <c r="W118" s="4">
        <f>$W$4*'NIFTY MEMBS'!X107</f>
        <v>18557.685352622062</v>
      </c>
      <c r="X118" s="4">
        <f>$X$4*'NIFTY MEMBS'!Y107</f>
        <v>23905.801263641584</v>
      </c>
      <c r="Y118" s="4">
        <f>$Y$4*'NIFTY MEMBS'!Z107</f>
        <v>20069.212914116903</v>
      </c>
      <c r="Z118" s="4">
        <f>$Z$4*'NIFTY MEMBS'!AA107</f>
        <v>26777.815583531818</v>
      </c>
      <c r="AA118" s="4">
        <f>$AA$4*'NIFTY MEMBS'!AB107</f>
        <v>21398.19979015959</v>
      </c>
      <c r="AB118" s="4">
        <f>$AB$4*'NIFTY MEMBS'!AC107</f>
        <v>16512.820512820512</v>
      </c>
      <c r="AC118" s="4">
        <f>$AC$4*'NIFTY MEMBS'!AD107</f>
        <v>18959.407216494848</v>
      </c>
      <c r="AD118" s="4">
        <f>$AD$4*'NIFTY MEMBS'!AE107</f>
        <v>18956.289622956287</v>
      </c>
      <c r="AE118" s="4">
        <f>$AE$4*'NIFTY MEMBS'!AF107</f>
        <v>19581.147639450606</v>
      </c>
      <c r="AF118" s="4">
        <f>$AF$4*'NIFTY MEMBS'!AG107</f>
        <v>19469.333738311674</v>
      </c>
      <c r="AG118" s="4">
        <f>$AG$4*'NIFTY MEMBS'!AH107</f>
        <v>20439.958592132505</v>
      </c>
      <c r="AH118" s="4">
        <f>$AH$4*'NIFTY MEMBS'!AI107</f>
        <v>22139.551179214846</v>
      </c>
      <c r="AI118" s="4">
        <f>$AI$4*'NIFTY MEMBS'!AJ107</f>
        <v>23105.163083223633</v>
      </c>
      <c r="AJ118" s="4">
        <f>$AJ$4*'NIFTY MEMBS'!AK107</f>
        <v>19149.285596978159</v>
      </c>
      <c r="AK118" s="4">
        <f>$AK$4*'NIFTY MEMBS'!AL107</f>
        <v>20919.27195299224</v>
      </c>
      <c r="AL118" s="4">
        <f>$AL$4*'NIFTY MEMBS'!AM107</f>
        <v>21732.544572492989</v>
      </c>
      <c r="AM118" s="4">
        <f>$AM$4*'NIFTY MEMBS'!AN107</f>
        <v>16052.51802123641</v>
      </c>
      <c r="AN118" s="4">
        <f>$AN$4*'NIFTY MEMBS'!AO107</f>
        <v>25347.043701799481</v>
      </c>
      <c r="AO118" s="4">
        <f>$AO$4*'NIFTY MEMBS'!AP107</f>
        <v>24679.196370706413</v>
      </c>
      <c r="AP118" s="4">
        <f>$AP$4*'NIFTY MEMBS'!AQ107</f>
        <v>21494.223796272872</v>
      </c>
      <c r="AQ118" s="4">
        <f>$AQ$4*'NIFTY MEMBS'!AR107</f>
        <v>18344.337823165184</v>
      </c>
      <c r="AR118" s="4">
        <f>$AR$4*'NIFTY MEMBS'!AS107</f>
        <v>19485.972140474787</v>
      </c>
      <c r="AS118" s="4">
        <f>$AS$4*'NIFTY MEMBS'!AT107</f>
        <v>18660.316297246136</v>
      </c>
      <c r="AT118" s="4">
        <f>$AT$4*'NIFTY MEMBS'!AU107</f>
        <v>22320.250800883969</v>
      </c>
      <c r="AU118" s="4">
        <f>$AU$4*'NIFTY MEMBS'!AV107</f>
        <v>24163.859610996416</v>
      </c>
      <c r="AV118" s="4">
        <f>$AV$4*'NIFTY MEMBS'!AW107</f>
        <v>18854.63842220599</v>
      </c>
      <c r="AW118" s="4">
        <f>$AW$4*'NIFTY MEMBS'!AX107</f>
        <v>19973.95055384946</v>
      </c>
      <c r="AX118" s="4">
        <f>$AX$4*'NIFTY MEMBS'!AY107</f>
        <v>16571.074891685581</v>
      </c>
      <c r="AY118" s="4">
        <f t="shared" si="10"/>
        <v>1013064.2888939561</v>
      </c>
      <c r="AZ118" s="4">
        <f t="shared" si="11"/>
        <v>103.37390702999552</v>
      </c>
    </row>
    <row r="119" spans="1:52" ht="14.25" customHeight="1" x14ac:dyDescent="0.3">
      <c r="A119" s="2">
        <v>45814</v>
      </c>
      <c r="B119" s="4">
        <f>$B$4*'NIFTY MEMBS'!C108</f>
        <v>23639.71340839304</v>
      </c>
      <c r="C119" s="4">
        <f>$C$4*'NIFTY MEMBS'!D108</f>
        <v>22198.164643586351</v>
      </c>
      <c r="D119" s="4">
        <f>$D$4*'NIFTY MEMBS'!E108</f>
        <v>23440.49633389735</v>
      </c>
      <c r="E119" s="4">
        <f>$E$4*'NIFTY MEMBS'!F108</f>
        <v>16458.315602621307</v>
      </c>
      <c r="F119" s="4">
        <f>$F$4*'NIFTY MEMBS'!G108</f>
        <v>22742.959529466756</v>
      </c>
      <c r="G119" s="4">
        <f>$G$4*'NIFTY MEMBS'!H108</f>
        <v>20500.504286434691</v>
      </c>
      <c r="H119" s="4">
        <f>$H$4*'NIFTY MEMBS'!I108</f>
        <v>16614.077025232404</v>
      </c>
      <c r="I119" s="4">
        <f>$I$4*'NIFTY MEMBS'!J108</f>
        <v>20583.092890056418</v>
      </c>
      <c r="J119" s="4">
        <f>$J$4*'NIFTY MEMBS'!K108</f>
        <v>27025.50718786498</v>
      </c>
      <c r="K119" s="4">
        <f>$K$4*'NIFTY MEMBS'!L108</f>
        <v>18393.691843956141</v>
      </c>
      <c r="L119" s="4">
        <f>$L$4*'NIFTY MEMBS'!M108</f>
        <v>19938.922972051805</v>
      </c>
      <c r="M119" s="4">
        <f>$M$4*'NIFTY MEMBS'!N108</f>
        <v>22237.092154920909</v>
      </c>
      <c r="N119" s="4">
        <f>$N$4*'NIFTY MEMBS'!O108</f>
        <v>20158.987670343933</v>
      </c>
      <c r="O119" s="4">
        <f>$O$4*'NIFTY MEMBS'!P108</f>
        <v>23187.206441511964</v>
      </c>
      <c r="P119" s="4">
        <f>$P$4*'NIFTY MEMBS'!Q108</f>
        <v>17131.201129736655</v>
      </c>
      <c r="Q119" s="4">
        <f>$Q$4*'NIFTY MEMBS'!R108</f>
        <v>17769.782269372205</v>
      </c>
      <c r="R119" s="4">
        <f>$R$4*'NIFTY MEMBS'!S108</f>
        <v>19661.046562418102</v>
      </c>
      <c r="S119" s="4">
        <f>$S$4*'NIFTY MEMBS'!T108</f>
        <v>22291.47228960627</v>
      </c>
      <c r="T119" s="4">
        <f>$T$4*'NIFTY MEMBS'!U108</f>
        <v>25247.399137274802</v>
      </c>
      <c r="U119" s="4">
        <f>$U$4*'NIFTY MEMBS'!V108</f>
        <v>21881.156168846137</v>
      </c>
      <c r="V119" s="4">
        <f>$V$4*'NIFTY MEMBS'!W108</f>
        <v>19952.045556721117</v>
      </c>
      <c r="W119" s="4">
        <f>$W$4*'NIFTY MEMBS'!X108</f>
        <v>18941.04882459313</v>
      </c>
      <c r="X119" s="4">
        <f>$X$4*'NIFTY MEMBS'!Y108</f>
        <v>24151.965208829079</v>
      </c>
      <c r="Y119" s="4">
        <f>$Y$4*'NIFTY MEMBS'!Z108</f>
        <v>20262.502637687277</v>
      </c>
      <c r="Z119" s="4">
        <f>$Z$4*'NIFTY MEMBS'!AA108</f>
        <v>26587.274583191564</v>
      </c>
      <c r="AA119" s="4">
        <f>$AA$4*'NIFTY MEMBS'!AB108</f>
        <v>22196.697774587221</v>
      </c>
      <c r="AB119" s="4">
        <f>$AB$4*'NIFTY MEMBS'!AC108</f>
        <v>16556.110556110554</v>
      </c>
      <c r="AC119" s="4">
        <f>$AC$4*'NIFTY MEMBS'!AD108</f>
        <v>19059.278350515466</v>
      </c>
      <c r="AD119" s="4">
        <f>$AD$4*'NIFTY MEMBS'!AE108</f>
        <v>18978.978978978979</v>
      </c>
      <c r="AE119" s="4">
        <f>$AE$4*'NIFTY MEMBS'!AF108</f>
        <v>19763.058388774163</v>
      </c>
      <c r="AF119" s="4">
        <f>$AF$4*'NIFTY MEMBS'!AG108</f>
        <v>19484.086520729827</v>
      </c>
      <c r="AG119" s="4">
        <f>$AG$4*'NIFTY MEMBS'!AH108</f>
        <v>20649.585921325051</v>
      </c>
      <c r="AH119" s="4">
        <f>$AH$4*'NIFTY MEMBS'!AI108</f>
        <v>22286.146300086668</v>
      </c>
      <c r="AI119" s="4">
        <f>$AI$4*'NIFTY MEMBS'!AJ108</f>
        <v>23034.956852420652</v>
      </c>
      <c r="AJ119" s="4">
        <f>$AJ$4*'NIFTY MEMBS'!AK108</f>
        <v>19313.516176712106</v>
      </c>
      <c r="AK119" s="4">
        <f>$AK$4*'NIFTY MEMBS'!AL108</f>
        <v>21083.062055975268</v>
      </c>
      <c r="AL119" s="4">
        <f>$AL$4*'NIFTY MEMBS'!AM108</f>
        <v>22082.574253372361</v>
      </c>
      <c r="AM119" s="4">
        <f>$AM$4*'NIFTY MEMBS'!AN108</f>
        <v>16346.800036785253</v>
      </c>
      <c r="AN119" s="4">
        <f>$AN$4*'NIFTY MEMBS'!AO108</f>
        <v>25429.877177949154</v>
      </c>
      <c r="AO119" s="4">
        <f>$AO$4*'NIFTY MEMBS'!AP108</f>
        <v>24468.567725210625</v>
      </c>
      <c r="AP119" s="4">
        <f>$AP$4*'NIFTY MEMBS'!AQ108</f>
        <v>21929.336369002442</v>
      </c>
      <c r="AQ119" s="4">
        <f>$AQ$4*'NIFTY MEMBS'!AR108</f>
        <v>18441.764239809843</v>
      </c>
      <c r="AR119" s="4">
        <f>$AR$4*'NIFTY MEMBS'!AS108</f>
        <v>19674.318226407693</v>
      </c>
      <c r="AS119" s="4">
        <f>$AS$4*'NIFTY MEMBS'!AT108</f>
        <v>18840.786197444926</v>
      </c>
      <c r="AT119" s="4">
        <f>$AT$4*'NIFTY MEMBS'!AU108</f>
        <v>23581.107703904199</v>
      </c>
      <c r="AU119" s="4">
        <f>$AU$4*'NIFTY MEMBS'!AV108</f>
        <v>24244.268173421708</v>
      </c>
      <c r="AV119" s="4">
        <f>$AV$4*'NIFTY MEMBS'!AW108</f>
        <v>19297.2972972973</v>
      </c>
      <c r="AW119" s="4">
        <f>$AW$4*'NIFTY MEMBS'!AX108</f>
        <v>20399.823150549069</v>
      </c>
      <c r="AX119" s="4">
        <f>$AX$4*'NIFTY MEMBS'!AY108</f>
        <v>16976.480297090988</v>
      </c>
      <c r="AY119" s="4">
        <f t="shared" si="10"/>
        <v>1025114.1050830759</v>
      </c>
      <c r="AZ119" s="4">
        <f t="shared" si="11"/>
        <v>104.60348011051795</v>
      </c>
    </row>
    <row r="120" spans="1:52" ht="14.25" customHeight="1" x14ac:dyDescent="0.3">
      <c r="A120" s="2">
        <v>45817</v>
      </c>
      <c r="B120" s="4">
        <f>$B$4*'NIFTY MEMBS'!C109</f>
        <v>23726.509723643805</v>
      </c>
      <c r="C120" s="4">
        <f>$C$4*'NIFTY MEMBS'!D109</f>
        <v>22200.40835558348</v>
      </c>
      <c r="D120" s="4">
        <f>$D$4*'NIFTY MEMBS'!E109</f>
        <v>23376.574544087234</v>
      </c>
      <c r="E120" s="4">
        <f>$E$4*'NIFTY MEMBS'!F109</f>
        <v>16641.661296793882</v>
      </c>
      <c r="F120" s="4">
        <f>$F$4*'NIFTY MEMBS'!G109</f>
        <v>22355.00331087134</v>
      </c>
      <c r="G120" s="4">
        <f>$G$4*'NIFTY MEMBS'!H109</f>
        <v>20677.004538577909</v>
      </c>
      <c r="H120" s="4">
        <f>$H$4*'NIFTY MEMBS'!I109</f>
        <v>16710.756972111554</v>
      </c>
      <c r="I120" s="4">
        <f>$I$4*'NIFTY MEMBS'!J109</f>
        <v>20612.37672796176</v>
      </c>
      <c r="J120" s="4">
        <f>$J$4*'NIFTY MEMBS'!K109</f>
        <v>27706.083370582382</v>
      </c>
      <c r="K120" s="4">
        <f>$K$4*'NIFTY MEMBS'!L109</f>
        <v>18481.062426281071</v>
      </c>
      <c r="L120" s="4">
        <f>$L$4*'NIFTY MEMBS'!M109</f>
        <v>20062.167689161553</v>
      </c>
      <c r="M120" s="4">
        <f>$M$4*'NIFTY MEMBS'!N109</f>
        <v>22549.360741593286</v>
      </c>
      <c r="N120" s="4">
        <f>$N$4*'NIFTY MEMBS'!O109</f>
        <v>20035.042180402335</v>
      </c>
      <c r="O120" s="4">
        <f>$O$4*'NIFTY MEMBS'!P109</f>
        <v>23911.876537687313</v>
      </c>
      <c r="P120" s="4">
        <f>$P$4*'NIFTY MEMBS'!Q109</f>
        <v>17242.082690446925</v>
      </c>
      <c r="Q120" s="4">
        <f>$Q$4*'NIFTY MEMBS'!R109</f>
        <v>17930.633085531364</v>
      </c>
      <c r="R120" s="4">
        <f>$R$4*'NIFTY MEMBS'!S109</f>
        <v>19673.276841093735</v>
      </c>
      <c r="S120" s="4">
        <f>$S$4*'NIFTY MEMBS'!T109</f>
        <v>22763.575293898117</v>
      </c>
      <c r="T120" s="4">
        <f>$T$4*'NIFTY MEMBS'!U109</f>
        <v>25595.026642984012</v>
      </c>
      <c r="U120" s="4">
        <f>$U$4*'NIFTY MEMBS'!V109</f>
        <v>21721.345483043166</v>
      </c>
      <c r="V120" s="4">
        <f>$V$4*'NIFTY MEMBS'!W109</f>
        <v>20206.803536640193</v>
      </c>
      <c r="W120" s="4">
        <f>$W$4*'NIFTY MEMBS'!X109</f>
        <v>18577.938517179024</v>
      </c>
      <c r="X120" s="4">
        <f>$X$4*'NIFTY MEMBS'!Y109</f>
        <v>24076.474932304911</v>
      </c>
      <c r="Y120" s="4">
        <f>$Y$4*'NIFTY MEMBS'!Z109</f>
        <v>20493.775058029121</v>
      </c>
      <c r="Z120" s="4">
        <f>$Z$4*'NIFTY MEMBS'!AA109</f>
        <v>26706.362708404224</v>
      </c>
      <c r="AA120" s="4">
        <f>$AA$4*'NIFTY MEMBS'!AB109</f>
        <v>22265.172013915733</v>
      </c>
      <c r="AB120" s="4">
        <f>$AB$4*'NIFTY MEMBS'!AC109</f>
        <v>16735.930735930735</v>
      </c>
      <c r="AC120" s="4">
        <f>$AC$4*'NIFTY MEMBS'!AD109</f>
        <v>19362.113402061856</v>
      </c>
      <c r="AD120" s="4">
        <f>$AD$4*'NIFTY MEMBS'!AE109</f>
        <v>19160.493827160491</v>
      </c>
      <c r="AE120" s="4">
        <f>$AE$4*'NIFTY MEMBS'!AF109</f>
        <v>19772.211130878492</v>
      </c>
      <c r="AF120" s="4">
        <f>$AF$4*'NIFTY MEMBS'!AG109</f>
        <v>19507.51741045278</v>
      </c>
      <c r="AG120" s="4">
        <f>$AG$4*'NIFTY MEMBS'!AH109</f>
        <v>20755.693581780539</v>
      </c>
      <c r="AH120" s="4">
        <f>$AH$4*'NIFTY MEMBS'!AI109</f>
        <v>22268.628644133434</v>
      </c>
      <c r="AI120" s="4">
        <f>$AI$4*'NIFTY MEMBS'!AJ109</f>
        <v>23010.092145677925</v>
      </c>
      <c r="AJ120" s="4">
        <f>$AJ$4*'NIFTY MEMBS'!AK109</f>
        <v>19986.861553621286</v>
      </c>
      <c r="AK120" s="4">
        <f>$AK$4*'NIFTY MEMBS'!AL109</f>
        <v>21362.324181561329</v>
      </c>
      <c r="AL120" s="4">
        <f>$AL$4*'NIFTY MEMBS'!AM109</f>
        <v>22070.292510183608</v>
      </c>
      <c r="AM120" s="4">
        <f>$AM$4*'NIFTY MEMBS'!AN109</f>
        <v>16733.045182193109</v>
      </c>
      <c r="AN120" s="4">
        <f>$AN$4*'NIFTY MEMBS'!AO109</f>
        <v>25575.549842902023</v>
      </c>
      <c r="AO120" s="4">
        <f>$AO$4*'NIFTY MEMBS'!AP109</f>
        <v>24640.311082307187</v>
      </c>
      <c r="AP120" s="4">
        <f>$AP$4*'NIFTY MEMBS'!AQ109</f>
        <v>21951.260645922925</v>
      </c>
      <c r="AQ120" s="4">
        <f>$AQ$4*'NIFTY MEMBS'!AR109</f>
        <v>18535.669219708307</v>
      </c>
      <c r="AR120" s="4">
        <f>$AR$4*'NIFTY MEMBS'!AS109</f>
        <v>19705.709240729841</v>
      </c>
      <c r="AS120" s="4">
        <f>$AS$4*'NIFTY MEMBS'!AT109</f>
        <v>18812.290950045117</v>
      </c>
      <c r="AT120" s="4">
        <f>$AT$4*'NIFTY MEMBS'!AU109</f>
        <v>23915.166258372876</v>
      </c>
      <c r="AU120" s="4">
        <f>$AU$4*'NIFTY MEMBS'!AV109</f>
        <v>24365.967619254592</v>
      </c>
      <c r="AV120" s="4">
        <f>$AV$4*'NIFTY MEMBS'!AW109</f>
        <v>19271.00073046019</v>
      </c>
      <c r="AW120" s="4">
        <f>$AW$4*'NIFTY MEMBS'!AX109</f>
        <v>20788.891942595619</v>
      </c>
      <c r="AX120" s="4">
        <f>$AX$4*'NIFTY MEMBS'!AY109</f>
        <v>17261.192490200126</v>
      </c>
      <c r="AY120" s="4">
        <f t="shared" si="10"/>
        <v>1031846.5695469438</v>
      </c>
      <c r="AZ120" s="4">
        <f t="shared" si="11"/>
        <v>105.29046628030039</v>
      </c>
    </row>
    <row r="121" spans="1:52" ht="14.25" customHeight="1" x14ac:dyDescent="0.3">
      <c r="A121" s="2">
        <v>45818</v>
      </c>
      <c r="B121" s="4">
        <f>$B$4*'NIFTY MEMBS'!C110</f>
        <v>23557.830092118729</v>
      </c>
      <c r="C121" s="4">
        <f>$C$4*'NIFTY MEMBS'!D110</f>
        <v>22047.835939778772</v>
      </c>
      <c r="D121" s="4">
        <f>$D$4*'NIFTY MEMBS'!E110</f>
        <v>23276.305069875289</v>
      </c>
      <c r="E121" s="4">
        <f>$E$4*'NIFTY MEMBS'!F110</f>
        <v>16841.055818307821</v>
      </c>
      <c r="F121" s="4">
        <f>$F$4*'NIFTY MEMBS'!G110</f>
        <v>22169.594515638997</v>
      </c>
      <c r="G121" s="4">
        <f>$G$4*'NIFTY MEMBS'!H110</f>
        <v>20601.361573373673</v>
      </c>
      <c r="H121" s="4">
        <f>$H$4*'NIFTY MEMBS'!I110</f>
        <v>16956.175298804781</v>
      </c>
      <c r="I121" s="4">
        <f>$I$4*'NIFTY MEMBS'!J110</f>
        <v>20629.602514964903</v>
      </c>
      <c r="J121" s="4">
        <f>$J$4*'NIFTY MEMBS'!K110</f>
        <v>27388.865658298848</v>
      </c>
      <c r="K121" s="4">
        <f>$K$4*'NIFTY MEMBS'!L110</f>
        <v>18653.619326372809</v>
      </c>
      <c r="L121" s="4">
        <f>$L$4*'NIFTY MEMBS'!M110</f>
        <v>20067.075664621676</v>
      </c>
      <c r="M121" s="4">
        <f>$M$4*'NIFTY MEMBS'!N110</f>
        <v>22340.586886503752</v>
      </c>
      <c r="N121" s="4">
        <f>$N$4*'NIFTY MEMBS'!O110</f>
        <v>19905.90525632706</v>
      </c>
      <c r="O121" s="4">
        <f>$O$4*'NIFTY MEMBS'!P110</f>
        <v>24056.139566092592</v>
      </c>
      <c r="P121" s="4">
        <f>$P$4*'NIFTY MEMBS'!Q110</f>
        <v>17449.201077434031</v>
      </c>
      <c r="Q121" s="4">
        <f>$Q$4*'NIFTY MEMBS'!R110</f>
        <v>17871.372258525356</v>
      </c>
      <c r="R121" s="4">
        <f>$R$4*'NIFTY MEMBS'!S110</f>
        <v>19902.157770594913</v>
      </c>
      <c r="S121" s="4">
        <f>$S$4*'NIFTY MEMBS'!T110</f>
        <v>23004.291845493564</v>
      </c>
      <c r="T121" s="4">
        <f>$T$4*'NIFTY MEMBS'!U110</f>
        <v>25350.16493275818</v>
      </c>
      <c r="U121" s="4">
        <f>$U$4*'NIFTY MEMBS'!V110</f>
        <v>21661.72380410898</v>
      </c>
      <c r="V121" s="4">
        <f>$V$4*'NIFTY MEMBS'!W110</f>
        <v>20332.683950247265</v>
      </c>
      <c r="W121" s="4">
        <f>$W$4*'NIFTY MEMBS'!X110</f>
        <v>18494.032549728756</v>
      </c>
      <c r="X121" s="4">
        <f>$X$4*'NIFTY MEMBS'!Y110</f>
        <v>24186.428161155327</v>
      </c>
      <c r="Y121" s="4">
        <f>$Y$4*'NIFTY MEMBS'!Z110</f>
        <v>20652.458324541043</v>
      </c>
      <c r="Z121" s="4">
        <f>$Z$4*'NIFTY MEMBS'!AA110</f>
        <v>27043.21197686288</v>
      </c>
      <c r="AA121" s="4">
        <f>$AA$4*'NIFTY MEMBS'!AB110</f>
        <v>22156.938538848088</v>
      </c>
      <c r="AB121" s="4">
        <f>$AB$4*'NIFTY MEMBS'!AC110</f>
        <v>16974.358974358973</v>
      </c>
      <c r="AC121" s="4">
        <f>$AC$4*'NIFTY MEMBS'!AD110</f>
        <v>19397.551546391755</v>
      </c>
      <c r="AD121" s="4">
        <f>$AD$4*'NIFTY MEMBS'!AE110</f>
        <v>19546.212879546212</v>
      </c>
      <c r="AE121" s="4">
        <f>$AE$4*'NIFTY MEMBS'!AF110</f>
        <v>19737.888347987257</v>
      </c>
      <c r="AF121" s="4">
        <f>$AF$4*'NIFTY MEMBS'!AG110</f>
        <v>19255.85229861367</v>
      </c>
      <c r="AG121" s="4">
        <f>$AG$4*'NIFTY MEMBS'!AH110</f>
        <v>20680.64182194617</v>
      </c>
      <c r="AH121" s="4">
        <f>$AH$4*'NIFTY MEMBS'!AI110</f>
        <v>22417.067728789811</v>
      </c>
      <c r="AI121" s="4">
        <f>$AI$4*'NIFTY MEMBS'!AJ110</f>
        <v>22770.220857101067</v>
      </c>
      <c r="AJ121" s="4">
        <f>$AJ$4*'NIFTY MEMBS'!AK110</f>
        <v>19891.6078173756</v>
      </c>
      <c r="AK121" s="4">
        <f>$AK$4*'NIFTY MEMBS'!AL110</f>
        <v>22177.179943901887</v>
      </c>
      <c r="AL121" s="4">
        <f>$AL$4*'NIFTY MEMBS'!AM110</f>
        <v>22015.024665834237</v>
      </c>
      <c r="AM121" s="4">
        <f>$AM$4*'NIFTY MEMBS'!AN110</f>
        <v>16451.496523086284</v>
      </c>
      <c r="AN121" s="4">
        <f>$AN$4*'NIFTY MEMBS'!AO110</f>
        <v>25499.857183661807</v>
      </c>
      <c r="AO121" s="4">
        <f>$AO$4*'NIFTY MEMBS'!AP110</f>
        <v>24706.740116655863</v>
      </c>
      <c r="AP121" s="4">
        <f>$AP$4*'NIFTY MEMBS'!AQ110</f>
        <v>22205.91955476853</v>
      </c>
      <c r="AQ121" s="4">
        <f>$AQ$4*'NIFTY MEMBS'!AR110</f>
        <v>18908.941514804708</v>
      </c>
      <c r="AR121" s="4">
        <f>$AR$4*'NIFTY MEMBS'!AS110</f>
        <v>19760.643515793603</v>
      </c>
      <c r="AS121" s="4">
        <f>$AS$4*'NIFTY MEMBS'!AT110</f>
        <v>18775.654203388222</v>
      </c>
      <c r="AT121" s="4">
        <f>$AT$4*'NIFTY MEMBS'!AU110</f>
        <v>23997.396056395934</v>
      </c>
      <c r="AU121" s="4">
        <f>$AU$4*'NIFTY MEMBS'!AV110</f>
        <v>24233.402151472346</v>
      </c>
      <c r="AV121" s="4">
        <f>$AV$4*'NIFTY MEMBS'!AW110</f>
        <v>19704.894083272462</v>
      </c>
      <c r="AW121" s="4">
        <f>$AW$4*'NIFTY MEMBS'!AX110</f>
        <v>20930.371503339826</v>
      </c>
      <c r="AX121" s="4">
        <f>$AX$4*'NIFTY MEMBS'!AY110</f>
        <v>17434.495564266559</v>
      </c>
      <c r="AY121" s="4">
        <f t="shared" si="10"/>
        <v>1034070.0372241307</v>
      </c>
      <c r="AZ121" s="4">
        <f t="shared" si="11"/>
        <v>105.51735073715621</v>
      </c>
    </row>
    <row r="122" spans="1:52" ht="14.25" customHeight="1" x14ac:dyDescent="0.3">
      <c r="A122" s="2">
        <v>45819</v>
      </c>
      <c r="B122" s="4">
        <f>$B$4*'NIFTY MEMBS'!C111</f>
        <v>23728.147389969294</v>
      </c>
      <c r="C122" s="4">
        <f>$C$4*'NIFTY MEMBS'!D111</f>
        <v>21880.679395992734</v>
      </c>
      <c r="D122" s="4">
        <f>$D$4*'NIFTY MEMBS'!E111</f>
        <v>23315.159491132417</v>
      </c>
      <c r="E122" s="4">
        <f>$E$4*'NIFTY MEMBS'!F111</f>
        <v>16884.825347420639</v>
      </c>
      <c r="F122" s="4">
        <f>$F$4*'NIFTY MEMBS'!G111</f>
        <v>22295.797140965216</v>
      </c>
      <c r="G122" s="4">
        <f>$G$4*'NIFTY MEMBS'!H111</f>
        <v>20550.932929904182</v>
      </c>
      <c r="H122" s="4">
        <f>$H$4*'NIFTY MEMBS'!I111</f>
        <v>17329.083665338643</v>
      </c>
      <c r="I122" s="4">
        <f>$I$4*'NIFTY MEMBS'!J111</f>
        <v>20467.680117135355</v>
      </c>
      <c r="J122" s="4">
        <f>$J$4*'NIFTY MEMBS'!K111</f>
        <v>27179.790347930153</v>
      </c>
      <c r="K122" s="4">
        <f>$K$4*'NIFTY MEMBS'!L111</f>
        <v>18616.486828884714</v>
      </c>
      <c r="L122" s="4">
        <f>$L$4*'NIFTY MEMBS'!M111</f>
        <v>20094.342194955691</v>
      </c>
      <c r="M122" s="4">
        <f>$M$4*'NIFTY MEMBS'!N111</f>
        <v>22219.248235682488</v>
      </c>
      <c r="N122" s="4">
        <f>$N$4*'NIFTY MEMBS'!O111</f>
        <v>19991.563919532768</v>
      </c>
      <c r="O122" s="4">
        <f>$O$4*'NIFTY MEMBS'!P111</f>
        <v>23991.277119212704</v>
      </c>
      <c r="P122" s="4">
        <f>$P$4*'NIFTY MEMBS'!Q111</f>
        <v>18011.977300661627</v>
      </c>
      <c r="Q122" s="4">
        <f>$Q$4*'NIFTY MEMBS'!R111</f>
        <v>17890.420381491571</v>
      </c>
      <c r="R122" s="4">
        <f>$R$4*'NIFTY MEMBS'!S111</f>
        <v>20029.702105355114</v>
      </c>
      <c r="S122" s="4">
        <f>$S$4*'NIFTY MEMBS'!T111</f>
        <v>22978.167568576231</v>
      </c>
      <c r="T122" s="4">
        <f>$T$4*'NIFTY MEMBS'!U111</f>
        <v>25537.934534382137</v>
      </c>
      <c r="U122" s="4">
        <f>$U$4*'NIFTY MEMBS'!V111</f>
        <v>21768.674032300198</v>
      </c>
      <c r="V122" s="4">
        <f>$V$4*'NIFTY MEMBS'!W111</f>
        <v>20266.7465907388</v>
      </c>
      <c r="W122" s="4">
        <f>$W$4*'NIFTY MEMBS'!X111</f>
        <v>18594.575045207959</v>
      </c>
      <c r="X122" s="4">
        <f>$X$4*'NIFTY MEMBS'!Y111</f>
        <v>23900.877984737836</v>
      </c>
      <c r="Y122" s="4">
        <f>$Y$4*'NIFTY MEMBS'!Z111</f>
        <v>20875.290145600338</v>
      </c>
      <c r="Z122" s="4">
        <f>$Z$4*'NIFTY MEMBS'!AA111</f>
        <v>26736.985369173191</v>
      </c>
      <c r="AA122" s="4">
        <f>$AA$4*'NIFTY MEMBS'!AB111</f>
        <v>22245.292396046167</v>
      </c>
      <c r="AB122" s="4">
        <f>$AB$4*'NIFTY MEMBS'!AC111</f>
        <v>17244.089244089246</v>
      </c>
      <c r="AC122" s="4">
        <f>$AC$4*'NIFTY MEMBS'!AD111</f>
        <v>19036.726804123711</v>
      </c>
      <c r="AD122" s="4">
        <f>$AD$4*'NIFTY MEMBS'!AE111</f>
        <v>19656.990323656988</v>
      </c>
      <c r="AE122" s="4">
        <f>$AE$4*'NIFTY MEMBS'!AF111</f>
        <v>19950.689601912924</v>
      </c>
      <c r="AF122" s="4">
        <f>$AF$4*'NIFTY MEMBS'!AG111</f>
        <v>19168.203414835225</v>
      </c>
      <c r="AG122" s="4">
        <f>$AG$4*'NIFTY MEMBS'!AH111</f>
        <v>20812.629399585923</v>
      </c>
      <c r="AH122" s="4">
        <f>$AH$4*'NIFTY MEMBS'!AI111</f>
        <v>22304.585937932181</v>
      </c>
      <c r="AI122" s="4">
        <f>$AI$4*'NIFTY MEMBS'!AJ111</f>
        <v>22876.992833113938</v>
      </c>
      <c r="AJ122" s="4">
        <f>$AJ$4*'NIFTY MEMBS'!AK111</f>
        <v>19881.753982591559</v>
      </c>
      <c r="AK122" s="4">
        <f>$AK$4*'NIFTY MEMBS'!AL111</f>
        <v>22293.470917019837</v>
      </c>
      <c r="AL122" s="4">
        <f>$AL$4*'NIFTY MEMBS'!AM111</f>
        <v>21910.629848729859</v>
      </c>
      <c r="AM122" s="4">
        <f>$AM$4*'NIFTY MEMBS'!AN111</f>
        <v>16345.385219402806</v>
      </c>
      <c r="AN122" s="4">
        <f>$AN$4*'NIFTY MEMBS'!AO111</f>
        <v>25696.943730362749</v>
      </c>
      <c r="AO122" s="4">
        <f>$AO$4*'NIFTY MEMBS'!AP111</f>
        <v>24763.447828904729</v>
      </c>
      <c r="AP122" s="4">
        <f>$AP$4*'NIFTY MEMBS'!AQ111</f>
        <v>22099.671135846191</v>
      </c>
      <c r="AQ122" s="4">
        <f>$AQ$4*'NIFTY MEMBS'!AR111</f>
        <v>19221.175572967106</v>
      </c>
      <c r="AR122" s="4">
        <f>$AR$4*'NIFTY MEMBS'!AS111</f>
        <v>19903.211039173369</v>
      </c>
      <c r="AS122" s="4">
        <f>$AS$4*'NIFTY MEMBS'!AT111</f>
        <v>18800.078701159484</v>
      </c>
      <c r="AT122" s="4">
        <f>$AT$4*'NIFTY MEMBS'!AU111</f>
        <v>23505.730389049728</v>
      </c>
      <c r="AU122" s="4">
        <f>$AU$4*'NIFTY MEMBS'!AV111</f>
        <v>23998.696077366076</v>
      </c>
      <c r="AV122" s="4">
        <f>$AV$4*'NIFTY MEMBS'!AW111</f>
        <v>19738.495252008765</v>
      </c>
      <c r="AW122" s="4">
        <f>$AW$4*'NIFTY MEMBS'!AX111</f>
        <v>21079.976579397036</v>
      </c>
      <c r="AX122" s="4">
        <f>$AX$4*'NIFTY MEMBS'!AY111</f>
        <v>17253.97152878069</v>
      </c>
      <c r="AY122" s="4">
        <f t="shared" si="10"/>
        <v>1034925.2029403384</v>
      </c>
      <c r="AZ122" s="4">
        <f t="shared" si="11"/>
        <v>105.60461254493249</v>
      </c>
    </row>
    <row r="123" spans="1:52" ht="14.25" customHeight="1" x14ac:dyDescent="0.3">
      <c r="A123" s="2">
        <v>45820</v>
      </c>
      <c r="B123" s="4">
        <f>$B$4*'NIFTY MEMBS'!C112</f>
        <v>23608.597748208798</v>
      </c>
      <c r="C123" s="4">
        <f>$C$4*'NIFTY MEMBS'!D112</f>
        <v>21802.149476093251</v>
      </c>
      <c r="D123" s="4">
        <f>$D$4*'NIFTY MEMBS'!E112</f>
        <v>23114.62054270853</v>
      </c>
      <c r="E123" s="4">
        <f>$E$4*'NIFTY MEMBS'!F112</f>
        <v>16701.479653248065</v>
      </c>
      <c r="F123" s="4">
        <f>$F$4*'NIFTY MEMBS'!G112</f>
        <v>22205.429829003231</v>
      </c>
      <c r="G123" s="4">
        <f>$G$4*'NIFTY MEMBS'!H112</f>
        <v>20321.482602118002</v>
      </c>
      <c r="H123" s="4">
        <f>$H$4*'NIFTY MEMBS'!I112</f>
        <v>17090.039840637448</v>
      </c>
      <c r="I123" s="4">
        <f>$I$4*'NIFTY MEMBS'!J112</f>
        <v>20091.296671116663</v>
      </c>
      <c r="J123" s="4">
        <f>$J$4*'NIFTY MEMBS'!K112</f>
        <v>27016.855795711792</v>
      </c>
      <c r="K123" s="4">
        <f>$K$4*'NIFTY MEMBS'!L112</f>
        <v>18391.507579398018</v>
      </c>
      <c r="L123" s="4">
        <f>$L$4*'NIFTY MEMBS'!M112</f>
        <v>19653.169734151328</v>
      </c>
      <c r="M123" s="4">
        <f>$M$4*'NIFTY MEMBS'!N112</f>
        <v>22108.615936404272</v>
      </c>
      <c r="N123" s="4">
        <f>$N$4*'NIFTY MEMBS'!O112</f>
        <v>19592.472420506161</v>
      </c>
      <c r="O123" s="4">
        <f>$O$4*'NIFTY MEMBS'!P112</f>
        <v>23784.38828002684</v>
      </c>
      <c r="P123" s="4">
        <f>$P$4*'NIFTY MEMBS'!Q112</f>
        <v>17795.444441538744</v>
      </c>
      <c r="Q123" s="4">
        <f>$Q$4*'NIFTY MEMBS'!R112</f>
        <v>17856.557051773856</v>
      </c>
      <c r="R123" s="4">
        <f>$R$4*'NIFTY MEMBS'!S112</f>
        <v>19783.349349174456</v>
      </c>
      <c r="S123" s="4">
        <f>$S$4*'NIFTY MEMBS'!T112</f>
        <v>22632.95390931144</v>
      </c>
      <c r="T123" s="4">
        <f>$T$4*'NIFTY MEMBS'!U112</f>
        <v>25739.659984775433</v>
      </c>
      <c r="U123" s="4">
        <f>$U$4*'NIFTY MEMBS'!V112</f>
        <v>21222.244418150807</v>
      </c>
      <c r="V123" s="4">
        <f>$V$4*'NIFTY MEMBS'!W112</f>
        <v>20002.997152704931</v>
      </c>
      <c r="W123" s="4">
        <f>$W$4*'NIFTY MEMBS'!X112</f>
        <v>18196.021699819168</v>
      </c>
      <c r="X123" s="4">
        <f>$X$4*'NIFTY MEMBS'!Y112</f>
        <v>23726.922130138668</v>
      </c>
      <c r="Y123" s="4">
        <f>$Y$4*'NIFTY MEMBS'!Z112</f>
        <v>20922.557501582614</v>
      </c>
      <c r="Z123" s="4">
        <f>$Z$4*'NIFTY MEMBS'!AA112</f>
        <v>26362.708404219124</v>
      </c>
      <c r="AA123" s="4">
        <f>$AA$4*'NIFTY MEMBS'!AB112</f>
        <v>21992.379479816664</v>
      </c>
      <c r="AB123" s="4">
        <f>$AB$4*'NIFTY MEMBS'!AC112</f>
        <v>17290.04329004329</v>
      </c>
      <c r="AC123" s="4">
        <f>$AC$4*'NIFTY MEMBS'!AD112</f>
        <v>18621.13402061856</v>
      </c>
      <c r="AD123" s="4">
        <f>$AD$4*'NIFTY MEMBS'!AE112</f>
        <v>19095.095095095094</v>
      </c>
      <c r="AE123" s="4">
        <f>$AE$4*'NIFTY MEMBS'!AF112</f>
        <v>19602.885401948392</v>
      </c>
      <c r="AF123" s="4">
        <f>$AF$4*'NIFTY MEMBS'!AG112</f>
        <v>19260.191352266069</v>
      </c>
      <c r="AG123" s="4">
        <f>$AG$4*'NIFTY MEMBS'!AH112</f>
        <v>20326.08695652174</v>
      </c>
      <c r="AH123" s="4">
        <f>$AH$4*'NIFTY MEMBS'!AI112</f>
        <v>21994.800022127569</v>
      </c>
      <c r="AI123" s="4">
        <f>$AI$4*'NIFTY MEMBS'!AJ112</f>
        <v>22362.147140558722</v>
      </c>
      <c r="AJ123" s="4">
        <f>$AJ$4*'NIFTY MEMBS'!AK112</f>
        <v>19444.900640499265</v>
      </c>
      <c r="AK123" s="4">
        <f>$AK$4*'NIFTY MEMBS'!AL112</f>
        <v>22022.398296582927</v>
      </c>
      <c r="AL123" s="4">
        <f>$AL$4*'NIFTY MEMBS'!AM112</f>
        <v>21761.201973266736</v>
      </c>
      <c r="AM123" s="4">
        <f>$AM$4*'NIFTY MEMBS'!AN112</f>
        <v>15923.769639433791</v>
      </c>
      <c r="AN123" s="4">
        <f>$AN$4*'NIFTY MEMBS'!AO112</f>
        <v>25221.365324193084</v>
      </c>
      <c r="AO123" s="4">
        <f>$AO$4*'NIFTY MEMBS'!AP112</f>
        <v>24449.125081011014</v>
      </c>
      <c r="AP123" s="4">
        <f>$AP$4*'NIFTY MEMBS'!AQ112</f>
        <v>21959.693060123111</v>
      </c>
      <c r="AQ123" s="4">
        <f>$AQ$4*'NIFTY MEMBS'!AR112</f>
        <v>19302.16861812953</v>
      </c>
      <c r="AR123" s="4">
        <f>$AR$4*'NIFTY MEMBS'!AS112</f>
        <v>19656.006801386437</v>
      </c>
      <c r="AS123" s="4">
        <f>$AS$4*'NIFTY MEMBS'!AT112</f>
        <v>18987.333184072511</v>
      </c>
      <c r="AT123" s="4">
        <f>$AT$4*'NIFTY MEMBS'!AU112</f>
        <v>22889.006903876787</v>
      </c>
      <c r="AU123" s="4">
        <f>$AU$4*'NIFTY MEMBS'!AV112</f>
        <v>23581.440834510486</v>
      </c>
      <c r="AV123" s="4">
        <f>$AV$4*'NIFTY MEMBS'!AW112</f>
        <v>19907.962016070127</v>
      </c>
      <c r="AW123" s="4">
        <f>$AW$4*'NIFTY MEMBS'!AX112</f>
        <v>20852.940122121716</v>
      </c>
      <c r="AX123" s="4">
        <f>$AX$4*'NIFTY MEMBS'!AY112</f>
        <v>17121.931091396742</v>
      </c>
      <c r="AY123" s="4">
        <f t="shared" si="10"/>
        <v>1023349.5284981922</v>
      </c>
      <c r="AZ123" s="4">
        <f t="shared" si="11"/>
        <v>104.42342127532574</v>
      </c>
    </row>
    <row r="124" spans="1:52" ht="14.25" customHeight="1" x14ac:dyDescent="0.3">
      <c r="A124" s="2">
        <v>45821</v>
      </c>
      <c r="B124" s="4">
        <f>$B$4*'NIFTY MEMBS'!C113</f>
        <v>23384.237461617195</v>
      </c>
      <c r="C124" s="4">
        <f>$C$4*'NIFTY MEMBS'!D113</f>
        <v>21512.71062846373</v>
      </c>
      <c r="D124" s="4">
        <f>$D$4*'NIFTY MEMBS'!E113</f>
        <v>23066.992542457854</v>
      </c>
      <c r="E124" s="4">
        <f>$E$4*'NIFTY MEMBS'!F113</f>
        <v>16757.407384892216</v>
      </c>
      <c r="F124" s="4">
        <f>$F$4*'NIFTY MEMBS'!G113</f>
        <v>22063.646632649084</v>
      </c>
      <c r="G124" s="4">
        <f>$G$4*'NIFTY MEMBS'!H113</f>
        <v>19978.567826525465</v>
      </c>
      <c r="H124" s="4">
        <f>$H$4*'NIFTY MEMBS'!I113</f>
        <v>17019.920318725101</v>
      </c>
      <c r="I124" s="4">
        <f>$I$4*'NIFTY MEMBS'!J113</f>
        <v>19973.300030145128</v>
      </c>
      <c r="J124" s="4">
        <f>$J$4*'NIFTY MEMBS'!K113</f>
        <v>26908.713393796952</v>
      </c>
      <c r="K124" s="4">
        <f>$K$4*'NIFTY MEMBS'!L113</f>
        <v>18081.342012144509</v>
      </c>
      <c r="L124" s="4">
        <f>$L$4*'NIFTY MEMBS'!M113</f>
        <v>19563.190184049079</v>
      </c>
      <c r="M124" s="4">
        <f>$M$4*'NIFTY MEMBS'!N113</f>
        <v>22140.734991033434</v>
      </c>
      <c r="N124" s="4">
        <f>$N$4*'NIFTY MEMBS'!O113</f>
        <v>19506.813757300453</v>
      </c>
      <c r="O124" s="4">
        <f>$O$4*'NIFTY MEMBS'!P113</f>
        <v>23567.434578394095</v>
      </c>
      <c r="P124" s="4">
        <f>$P$4*'NIFTY MEMBS'!Q113</f>
        <v>17733.727346426422</v>
      </c>
      <c r="Q124" s="4">
        <f>$Q$4*'NIFTY MEMBS'!R113</f>
        <v>17860.78996798857</v>
      </c>
      <c r="R124" s="4">
        <f>$R$4*'NIFTY MEMBS'!S113</f>
        <v>19610.37826504761</v>
      </c>
      <c r="S124" s="4">
        <f>$S$4*'NIFTY MEMBS'!T113</f>
        <v>22500.466504944954</v>
      </c>
      <c r="T124" s="4">
        <f>$T$4*'NIFTY MEMBS'!U113</f>
        <v>25513.828977416899</v>
      </c>
      <c r="U124" s="4">
        <f>$U$4*'NIFTY MEMBS'!V113</f>
        <v>21032.930221122671</v>
      </c>
      <c r="V124" s="4">
        <f>$V$4*'NIFTY MEMBS'!W113</f>
        <v>19898.096808032369</v>
      </c>
      <c r="W124" s="4">
        <f>$W$4*'NIFTY MEMBS'!X113</f>
        <v>18016.636528028936</v>
      </c>
      <c r="X124" s="4">
        <f>$X$4*'NIFTY MEMBS'!Y113</f>
        <v>23057.356199228685</v>
      </c>
      <c r="Y124" s="4">
        <f>$Y$4*'NIFTY MEMBS'!Z113</f>
        <v>21228.951255539145</v>
      </c>
      <c r="Z124" s="4">
        <f>$Z$4*'NIFTY MEMBS'!AA113</f>
        <v>26825.45083361688</v>
      </c>
      <c r="AA124" s="4">
        <f>$AA$4*'NIFTY MEMBS'!AB113</f>
        <v>21806.8363797007</v>
      </c>
      <c r="AB124" s="4">
        <f>$AB$4*'NIFTY MEMBS'!AC113</f>
        <v>17330.003330003328</v>
      </c>
      <c r="AC124" s="4">
        <f>$AC$4*'NIFTY MEMBS'!AD113</f>
        <v>18395.618556701033</v>
      </c>
      <c r="AD124" s="4">
        <f>$AD$4*'NIFTY MEMBS'!AE113</f>
        <v>19007.007007007003</v>
      </c>
      <c r="AE124" s="4">
        <f>$AE$4*'NIFTY MEMBS'!AF113</f>
        <v>19366.058199998857</v>
      </c>
      <c r="AF124" s="4">
        <f>$AF$4*'NIFTY MEMBS'!AG113</f>
        <v>19215.065194281124</v>
      </c>
      <c r="AG124" s="4">
        <f>$AG$4*'NIFTY MEMBS'!AH113</f>
        <v>20248.447204968943</v>
      </c>
      <c r="AH124" s="4">
        <f>$AH$4*'NIFTY MEMBS'!AI113</f>
        <v>21913.665615607315</v>
      </c>
      <c r="AI124" s="4">
        <f>$AI$4*'NIFTY MEMBS'!AJ113</f>
        <v>22250.987275120664</v>
      </c>
      <c r="AJ124" s="4">
        <f>$AJ$4*'NIFTY MEMBS'!AK113</f>
        <v>19316.800788306788</v>
      </c>
      <c r="AK124" s="4">
        <f>$AK$4*'NIFTY MEMBS'!AL113</f>
        <v>21815.2038163094</v>
      </c>
      <c r="AL124" s="4">
        <f>$AL$4*'NIFTY MEMBS'!AM113</f>
        <v>21775.530673653611</v>
      </c>
      <c r="AM124" s="4">
        <f>$AM$4*'NIFTY MEMBS'!AN113</f>
        <v>15817.658335750313</v>
      </c>
      <c r="AN124" s="4">
        <f>$AN$4*'NIFTY MEMBS'!AO113</f>
        <v>25067.123678948868</v>
      </c>
      <c r="AO124" s="4">
        <f>$AO$4*'NIFTY MEMBS'!AP113</f>
        <v>24395.657809462082</v>
      </c>
      <c r="AP124" s="4">
        <f>$AP$4*'NIFTY MEMBS'!AQ113</f>
        <v>21647.693734716246</v>
      </c>
      <c r="AQ124" s="4">
        <f>$AQ$4*'NIFTY MEMBS'!AR113</f>
        <v>19473.545206444229</v>
      </c>
      <c r="AR124" s="4">
        <f>$AR$4*'NIFTY MEMBS'!AS113</f>
        <v>19687.397815708588</v>
      </c>
      <c r="AS124" s="4">
        <f>$AS$4*'NIFTY MEMBS'!AT113</f>
        <v>18981.905517901119</v>
      </c>
      <c r="AT124" s="4">
        <f>$AT$4*'NIFTY MEMBS'!AU113</f>
        <v>22858.170729618141</v>
      </c>
      <c r="AU124" s="4">
        <f>$AU$4*'NIFTY MEMBS'!AV113</f>
        <v>23435.836140389005</v>
      </c>
      <c r="AV124" s="4">
        <f>$AV$4*'NIFTY MEMBS'!AW113</f>
        <v>19905.040175310445</v>
      </c>
      <c r="AW124" s="4">
        <f>$AW$4*'NIFTY MEMBS'!AX113</f>
        <v>20714.328390311519</v>
      </c>
      <c r="AX124" s="4">
        <f>$AX$4*'NIFTY MEMBS'!AY113</f>
        <v>16852.692387043535</v>
      </c>
      <c r="AY124" s="4">
        <f t="shared" si="10"/>
        <v>1018081.8986128501</v>
      </c>
      <c r="AZ124" s="4">
        <f t="shared" si="11"/>
        <v>103.8859080217194</v>
      </c>
    </row>
    <row r="125" spans="1:52" ht="14.25" customHeight="1" x14ac:dyDescent="0.3">
      <c r="A125" s="2">
        <v>45824</v>
      </c>
      <c r="B125" s="4">
        <f>$B$4*'NIFTY MEMBS'!C114</f>
        <v>23546.366427840327</v>
      </c>
      <c r="C125" s="4">
        <f>$C$4*'NIFTY MEMBS'!D114</f>
        <v>21712.400996208129</v>
      </c>
      <c r="D125" s="4">
        <f>$D$4*'NIFTY MEMBS'!E114</f>
        <v>23328.946543836559</v>
      </c>
      <c r="E125" s="4">
        <f>$E$4*'NIFTY MEMBS'!F114</f>
        <v>17003.489404126496</v>
      </c>
      <c r="F125" s="4">
        <f>$F$4*'NIFTY MEMBS'!G114</f>
        <v>22231.91679975071</v>
      </c>
      <c r="G125" s="4">
        <f>$G$4*'NIFTY MEMBS'!H114</f>
        <v>19982.349974785677</v>
      </c>
      <c r="H125" s="4">
        <f>$H$4*'NIFTY MEMBS'!I114</f>
        <v>17251.527224435591</v>
      </c>
      <c r="I125" s="4">
        <f>$I$4*'NIFTY MEMBS'!J114</f>
        <v>20045.648335558333</v>
      </c>
      <c r="J125" s="4">
        <f>$J$4*'NIFTY MEMBS'!K114</f>
        <v>27050.019465632344</v>
      </c>
      <c r="K125" s="4">
        <f>$K$4*'NIFTY MEMBS'!L114</f>
        <v>18269.188764143113</v>
      </c>
      <c r="L125" s="4">
        <f>$L$4*'NIFTY MEMBS'!M114</f>
        <v>19788.411724608042</v>
      </c>
      <c r="M125" s="4">
        <f>$M$4*'NIFTY MEMBS'!N114</f>
        <v>22358.430805742177</v>
      </c>
      <c r="N125" s="4">
        <f>$N$4*'NIFTY MEMBS'!O114</f>
        <v>19621.025308241402</v>
      </c>
      <c r="O125" s="4">
        <f>$O$4*'NIFTY MEMBS'!P114</f>
        <v>23920.823082084542</v>
      </c>
      <c r="P125" s="4">
        <f>$P$4*'NIFTY MEMBS'!Q114</f>
        <v>18023.483877716466</v>
      </c>
      <c r="Q125" s="4">
        <f>$Q$4*'NIFTY MEMBS'!R114</f>
        <v>17834.334241646604</v>
      </c>
      <c r="R125" s="4">
        <f>$R$4*'NIFTY MEMBS'!S114</f>
        <v>20083.864768061499</v>
      </c>
      <c r="S125" s="4">
        <f>$S$4*'NIFTY MEMBS'!T114</f>
        <v>22679.604403806683</v>
      </c>
      <c r="T125" s="4">
        <f>$T$4*'NIFTY MEMBS'!U114</f>
        <v>25732.047703628519</v>
      </c>
      <c r="U125" s="4">
        <f>$U$4*'NIFTY MEMBS'!V114</f>
        <v>21132.504571507601</v>
      </c>
      <c r="V125" s="4">
        <f>$V$4*'NIFTY MEMBS'!W114</f>
        <v>20002.997152704931</v>
      </c>
      <c r="W125" s="4">
        <f>$W$4*'NIFTY MEMBS'!X114</f>
        <v>18238.698010849912</v>
      </c>
      <c r="X125" s="4">
        <f>$X$4*'NIFTY MEMBS'!Y114</f>
        <v>22985.148108640351</v>
      </c>
      <c r="Y125" s="4">
        <f>$Y$4*'NIFTY MEMBS'!Z114</f>
        <v>21674.614897657735</v>
      </c>
      <c r="Z125" s="4">
        <f>$Z$4*'NIFTY MEMBS'!AA114</f>
        <v>27482.136781218109</v>
      </c>
      <c r="AA125" s="4">
        <f>$AA$4*'NIFTY MEMBS'!AB114</f>
        <v>22172.40046385775</v>
      </c>
      <c r="AB125" s="4">
        <f>$AB$4*'NIFTY MEMBS'!AC114</f>
        <v>17508.491508491508</v>
      </c>
      <c r="AC125" s="4">
        <f>$AC$4*'NIFTY MEMBS'!AD114</f>
        <v>18598.582474226805</v>
      </c>
      <c r="AD125" s="4">
        <f>$AD$4*'NIFTY MEMBS'!AE114</f>
        <v>18328.995662328995</v>
      </c>
      <c r="AE125" s="4">
        <f>$AE$4*'NIFTY MEMBS'!AF114</f>
        <v>19517.078444720297</v>
      </c>
      <c r="AF125" s="4">
        <f>$AF$4*'NIFTY MEMBS'!AG114</f>
        <v>19480.615277807909</v>
      </c>
      <c r="AG125" s="4">
        <f>$AG$4*'NIFTY MEMBS'!AH114</f>
        <v>20411.490683229815</v>
      </c>
      <c r="AH125" s="4">
        <f>$AH$4*'NIFTY MEMBS'!AI114</f>
        <v>22033.523261603146</v>
      </c>
      <c r="AI125" s="4">
        <f>$AI$4*'NIFTY MEMBS'!AJ114</f>
        <v>22549.363756033345</v>
      </c>
      <c r="AJ125" s="4">
        <f>$AJ$4*'NIFTY MEMBS'!AK114</f>
        <v>19323.370011496143</v>
      </c>
      <c r="AK125" s="4">
        <f>$AK$4*'NIFTY MEMBS'!AL114</f>
        <v>22151.792477939518</v>
      </c>
      <c r="AL125" s="4">
        <f>$AL$4*'NIFTY MEMBS'!AM114</f>
        <v>21963.850735881111</v>
      </c>
      <c r="AM125" s="4">
        <f>$AM$4*'NIFTY MEMBS'!AN114</f>
        <v>16070.910647208213</v>
      </c>
      <c r="AN125" s="4">
        <f>$AN$4*'NIFTY MEMBS'!AO114</f>
        <v>25675.521279634388</v>
      </c>
      <c r="AO125" s="4">
        <f>$AO$4*'NIFTY MEMBS'!AP114</f>
        <v>24969.215813350609</v>
      </c>
      <c r="AP125" s="4">
        <f>$AP$4*'NIFTY MEMBS'!AQ114</f>
        <v>21910.785057762037</v>
      </c>
      <c r="AQ125" s="4">
        <f>$AQ$4*'NIFTY MEMBS'!AR114</f>
        <v>19883.205681251286</v>
      </c>
      <c r="AR125" s="4">
        <f>$AR$4*'NIFTY MEMBS'!AS114</f>
        <v>19972.532862468121</v>
      </c>
      <c r="AS125" s="4">
        <f>$AS$4*'NIFTY MEMBS'!AT114</f>
        <v>19306.208571641801</v>
      </c>
      <c r="AT125" s="4">
        <f>$AT$4*'NIFTY MEMBS'!AU114</f>
        <v>23166.53247220461</v>
      </c>
      <c r="AU125" s="4">
        <f>$AU$4*'NIFTY MEMBS'!AV114</f>
        <v>23544.496359882651</v>
      </c>
      <c r="AV125" s="4">
        <f>$AV$4*'NIFTY MEMBS'!AW114</f>
        <v>19675.675675675677</v>
      </c>
      <c r="AW125" s="4">
        <f>$AW$4*'NIFTY MEMBS'!AX114</f>
        <v>20861.065637434724</v>
      </c>
      <c r="AX125" s="4">
        <f>$AX$4*'NIFTY MEMBS'!AY114</f>
        <v>16943.470187744999</v>
      </c>
      <c r="AY125" s="4">
        <f t="shared" si="10"/>
        <v>1027999.1543783075</v>
      </c>
      <c r="AZ125" s="4">
        <f t="shared" si="11"/>
        <v>104.89787289574566</v>
      </c>
    </row>
    <row r="126" spans="1:52" ht="14.25" customHeight="1" x14ac:dyDescent="0.3">
      <c r="A126" s="2">
        <v>45825</v>
      </c>
      <c r="B126" s="4">
        <f>$B$4*'NIFTY MEMBS'!C115</f>
        <v>23438.280450358237</v>
      </c>
      <c r="C126" s="4">
        <f>$C$4*'NIFTY MEMBS'!D115</f>
        <v>21647.333348291413</v>
      </c>
      <c r="D126" s="4">
        <f>$D$4*'NIFTY MEMBS'!E115</f>
        <v>23247.477596039353</v>
      </c>
      <c r="E126" s="4">
        <f>$E$4*'NIFTY MEMBS'!F115</f>
        <v>17095.891743364664</v>
      </c>
      <c r="F126" s="4">
        <f>$F$4*'NIFTY MEMBS'!G115</f>
        <v>22174.268686947376</v>
      </c>
      <c r="G126" s="4">
        <f>$G$4*'NIFTY MEMBS'!H115</f>
        <v>19977.307110438727</v>
      </c>
      <c r="H126" s="4">
        <f>$H$4*'NIFTY MEMBS'!I115</f>
        <v>17422.576361221778</v>
      </c>
      <c r="I126" s="4">
        <f>$I$4*'NIFTY MEMBS'!J115</f>
        <v>20055.983807760218</v>
      </c>
      <c r="J126" s="4">
        <f>$J$4*'NIFTY MEMBS'!K115</f>
        <v>26617.449857972977</v>
      </c>
      <c r="K126" s="4">
        <f>$K$4*'NIFTY MEMBS'!L115</f>
        <v>18234.240531213138</v>
      </c>
      <c r="L126" s="4">
        <f>$L$4*'NIFTY MEMBS'!M115</f>
        <v>19753.510565780503</v>
      </c>
      <c r="M126" s="4">
        <f>$M$4*'NIFTY MEMBS'!N115</f>
        <v>22474.416280791917</v>
      </c>
      <c r="N126" s="4">
        <f>$N$4*'NIFTY MEMBS'!O115</f>
        <v>19514.600908500972</v>
      </c>
      <c r="O126" s="4">
        <f>$O$4*'NIFTY MEMBS'!P115</f>
        <v>23896.220084992172</v>
      </c>
      <c r="P126" s="4">
        <f>$P$4*'NIFTY MEMBS'!Q115</f>
        <v>18092.523340045504</v>
      </c>
      <c r="Q126" s="4">
        <f>$Q$4*'NIFTY MEMBS'!R115</f>
        <v>17462.895843805392</v>
      </c>
      <c r="R126" s="4">
        <f>$R$4*'NIFTY MEMBS'!S115</f>
        <v>19888.180309251333</v>
      </c>
      <c r="S126" s="4">
        <f>$S$4*'NIFTY MEMBS'!T115</f>
        <v>22674.006344467252</v>
      </c>
      <c r="T126" s="4">
        <f>$T$4*'NIFTY MEMBS'!U115</f>
        <v>25416.138036031462</v>
      </c>
      <c r="U126" s="4">
        <f>$U$4*'NIFTY MEMBS'!V115</f>
        <v>20933.355870737741</v>
      </c>
      <c r="V126" s="4">
        <f>$V$4*'NIFTY MEMBS'!W115</f>
        <v>20092.911733852838</v>
      </c>
      <c r="W126" s="4">
        <f>$W$4*'NIFTY MEMBS'!X115</f>
        <v>17884.267631103077</v>
      </c>
      <c r="X126" s="4">
        <f>$X$4*'NIFTY MEMBS'!Y115</f>
        <v>22848.937392303269</v>
      </c>
      <c r="Y126" s="4">
        <f>$Y$4*'NIFTY MEMBS'!Z115</f>
        <v>21296.476049799538</v>
      </c>
      <c r="Z126" s="4">
        <f>$Z$4*'NIFTY MEMBS'!AA115</f>
        <v>27339.231030962917</v>
      </c>
      <c r="AA126" s="4">
        <f>$AA$4*'NIFTY MEMBS'!AB115</f>
        <v>22080.733337014743</v>
      </c>
      <c r="AB126" s="4">
        <f>$AB$4*'NIFTY MEMBS'!AC115</f>
        <v>17509.823509823509</v>
      </c>
      <c r="AC126" s="4">
        <f>$AC$4*'NIFTY MEMBS'!AD115</f>
        <v>18592.139175257733</v>
      </c>
      <c r="AD126" s="4">
        <f>$AD$4*'NIFTY MEMBS'!AE115</f>
        <v>18011.344678011345</v>
      </c>
      <c r="AE126" s="4">
        <f>$AE$4*'NIFTY MEMBS'!AF115</f>
        <v>19436.991951307413</v>
      </c>
      <c r="AF126" s="4">
        <f>$AF$4*'NIFTY MEMBS'!AG115</f>
        <v>19654.177423903846</v>
      </c>
      <c r="AG126" s="4">
        <f>$AG$4*'NIFTY MEMBS'!AH115</f>
        <v>20253.6231884058</v>
      </c>
      <c r="AH126" s="4">
        <f>$AH$4*'NIFTY MEMBS'!AI115</f>
        <v>21777.212295550518</v>
      </c>
      <c r="AI126" s="4">
        <f>$AI$4*'NIFTY MEMBS'!AJ115</f>
        <v>22319.730876115253</v>
      </c>
      <c r="AJ126" s="4">
        <f>$AJ$4*'NIFTY MEMBS'!AK115</f>
        <v>19037.608802759078</v>
      </c>
      <c r="AK126" s="4">
        <f>$AK$4*'NIFTY MEMBS'!AL115</f>
        <v>21877.444055442949</v>
      </c>
      <c r="AL126" s="4">
        <f>$AL$4*'NIFTY MEMBS'!AM115</f>
        <v>21865.59679037111</v>
      </c>
      <c r="AM126" s="4">
        <f>$AM$4*'NIFTY MEMBS'!AN115</f>
        <v>15920.940004668899</v>
      </c>
      <c r="AN126" s="4">
        <f>$AN$4*'NIFTY MEMBS'!AO115</f>
        <v>25709.797200799771</v>
      </c>
      <c r="AO126" s="4">
        <f>$AO$4*'NIFTY MEMBS'!AP115</f>
        <v>25079.390797148408</v>
      </c>
      <c r="AP126" s="4">
        <f>$AP$4*'NIFTY MEMBS'!AQ115</f>
        <v>21644.320769036174</v>
      </c>
      <c r="AQ126" s="4">
        <f>$AQ$4*'NIFTY MEMBS'!AR115</f>
        <v>20173.137306687793</v>
      </c>
      <c r="AR126" s="4">
        <f>$AR$4*'NIFTY MEMBS'!AS115</f>
        <v>19665.162513897063</v>
      </c>
      <c r="AS126" s="4">
        <f>$AS$4*'NIFTY MEMBS'!AT115</f>
        <v>19014.471514929475</v>
      </c>
      <c r="AT126" s="4">
        <f>$AT$4*'NIFTY MEMBS'!AU115</f>
        <v>22784.506535555818</v>
      </c>
      <c r="AU126" s="4">
        <f>$AU$4*'NIFTY MEMBS'!AV115</f>
        <v>23288.058241877647</v>
      </c>
      <c r="AV126" s="4">
        <f>$AV$4*'NIFTY MEMBS'!AW115</f>
        <v>19266.617969320672</v>
      </c>
      <c r="AW126" s="4">
        <f>$AW$4*'NIFTY MEMBS'!AX115</f>
        <v>20892.133784219768</v>
      </c>
      <c r="AX126" s="4">
        <f>$AX$4*'NIFTY MEMBS'!AY115</f>
        <v>16693.831235815971</v>
      </c>
      <c r="AY126" s="4">
        <f t="shared" si="10"/>
        <v>1022027.2748739546</v>
      </c>
      <c r="AZ126" s="4">
        <f t="shared" si="11"/>
        <v>104.28849743611781</v>
      </c>
    </row>
    <row r="127" spans="1:52" ht="14.25" customHeight="1" x14ac:dyDescent="0.3">
      <c r="A127" s="2">
        <v>45826</v>
      </c>
      <c r="B127" s="4">
        <f>$B$4*'NIFTY MEMBS'!C116</f>
        <v>23420.266120777887</v>
      </c>
      <c r="C127" s="4">
        <f>$C$4*'NIFTY MEMBS'!D116</f>
        <v>21695.573156229668</v>
      </c>
      <c r="D127" s="4">
        <f>$D$4*'NIFTY MEMBS'!E116</f>
        <v>23386.601491508431</v>
      </c>
      <c r="E127" s="4">
        <f>$E$4*'NIFTY MEMBS'!F116</f>
        <v>16785.12808666367</v>
      </c>
      <c r="F127" s="4">
        <f>$F$4*'NIFTY MEMBS'!G116</f>
        <v>22009.114634051337</v>
      </c>
      <c r="G127" s="4">
        <f>$G$4*'NIFTY MEMBS'!H116</f>
        <v>19967.221381744828</v>
      </c>
      <c r="H127" s="4">
        <f>$H$4*'NIFTY MEMBS'!I116</f>
        <v>17348.207171314742</v>
      </c>
      <c r="I127" s="4">
        <f>$I$4*'NIFTY MEMBS'!J116</f>
        <v>19786.40024116102</v>
      </c>
      <c r="J127" s="4">
        <f>$J$4*'NIFTY MEMBS'!K116</f>
        <v>26502.097962597149</v>
      </c>
      <c r="K127" s="4">
        <f>$K$4*'NIFTY MEMBS'!L116</f>
        <v>18168.712594469442</v>
      </c>
      <c r="L127" s="4">
        <f>$L$4*'NIFTY MEMBS'!M116</f>
        <v>19640.081799591</v>
      </c>
      <c r="M127" s="4">
        <f>$M$4*'NIFTY MEMBS'!N116</f>
        <v>22747.428245139763</v>
      </c>
      <c r="N127" s="4">
        <f>$N$4*'NIFTY MEMBS'!O116</f>
        <v>19734.587929915637</v>
      </c>
      <c r="O127" s="4">
        <f>$O$4*'NIFTY MEMBS'!P116</f>
        <v>23847.014090807425</v>
      </c>
      <c r="P127" s="4">
        <f>$P$4*'NIFTY MEMBS'!Q116</f>
        <v>17949.214153089779</v>
      </c>
      <c r="Q127" s="4">
        <f>$Q$4*'NIFTY MEMBS'!R116</f>
        <v>17439.61480462446</v>
      </c>
      <c r="R127" s="4">
        <f>$R$4*'NIFTY MEMBS'!S116</f>
        <v>19928.365510614134</v>
      </c>
      <c r="S127" s="4">
        <f>$S$4*'NIFTY MEMBS'!T116</f>
        <v>22784.101511476023</v>
      </c>
      <c r="T127" s="4">
        <f>$T$4*'NIFTY MEMBS'!U116</f>
        <v>25138.289774168992</v>
      </c>
      <c r="U127" s="4">
        <f>$U$4*'NIFTY MEMBS'!V116</f>
        <v>21315.057547213302</v>
      </c>
      <c r="V127" s="4">
        <f>$V$4*'NIFTY MEMBS'!W116</f>
        <v>19925.071182376741</v>
      </c>
      <c r="W127" s="4">
        <f>$W$4*'NIFTY MEMBS'!X116</f>
        <v>17968.173598553345</v>
      </c>
      <c r="X127" s="4">
        <f>$X$4*'NIFTY MEMBS'!Y116</f>
        <v>22525.642077623692</v>
      </c>
      <c r="Y127" s="4">
        <f>$Y$4*'NIFTY MEMBS'!Z116</f>
        <v>21131.884363789832</v>
      </c>
      <c r="Z127" s="4">
        <f>$Z$4*'NIFTY MEMBS'!AA116</f>
        <v>27254.168084382447</v>
      </c>
      <c r="AA127" s="4">
        <f>$AA$4*'NIFTY MEMBS'!AB116</f>
        <v>21786.956761831134</v>
      </c>
      <c r="AB127" s="4">
        <f>$AB$4*'NIFTY MEMBS'!AC116</f>
        <v>17421.91142191142</v>
      </c>
      <c r="AC127" s="4">
        <f>$AC$4*'NIFTY MEMBS'!AD116</f>
        <v>18511.597938144332</v>
      </c>
      <c r="AD127" s="4">
        <f>$AD$4*'NIFTY MEMBS'!AE116</f>
        <v>17891.224557891223</v>
      </c>
      <c r="AE127" s="4">
        <f>$AE$4*'NIFTY MEMBS'!AF116</f>
        <v>19376.355034866228</v>
      </c>
      <c r="AF127" s="4">
        <f>$AF$4*'NIFTY MEMBS'!AG116</f>
        <v>19798.234005163475</v>
      </c>
      <c r="AG127" s="4">
        <f>$AG$4*'NIFTY MEMBS'!AH116</f>
        <v>20204.451345755697</v>
      </c>
      <c r="AH127" s="4">
        <f>$AH$4*'NIFTY MEMBS'!AI116</f>
        <v>21581.752134388087</v>
      </c>
      <c r="AI127" s="4">
        <f>$AI$4*'NIFTY MEMBS'!AJ116</f>
        <v>22248.062015503878</v>
      </c>
      <c r="AJ127" s="4">
        <f>$AJ$4*'NIFTY MEMBS'!AK116</f>
        <v>18929.21662013467</v>
      </c>
      <c r="AK127" s="4">
        <f>$AK$4*'NIFTY MEMBS'!AL116</f>
        <v>21910.202076039554</v>
      </c>
      <c r="AL127" s="4">
        <f>$AL$4*'NIFTY MEMBS'!AM116</f>
        <v>22078.480338976111</v>
      </c>
      <c r="AM127" s="4">
        <f>$AM$4*'NIFTY MEMBS'!AN116</f>
        <v>16227.955376659758</v>
      </c>
      <c r="AN127" s="4">
        <f>$AN$4*'NIFTY MEMBS'!AO116</f>
        <v>25666.952299343044</v>
      </c>
      <c r="AO127" s="4">
        <f>$AO$4*'NIFTY MEMBS'!AP116</f>
        <v>24828.25664290343</v>
      </c>
      <c r="AP127" s="4">
        <f>$AP$4*'NIFTY MEMBS'!AQ116</f>
        <v>21767.434016358882</v>
      </c>
      <c r="AQ127" s="4">
        <f>$AQ$4*'NIFTY MEMBS'!AR116</f>
        <v>20080.406139038063</v>
      </c>
      <c r="AR127" s="4">
        <f>$AR$4*'NIFTY MEMBS'!AS116</f>
        <v>19594.532731672225</v>
      </c>
      <c r="AS127" s="4">
        <f>$AS$4*'NIFTY MEMBS'!AT116</f>
        <v>18816.36169967366</v>
      </c>
      <c r="AT127" s="4">
        <f>$AT$4*'NIFTY MEMBS'!AU116</f>
        <v>22685.145529611291</v>
      </c>
      <c r="AU127" s="4">
        <f>$AU$4*'NIFTY MEMBS'!AV116</f>
        <v>23148.973160925787</v>
      </c>
      <c r="AV127" s="4">
        <f>$AV$4*'NIFTY MEMBS'!AW116</f>
        <v>19186.267348429512</v>
      </c>
      <c r="AW127" s="4">
        <f>$AW$4*'NIFTY MEMBS'!AX116</f>
        <v>20829.51951916068</v>
      </c>
      <c r="AX127" s="4">
        <f>$AX$4*'NIFTY MEMBS'!AY116</f>
        <v>17546.936249226328</v>
      </c>
      <c r="AY127" s="4">
        <f t="shared" si="10"/>
        <v>1020515.2024774933</v>
      </c>
      <c r="AZ127" s="4">
        <f t="shared" si="11"/>
        <v>104.1342043344381</v>
      </c>
    </row>
    <row r="128" spans="1:52" ht="14.25" customHeight="1" x14ac:dyDescent="0.3">
      <c r="A128" s="2">
        <v>45827</v>
      </c>
      <c r="B128" s="4">
        <f>$B$4*'NIFTY MEMBS'!C117</f>
        <v>23472.671443193449</v>
      </c>
      <c r="C128" s="4">
        <f>$C$4*'NIFTY MEMBS'!D117</f>
        <v>21711.279140209565</v>
      </c>
      <c r="D128" s="4">
        <f>$D$4*'NIFTY MEMBS'!E117</f>
        <v>23525.725386977501</v>
      </c>
      <c r="E128" s="4">
        <f>$E$4*'NIFTY MEMBS'!F117</f>
        <v>16651.874186920206</v>
      </c>
      <c r="F128" s="4">
        <f>$F$4*'NIFTY MEMBS'!G117</f>
        <v>21988.85989171503</v>
      </c>
      <c r="G128" s="4">
        <f>$G$4*'NIFTY MEMBS'!H117</f>
        <v>19795.76399394856</v>
      </c>
      <c r="H128" s="4">
        <f>$H$4*'NIFTY MEMBS'!I117</f>
        <v>17194.156706507303</v>
      </c>
      <c r="I128" s="4">
        <f>$I$4*'NIFTY MEMBS'!J117</f>
        <v>19759.700271306145</v>
      </c>
      <c r="J128" s="4">
        <f>$J$4*'NIFTY MEMBS'!K117</f>
        <v>25968.595446483931</v>
      </c>
      <c r="K128" s="4">
        <f>$K$4*'NIFTY MEMBS'!L117</f>
        <v>18173.081123585689</v>
      </c>
      <c r="L128" s="4">
        <f>$L$4*'NIFTY MEMBS'!M117</f>
        <v>19746.966598500341</v>
      </c>
      <c r="M128" s="4">
        <f>$M$4*'NIFTY MEMBS'!N117</f>
        <v>22850.92297672261</v>
      </c>
      <c r="N128" s="4">
        <f>$N$4*'NIFTY MEMBS'!O117</f>
        <v>20083.062946138871</v>
      </c>
      <c r="O128" s="4">
        <f>$O$4*'NIFTY MEMBS'!P117</f>
        <v>24003.578617758889</v>
      </c>
      <c r="P128" s="4">
        <f>$P$4*'NIFTY MEMBS'!Q117</f>
        <v>17928.293103899163</v>
      </c>
      <c r="Q128" s="4">
        <f>$Q$4*'NIFTY MEMBS'!R117</f>
        <v>17435.381888409745</v>
      </c>
      <c r="R128" s="4">
        <f>$R$4*'NIFTY MEMBS'!S117</f>
        <v>19952.826067965405</v>
      </c>
      <c r="S128" s="4">
        <f>$S$4*'NIFTY MEMBS'!T117</f>
        <v>22718.790819182686</v>
      </c>
      <c r="T128" s="4">
        <f>$T$4*'NIFTY MEMBS'!U117</f>
        <v>24963.207307789897</v>
      </c>
      <c r="U128" s="4">
        <f>$U$4*'NIFTY MEMBS'!V117</f>
        <v>21546.168385143756</v>
      </c>
      <c r="V128" s="4">
        <f>$V$4*'NIFTY MEMBS'!W117</f>
        <v>19784.205005245018</v>
      </c>
      <c r="W128" s="4">
        <f>$W$4*'NIFTY MEMBS'!X117</f>
        <v>18041.229656419531</v>
      </c>
      <c r="X128" s="4">
        <f>$X$4*'NIFTY MEMBS'!Y117</f>
        <v>21957.823910724539</v>
      </c>
      <c r="Y128" s="4">
        <f>$Y$4*'NIFTY MEMBS'!Z117</f>
        <v>21233.171555180419</v>
      </c>
      <c r="Z128" s="4">
        <f>$Z$4*'NIFTY MEMBS'!AA117</f>
        <v>27121.469887716914</v>
      </c>
      <c r="AA128" s="4">
        <f>$AA$4*'NIFTY MEMBS'!AB117</f>
        <v>22001.214865536473</v>
      </c>
      <c r="AB128" s="4">
        <f>$AB$4*'NIFTY MEMBS'!AC117</f>
        <v>17687.645687645687</v>
      </c>
      <c r="AC128" s="4">
        <f>$AC$4*'NIFTY MEMBS'!AD117</f>
        <v>18456.829896907217</v>
      </c>
      <c r="AD128" s="4">
        <f>$AD$4*'NIFTY MEMBS'!AE117</f>
        <v>17945.945945945943</v>
      </c>
      <c r="AE128" s="4">
        <f>$AE$4*'NIFTY MEMBS'!AF117</f>
        <v>19440.424229596538</v>
      </c>
      <c r="AF128" s="4">
        <f>$AF$4*'NIFTY MEMBS'!AG117</f>
        <v>19681.947367279194</v>
      </c>
      <c r="AG128" s="4">
        <f>$AG$4*'NIFTY MEMBS'!AH117</f>
        <v>19888.71635610766</v>
      </c>
      <c r="AH128" s="4">
        <f>$AH$4*'NIFTY MEMBS'!AI117</f>
        <v>21379.838099979719</v>
      </c>
      <c r="AI128" s="4">
        <f>$AI$4*'NIFTY MEMBS'!AJ117</f>
        <v>22085.710106771974</v>
      </c>
      <c r="AJ128" s="4">
        <f>$AJ$4*'NIFTY MEMBS'!AK117</f>
        <v>18663.163080965682</v>
      </c>
      <c r="AK128" s="4">
        <f>$AK$4*'NIFTY MEMBS'!AL117</f>
        <v>22055.975267694448</v>
      </c>
      <c r="AL128" s="4">
        <f>$AL$4*'NIFTY MEMBS'!AM117</f>
        <v>22489.91873579923</v>
      </c>
      <c r="AM128" s="4">
        <f>$AM$4*'NIFTY MEMBS'!AN117</f>
        <v>16195.414576863492</v>
      </c>
      <c r="AN128" s="4">
        <f>$AN$4*'NIFTY MEMBS'!AO117</f>
        <v>25555.555555555555</v>
      </c>
      <c r="AO128" s="4">
        <f>$AO$4*'NIFTY MEMBS'!AP117</f>
        <v>24687.297472456252</v>
      </c>
      <c r="AP128" s="4">
        <f>$AP$4*'NIFTY MEMBS'!AQ117</f>
        <v>21632.515389155913</v>
      </c>
      <c r="AQ128" s="4">
        <f>$AQ$4*'NIFTY MEMBS'!AR117</f>
        <v>19766.998268626932</v>
      </c>
      <c r="AR128" s="4">
        <f>$AR$4*'NIFTY MEMBS'!AS117</f>
        <v>19410.110522529594</v>
      </c>
      <c r="AS128" s="4">
        <f>$AS$4*'NIFTY MEMBS'!AT117</f>
        <v>19022.613014186561</v>
      </c>
      <c r="AT128" s="4">
        <f>$AT$4*'NIFTY MEMBS'!AU117</f>
        <v>22345.947612766176</v>
      </c>
      <c r="AU128" s="4">
        <f>$AU$4*'NIFTY MEMBS'!AV117</f>
        <v>23650.983374986419</v>
      </c>
      <c r="AV128" s="4">
        <f>$AV$4*'NIFTY MEMBS'!AW117</f>
        <v>19373.26515704894</v>
      </c>
      <c r="AW128" s="4">
        <f>$AW$4*'NIFTY MEMBS'!AX117</f>
        <v>20955.703992256862</v>
      </c>
      <c r="AX128" s="4">
        <f>$AX$4*'NIFTY MEMBS'!AY117</f>
        <v>17278.72911079018</v>
      </c>
      <c r="AY128" s="4">
        <f t="shared" si="10"/>
        <v>1019261.2700050977</v>
      </c>
      <c r="AZ128" s="4">
        <f t="shared" si="11"/>
        <v>104.00625204133651</v>
      </c>
    </row>
    <row r="129" spans="1:52" ht="14.25" customHeight="1" x14ac:dyDescent="0.3">
      <c r="A129" s="2">
        <v>45828</v>
      </c>
      <c r="B129" s="4">
        <f>$B$4*'NIFTY MEMBS'!C118</f>
        <v>24011.463664278403</v>
      </c>
      <c r="C129" s="4">
        <f>$C$4*'NIFTY MEMBS'!D118</f>
        <v>22041.104803787388</v>
      </c>
      <c r="D129" s="4">
        <f>$D$4*'NIFTY MEMBS'!E118</f>
        <v>24273.986338284139</v>
      </c>
      <c r="E129" s="4">
        <f>$E$4*'NIFTY MEMBS'!F118</f>
        <v>16708.774574766867</v>
      </c>
      <c r="F129" s="4">
        <f>$F$4*'NIFTY MEMBS'!G118</f>
        <v>22235.032913956293</v>
      </c>
      <c r="G129" s="4">
        <f>$G$4*'NIFTY MEMBS'!H118</f>
        <v>20074.382249117498</v>
      </c>
      <c r="H129" s="4">
        <f>$H$4*'NIFTY MEMBS'!I118</f>
        <v>17241.965471447544</v>
      </c>
      <c r="I129" s="4">
        <f>$I$4*'NIFTY MEMBS'!J118</f>
        <v>19863.054993325008</v>
      </c>
      <c r="J129" s="4">
        <f>$J$4*'NIFTY MEMBS'!K118</f>
        <v>26098.36632878174</v>
      </c>
      <c r="K129" s="4">
        <f>$K$4*'NIFTY MEMBS'!L118</f>
        <v>18284.478616049975</v>
      </c>
      <c r="L129" s="4">
        <f>$L$4*'NIFTY MEMBS'!M118</f>
        <v>19970.006816632584</v>
      </c>
      <c r="M129" s="4">
        <f>$M$4*'NIFTY MEMBS'!N118</f>
        <v>22824.157097864976</v>
      </c>
      <c r="N129" s="4">
        <f>$N$4*'NIFTY MEMBS'!O118</f>
        <v>20664.503569110966</v>
      </c>
      <c r="O129" s="4">
        <f>$O$4*'NIFTY MEMBS'!P118</f>
        <v>24265.265041377766</v>
      </c>
      <c r="P129" s="4">
        <f>$P$4*'NIFTY MEMBS'!Q118</f>
        <v>18200.266743377182</v>
      </c>
      <c r="Q129" s="4">
        <f>$Q$4*'NIFTY MEMBS'!R118</f>
        <v>17620.571972803511</v>
      </c>
      <c r="R129" s="4">
        <f>$R$4*'NIFTY MEMBS'!S118</f>
        <v>20019.219009347427</v>
      </c>
      <c r="S129" s="4">
        <f>$S$4*'NIFTY MEMBS'!T118</f>
        <v>22778.503452136596</v>
      </c>
      <c r="T129" s="4">
        <f>$T$4*'NIFTY MEMBS'!U118</f>
        <v>25199.188023344326</v>
      </c>
      <c r="U129" s="4">
        <f>$U$4*'NIFTY MEMBS'!V118</f>
        <v>21629.761666948387</v>
      </c>
      <c r="V129" s="4">
        <f>$V$4*'NIFTY MEMBS'!W118</f>
        <v>20092.911733852838</v>
      </c>
      <c r="W129" s="4">
        <f>$W$4*'NIFTY MEMBS'!X118</f>
        <v>18324.050632911396</v>
      </c>
      <c r="X129" s="4">
        <f>$X$4*'NIFTY MEMBS'!Y118</f>
        <v>22143.267416099119</v>
      </c>
      <c r="Y129" s="4">
        <f>$Y$4*'NIFTY MEMBS'!Z118</f>
        <v>21261.02553281283</v>
      </c>
      <c r="Z129" s="4">
        <f>$Z$4*'NIFTY MEMBS'!AA118</f>
        <v>27781.558353181357</v>
      </c>
      <c r="AA129" s="4">
        <f>$AA$4*'NIFTY MEMBS'!AB118</f>
        <v>22211.055276381907</v>
      </c>
      <c r="AB129" s="4">
        <f>$AB$4*'NIFTY MEMBS'!AC118</f>
        <v>17751.581751581751</v>
      </c>
      <c r="AC129" s="4">
        <f>$AC$4*'NIFTY MEMBS'!AD118</f>
        <v>18885.30927835052</v>
      </c>
      <c r="AD129" s="4">
        <f>$AD$4*'NIFTY MEMBS'!AE118</f>
        <v>18050.050050050049</v>
      </c>
      <c r="AE129" s="4">
        <f>$AE$4*'NIFTY MEMBS'!AF118</f>
        <v>19154.401038836229</v>
      </c>
      <c r="AF129" s="4">
        <f>$AF$4*'NIFTY MEMBS'!AG118</f>
        <v>19835.549866574096</v>
      </c>
      <c r="AG129" s="4">
        <f>$AG$4*'NIFTY MEMBS'!AH118</f>
        <v>20137.163561076606</v>
      </c>
      <c r="AH129" s="4">
        <f>$AH$4*'NIFTY MEMBS'!AI118</f>
        <v>21762.460585274108</v>
      </c>
      <c r="AI129" s="4">
        <f>$AI$4*'NIFTY MEMBS'!AJ118</f>
        <v>22227.585198186338</v>
      </c>
      <c r="AJ129" s="4">
        <f>$AJ$4*'NIFTY MEMBS'!AK118</f>
        <v>19329.939234685502</v>
      </c>
      <c r="AK129" s="4">
        <f>$AK$4*'NIFTY MEMBS'!AL118</f>
        <v>22214.851667587984</v>
      </c>
      <c r="AL129" s="4">
        <f>$AL$4*'NIFTY MEMBS'!AM118</f>
        <v>22618.877039281106</v>
      </c>
      <c r="AM129" s="4">
        <f>$AM$4*'NIFTY MEMBS'!AN118</f>
        <v>16687.771025954826</v>
      </c>
      <c r="AN129" s="4">
        <f>$AN$4*'NIFTY MEMBS'!AO118</f>
        <v>25862.610682662096</v>
      </c>
      <c r="AO129" s="4">
        <f>$AO$4*'NIFTY MEMBS'!AP118</f>
        <v>25241.412832145168</v>
      </c>
      <c r="AP129" s="4">
        <f>$AP$4*'NIFTY MEMBS'!AQ118</f>
        <v>21895.606712201701</v>
      </c>
      <c r="AQ129" s="4">
        <f>$AQ$4*'NIFTY MEMBS'!AR118</f>
        <v>19909.02955072336</v>
      </c>
      <c r="AR129" s="4">
        <f>$AR$4*'NIFTY MEMBS'!AS118</f>
        <v>19615.460074553659</v>
      </c>
      <c r="AS129" s="4">
        <f>$AS$4*'NIFTY MEMBS'!AT118</f>
        <v>19169.16000081415</v>
      </c>
      <c r="AT129" s="4">
        <f>$AT$4*'NIFTY MEMBS'!AU118</f>
        <v>22830.760796943789</v>
      </c>
      <c r="AU129" s="4">
        <f>$AU$4*'NIFTY MEMBS'!AV118</f>
        <v>23909.59469738129</v>
      </c>
      <c r="AV129" s="4">
        <f>$AV$4*'NIFTY MEMBS'!AW118</f>
        <v>19361.577794010227</v>
      </c>
      <c r="AW129" s="4">
        <f>$AW$4*'NIFTY MEMBS'!AX118</f>
        <v>20736.793050294549</v>
      </c>
      <c r="AX129" s="4">
        <f>$AX$4*'NIFTY MEMBS'!AY118</f>
        <v>17335.465236228596</v>
      </c>
      <c r="AY129" s="4">
        <f t="shared" si="10"/>
        <v>1030340.9340173755</v>
      </c>
      <c r="AZ129" s="4">
        <f t="shared" si="11"/>
        <v>105.13683000177301</v>
      </c>
    </row>
    <row r="130" spans="1:52" ht="14.25" customHeight="1" x14ac:dyDescent="0.3">
      <c r="A130" s="2">
        <v>45831</v>
      </c>
      <c r="B130" s="4">
        <f>$B$4*'NIFTY MEMBS'!C119</f>
        <v>23857.523029682699</v>
      </c>
      <c r="C130" s="4">
        <f>$C$4*'NIFTY MEMBS'!D119</f>
        <v>21858.242276021454</v>
      </c>
      <c r="D130" s="4">
        <f>$D$4*'NIFTY MEMBS'!E119</f>
        <v>24268.972864573541</v>
      </c>
      <c r="E130" s="4">
        <f>$E$4*'NIFTY MEMBS'!F119</f>
        <v>16504.030444139138</v>
      </c>
      <c r="F130" s="4">
        <f>$F$4*'NIFTY MEMBS'!G119</f>
        <v>22125.968916760798</v>
      </c>
      <c r="G130" s="4">
        <f>$G$4*'NIFTY MEMBS'!H119</f>
        <v>19924.357034795765</v>
      </c>
      <c r="H130" s="4">
        <f>$H$4*'NIFTY MEMBS'!I119</f>
        <v>16828.685258964142</v>
      </c>
      <c r="I130" s="4">
        <f>$I$4*'NIFTY MEMBS'!J119</f>
        <v>19595.194005426125</v>
      </c>
      <c r="J130" s="4">
        <f>$J$4*'NIFTY MEMBS'!K119</f>
        <v>26401.165054143297</v>
      </c>
      <c r="K130" s="4">
        <f>$K$4*'NIFTY MEMBS'!L119</f>
        <v>18081.342012144509</v>
      </c>
      <c r="L130" s="4">
        <f>$L$4*'NIFTY MEMBS'!M119</f>
        <v>19543.012951601908</v>
      </c>
      <c r="M130" s="4">
        <f>$M$4*'NIFTY MEMBS'!N119</f>
        <v>22659.993040871497</v>
      </c>
      <c r="N130" s="4">
        <f>$N$4*'NIFTY MEMBS'!O119</f>
        <v>20343.932511356263</v>
      </c>
      <c r="O130" s="4">
        <f>$O$4*'NIFTY MEMBS'!P119</f>
        <v>24425.18452247819</v>
      </c>
      <c r="P130" s="4">
        <f>$P$4*'NIFTY MEMBS'!Q119</f>
        <v>17816.36549072936</v>
      </c>
      <c r="Q130" s="4">
        <f>$Q$4*'NIFTY MEMBS'!R119</f>
        <v>17593.058017407868</v>
      </c>
      <c r="R130" s="4">
        <f>$R$4*'NIFTY MEMBS'!S119</f>
        <v>20003.494365335893</v>
      </c>
      <c r="S130" s="4">
        <f>$S$4*'NIFTY MEMBS'!T119</f>
        <v>22655.346146669155</v>
      </c>
      <c r="T130" s="4">
        <f>$T$4*'NIFTY MEMBS'!U119</f>
        <v>25343.821365135747</v>
      </c>
      <c r="U130" s="4">
        <f>$U$4*'NIFTY MEMBS'!V119</f>
        <v>21548.012354595325</v>
      </c>
      <c r="V130" s="4">
        <f>$V$4*'NIFTY MEMBS'!W119</f>
        <v>19937.059793196466</v>
      </c>
      <c r="W130" s="4">
        <f>$W$4*'NIFTY MEMBS'!X119</f>
        <v>18418.806509945753</v>
      </c>
      <c r="X130" s="4">
        <f>$X$4*'NIFTY MEMBS'!Y119</f>
        <v>22233.527529334533</v>
      </c>
      <c r="Y130" s="4">
        <f>$Y$4*'NIFTY MEMBS'!Z119</f>
        <v>21217.978476471832</v>
      </c>
      <c r="Z130" s="4">
        <f>$Z$4*'NIFTY MEMBS'!AA119</f>
        <v>28642.395372575709</v>
      </c>
      <c r="AA130" s="4">
        <f>$AA$4*'NIFTY MEMBS'!AB119</f>
        <v>22022.198906621015</v>
      </c>
      <c r="AB130" s="4">
        <f>$AB$4*'NIFTY MEMBS'!AC119</f>
        <v>17531.801531801531</v>
      </c>
      <c r="AC130" s="4">
        <f>$AC$4*'NIFTY MEMBS'!AD119</f>
        <v>18701.67525773196</v>
      </c>
      <c r="AD130" s="4">
        <f>$AD$4*'NIFTY MEMBS'!AE119</f>
        <v>17917.917917917915</v>
      </c>
      <c r="AE130" s="4">
        <f>$AE$4*'NIFTY MEMBS'!AF119</f>
        <v>18961.049361882262</v>
      </c>
      <c r="AF130" s="4">
        <f>$AF$4*'NIFTY MEMBS'!AG119</f>
        <v>19648.102748790487</v>
      </c>
      <c r="AG130" s="4">
        <f>$AG$4*'NIFTY MEMBS'!AH119</f>
        <v>20315.734989648034</v>
      </c>
      <c r="AH130" s="4">
        <f>$AH$4*'NIFTY MEMBS'!AI119</f>
        <v>21750.474820674524</v>
      </c>
      <c r="AI130" s="4">
        <f>$AI$4*'NIFTY MEMBS'!AJ119</f>
        <v>22294.86616937253</v>
      </c>
      <c r="AJ130" s="4">
        <f>$AJ$4*'NIFTY MEMBS'!AK119</f>
        <v>19257.677779602564</v>
      </c>
      <c r="AK130" s="4">
        <f>$AK$4*'NIFTY MEMBS'!AL119</f>
        <v>22305.755174743565</v>
      </c>
      <c r="AL130" s="4">
        <f>$AL$4*'NIFTY MEMBS'!AM119</f>
        <v>22731.459685177979</v>
      </c>
      <c r="AM130" s="4">
        <f>$AM$4*'NIFTY MEMBS'!AN119</f>
        <v>17317.364761143457</v>
      </c>
      <c r="AN130" s="4">
        <f>$AN$4*'NIFTY MEMBS'!AO119</f>
        <v>25972.579263067691</v>
      </c>
      <c r="AO130" s="4">
        <f>$AO$4*'NIFTY MEMBS'!AP119</f>
        <v>25085.871678548276</v>
      </c>
      <c r="AP130" s="4">
        <f>$AP$4*'NIFTY MEMBS'!AQ119</f>
        <v>22308.795008010791</v>
      </c>
      <c r="AQ130" s="4">
        <f>$AQ$4*'NIFTY MEMBS'!AR119</f>
        <v>19741.174399154854</v>
      </c>
      <c r="AR130" s="4">
        <f>$AR$4*'NIFTY MEMBS'!AS119</f>
        <v>19607.612320973119</v>
      </c>
      <c r="AS130" s="4">
        <f>$AS$4*'NIFTY MEMBS'!AT119</f>
        <v>19017.185348015169</v>
      </c>
      <c r="AT130" s="4">
        <f>$AT$4*'NIFTY MEMBS'!AU119</f>
        <v>22669.727442481966</v>
      </c>
      <c r="AU130" s="4">
        <f>$AU$4*'NIFTY MEMBS'!AV119</f>
        <v>24109.529501249595</v>
      </c>
      <c r="AV130" s="4">
        <f>$AV$4*'NIFTY MEMBS'!AW119</f>
        <v>19253.469685902121</v>
      </c>
      <c r="AW130" s="4">
        <f>$AW$4*'NIFTY MEMBS'!AX119</f>
        <v>20328.605398687967</v>
      </c>
      <c r="AX130" s="4">
        <f>$AX$4*'NIFTY MEMBS'!AY119</f>
        <v>17328.24427480916</v>
      </c>
      <c r="AY130" s="4">
        <f t="shared" si="10"/>
        <v>1028006.3427703655</v>
      </c>
      <c r="AZ130" s="4">
        <f t="shared" si="11"/>
        <v>104.89860640513935</v>
      </c>
    </row>
    <row r="131" spans="1:52" ht="14.25" customHeight="1" x14ac:dyDescent="0.3">
      <c r="A131" s="2">
        <v>45832</v>
      </c>
      <c r="B131" s="4">
        <f>$B$4*'NIFTY MEMBS'!C120</f>
        <v>23759.263050153528</v>
      </c>
      <c r="C131" s="4">
        <f>$C$4*'NIFTY MEMBS'!D120</f>
        <v>21998.474275841956</v>
      </c>
      <c r="D131" s="4">
        <f>$D$4*'NIFTY MEMBS'!E120</f>
        <v>24235.131917027007</v>
      </c>
      <c r="E131" s="4">
        <f>$E$4*'NIFTY MEMBS'!F120</f>
        <v>16488.467944899028</v>
      </c>
      <c r="F131" s="4">
        <f>$F$4*'NIFTY MEMBS'!G120</f>
        <v>22188.291200872511</v>
      </c>
      <c r="G131" s="4">
        <f>$G$4*'NIFTY MEMBS'!H120</f>
        <v>20055.471507816437</v>
      </c>
      <c r="H131" s="4">
        <f>$H$4*'NIFTY MEMBS'!I120</f>
        <v>16803.187250996016</v>
      </c>
      <c r="I131" s="4">
        <f>$I$4*'NIFTY MEMBS'!J120</f>
        <v>19491.839283407262</v>
      </c>
      <c r="J131" s="4">
        <f>$J$4*'NIFTY MEMBS'!K120</f>
        <v>26430.003027987252</v>
      </c>
      <c r="K131" s="4">
        <f>$K$4*'NIFTY MEMBS'!L120</f>
        <v>18101.000393167622</v>
      </c>
      <c r="L131" s="4">
        <f>$L$4*'NIFTY MEMBS'!M120</f>
        <v>19658.077709611451</v>
      </c>
      <c r="M131" s="4">
        <f>$M$4*'NIFTY MEMBS'!N120</f>
        <v>22502.96655157339</v>
      </c>
      <c r="N131" s="4">
        <f>$N$4*'NIFTY MEMBS'!O120</f>
        <v>20441.92083062946</v>
      </c>
      <c r="O131" s="4">
        <f>$O$4*'NIFTY MEMBS'!P120</f>
        <v>24866.92015209125</v>
      </c>
      <c r="P131" s="4">
        <f>$P$4*'NIFTY MEMBS'!Q120</f>
        <v>17697.115510342843</v>
      </c>
      <c r="Q131" s="4">
        <f>$Q$4*'NIFTY MEMBS'!R120</f>
        <v>17584.592184978439</v>
      </c>
      <c r="R131" s="4">
        <f>$R$4*'NIFTY MEMBS'!S120</f>
        <v>20230.628112169125</v>
      </c>
      <c r="S131" s="4">
        <f>$S$4*'NIFTY MEMBS'!T120</f>
        <v>22787.833551035645</v>
      </c>
      <c r="T131" s="4">
        <f>$T$4*'NIFTY MEMBS'!U120</f>
        <v>25490.992133976146</v>
      </c>
      <c r="U131" s="4">
        <f>$U$4*'NIFTY MEMBS'!V120</f>
        <v>21672.787620818417</v>
      </c>
      <c r="V131" s="4">
        <f>$V$4*'NIFTY MEMBS'!W120</f>
        <v>19778.210699835156</v>
      </c>
      <c r="W131" s="4">
        <f>$W$4*'NIFTY MEMBS'!X120</f>
        <v>18449.909584086799</v>
      </c>
      <c r="X131" s="4">
        <f>$X$4*'NIFTY MEMBS'!Y120</f>
        <v>22802.986789201605</v>
      </c>
      <c r="Y131" s="4">
        <f>$Y$4*'NIFTY MEMBS'!Z120</f>
        <v>20588.30976999367</v>
      </c>
      <c r="Z131" s="4">
        <f>$Z$4*'NIFTY MEMBS'!AA120</f>
        <v>28479.074515141208</v>
      </c>
      <c r="AA131" s="4">
        <f>$AA$4*'NIFTY MEMBS'!AB120</f>
        <v>22243.083549616211</v>
      </c>
      <c r="AB131" s="4">
        <f>$AB$4*'NIFTY MEMBS'!AC120</f>
        <v>17647.01964701965</v>
      </c>
      <c r="AC131" s="4">
        <f>$AC$4*'NIFTY MEMBS'!AD120</f>
        <v>18424.613402061856</v>
      </c>
      <c r="AD131" s="4">
        <f>$AD$4*'NIFTY MEMBS'!AE120</f>
        <v>17981.981981981982</v>
      </c>
      <c r="AE131" s="4">
        <f>$AE$4*'NIFTY MEMBS'!AF120</f>
        <v>19168.130151992726</v>
      </c>
      <c r="AF131" s="4">
        <f>$AF$4*'NIFTY MEMBS'!AG120</f>
        <v>19745.297550604213</v>
      </c>
      <c r="AG131" s="4">
        <f>$AG$4*'NIFTY MEMBS'!AH120</f>
        <v>20323.498964803312</v>
      </c>
      <c r="AH131" s="4">
        <f>$AH$4*'NIFTY MEMBS'!AI120</f>
        <v>21812.247607456993</v>
      </c>
      <c r="AI131" s="4">
        <f>$AI$4*'NIFTY MEMBS'!AJ120</f>
        <v>22640.046804153866</v>
      </c>
      <c r="AJ131" s="4">
        <f>$AJ$4*'NIFTY MEMBS'!AK120</f>
        <v>19760.223353588441</v>
      </c>
      <c r="AK131" s="4">
        <f>$AK$4*'NIFTY MEMBS'!AL120</f>
        <v>22774.194869275023</v>
      </c>
      <c r="AL131" s="4">
        <f>$AL$4*'NIFTY MEMBS'!AM120</f>
        <v>23044.644136491104</v>
      </c>
      <c r="AM131" s="4">
        <f>$AM$4*'NIFTY MEMBS'!AN120</f>
        <v>17140.51258833766</v>
      </c>
      <c r="AN131" s="4">
        <f>$AN$4*'NIFTY MEMBS'!AO120</f>
        <v>26321.05112824907</v>
      </c>
      <c r="AO131" s="4">
        <f>$AO$4*'NIFTY MEMBS'!AP120</f>
        <v>25265.716137394684</v>
      </c>
      <c r="AP131" s="4">
        <f>$AP$4*'NIFTY MEMBS'!AQ120</f>
        <v>22578.632262416726</v>
      </c>
      <c r="AQ131" s="4">
        <f>$AQ$4*'NIFTY MEMBS'!AR120</f>
        <v>19686.005223464505</v>
      </c>
      <c r="AR131" s="4">
        <f>$AR$4*'NIFTY MEMBS'!AS120</f>
        <v>19650.774965666078</v>
      </c>
      <c r="AS131" s="4">
        <f>$AS$4*'NIFTY MEMBS'!AT120</f>
        <v>19013.114598386626</v>
      </c>
      <c r="AT131" s="4">
        <f>$AT$4*'NIFTY MEMBS'!AU120</f>
        <v>23163.106230620317</v>
      </c>
      <c r="AU131" s="4">
        <f>$AU$4*'NIFTY MEMBS'!AV120</f>
        <v>24072.585026621757</v>
      </c>
      <c r="AV131" s="4">
        <f>$AV$4*'NIFTY MEMBS'!AW120</f>
        <v>19536.888239590942</v>
      </c>
      <c r="AW131" s="4">
        <f>$AW$4*'NIFTY MEMBS'!AX120</f>
        <v>20516.926165354234</v>
      </c>
      <c r="AX131" s="4">
        <f>$AX$4*'NIFTY MEMBS'!AY120</f>
        <v>17164.225293996289</v>
      </c>
      <c r="AY131" s="4">
        <f t="shared" si="10"/>
        <v>1032257.9754467972</v>
      </c>
      <c r="AZ131" s="4">
        <f t="shared" si="11"/>
        <v>105.33244647416298</v>
      </c>
    </row>
    <row r="132" spans="1:52" ht="14.25" customHeight="1" x14ac:dyDescent="0.3">
      <c r="A132" s="2">
        <v>45833</v>
      </c>
      <c r="B132" s="4">
        <f>$B$4*'NIFTY MEMBS'!C121</f>
        <v>24029.477993858749</v>
      </c>
      <c r="C132" s="4">
        <f>$C$4*'NIFTY MEMBS'!D121</f>
        <v>22214.992483564813</v>
      </c>
      <c r="D132" s="4">
        <f>$D$4*'NIFTY MEMBS'!E121</f>
        <v>24636.209813874786</v>
      </c>
      <c r="E132" s="4">
        <f>$E$4*'NIFTY MEMBS'!F121</f>
        <v>16753.030431980937</v>
      </c>
      <c r="F132" s="4">
        <f>$F$4*'NIFTY MEMBS'!G121</f>
        <v>22214.778171619986</v>
      </c>
      <c r="G132" s="4">
        <f>$G$4*'NIFTY MEMBS'!H121</f>
        <v>20172.718103883002</v>
      </c>
      <c r="H132" s="4">
        <f>$H$4*'NIFTY MEMBS'!I121</f>
        <v>17156.972111553783</v>
      </c>
      <c r="I132" s="4">
        <f>$I$4*'NIFTY MEMBS'!J121</f>
        <v>19626.200422031783</v>
      </c>
      <c r="J132" s="4">
        <f>$J$4*'NIFTY MEMBS'!K121</f>
        <v>26761.639727192767</v>
      </c>
      <c r="K132" s="4">
        <f>$K$4*'NIFTY MEMBS'!L121</f>
        <v>18188.370975492551</v>
      </c>
      <c r="L132" s="4">
        <f>$L$4*'NIFTY MEMBS'!M121</f>
        <v>19739.877300613498</v>
      </c>
      <c r="M132" s="4">
        <f>$M$4*'NIFTY MEMBS'!N121</f>
        <v>22781.331691692765</v>
      </c>
      <c r="N132" s="4">
        <f>$N$4*'NIFTY MEMBS'!O121</f>
        <v>20866.320571057753</v>
      </c>
      <c r="O132" s="4">
        <f>$O$4*'NIFTY MEMBS'!P121</f>
        <v>24583.985685528965</v>
      </c>
      <c r="P132" s="4">
        <f>$P$4*'NIFTY MEMBS'!Q121</f>
        <v>17961.766782604147</v>
      </c>
      <c r="Q132" s="4">
        <f>$Q$4*'NIFTY MEMBS'!R121</f>
        <v>17668.192280219049</v>
      </c>
      <c r="R132" s="4">
        <f>$R$4*'NIFTY MEMBS'!S121</f>
        <v>20499.694243033107</v>
      </c>
      <c r="S132" s="4">
        <f>$S$4*'NIFTY MEMBS'!T121</f>
        <v>22640.41798843068</v>
      </c>
      <c r="T132" s="4">
        <f>$T$4*'NIFTY MEMBS'!U121</f>
        <v>25523.978685612787</v>
      </c>
      <c r="U132" s="4">
        <f>$U$4*'NIFTY MEMBS'!V121</f>
        <v>22448.484103446688</v>
      </c>
      <c r="V132" s="4">
        <f>$V$4*'NIFTY MEMBS'!W121</f>
        <v>19832.159448523904</v>
      </c>
      <c r="W132" s="4">
        <f>$W$4*'NIFTY MEMBS'!X121</f>
        <v>18724.050632911396</v>
      </c>
      <c r="X132" s="4">
        <f>$X$4*'NIFTY MEMBS'!Y121</f>
        <v>22862.066136046604</v>
      </c>
      <c r="Y132" s="4">
        <f>$Y$4*'NIFTY MEMBS'!Z121</f>
        <v>20418.653724414435</v>
      </c>
      <c r="Z132" s="4">
        <f>$Z$4*'NIFTY MEMBS'!AA121</f>
        <v>27631.847567199733</v>
      </c>
      <c r="AA132" s="4">
        <f>$AA$4*'NIFTY MEMBS'!AB121</f>
        <v>22628.52725164283</v>
      </c>
      <c r="AB132" s="4">
        <f>$AB$4*'NIFTY MEMBS'!AC121</f>
        <v>17942.723942723944</v>
      </c>
      <c r="AC132" s="4">
        <f>$AC$4*'NIFTY MEMBS'!AD121</f>
        <v>18714.561855670105</v>
      </c>
      <c r="AD132" s="4">
        <f>$AD$4*'NIFTY MEMBS'!AE121</f>
        <v>18004.671338004671</v>
      </c>
      <c r="AE132" s="4">
        <f>$AE$4*'NIFTY MEMBS'!AF121</f>
        <v>19196.732471068754</v>
      </c>
      <c r="AF132" s="4">
        <f>$AF$4*'NIFTY MEMBS'!AG121</f>
        <v>19785.216844206279</v>
      </c>
      <c r="AG132" s="4">
        <f>$AG$4*'NIFTY MEMBS'!AH121</f>
        <v>20276.915113871637</v>
      </c>
      <c r="AH132" s="4">
        <f>$AH$4*'NIFTY MEMBS'!AI121</f>
        <v>22168.132617875388</v>
      </c>
      <c r="AI132" s="4">
        <f>$AI$4*'NIFTY MEMBS'!AJ121</f>
        <v>22874.067573497145</v>
      </c>
      <c r="AJ132" s="4">
        <f>$AJ$4*'NIFTY MEMBS'!AK121</f>
        <v>19924.453933322387</v>
      </c>
      <c r="AK132" s="4">
        <f>$AK$4*'NIFTY MEMBS'!AL121</f>
        <v>23191.040681366827</v>
      </c>
      <c r="AL132" s="4">
        <f>$AL$4*'NIFTY MEMBS'!AM121</f>
        <v>22827.666673489854</v>
      </c>
      <c r="AM132" s="4">
        <f>$AM$4*'NIFTY MEMBS'!AN121</f>
        <v>17330.098117585472</v>
      </c>
      <c r="AN132" s="4">
        <f>$AN$4*'NIFTY MEMBS'!AO121</f>
        <v>26316.766638103396</v>
      </c>
      <c r="AO132" s="4">
        <f>$AO$4*'NIFTY MEMBS'!AP121</f>
        <v>25440.699935191184</v>
      </c>
      <c r="AP132" s="4">
        <f>$AP$4*'NIFTY MEMBS'!AQ121</f>
        <v>22688.253647019137</v>
      </c>
      <c r="AQ132" s="4">
        <f>$AQ$4*'NIFTY MEMBS'!AR121</f>
        <v>20013.498840860404</v>
      </c>
      <c r="AR132" s="4">
        <f>$AR$4*'NIFTY MEMBS'!AS121</f>
        <v>19750.179844352886</v>
      </c>
      <c r="AS132" s="4">
        <f>$AS$4*'NIFTY MEMBS'!AT121</f>
        <v>19110.812589471683</v>
      </c>
      <c r="AT132" s="4">
        <f>$AT$4*'NIFTY MEMBS'!AU121</f>
        <v>23130.556935569526</v>
      </c>
      <c r="AU132" s="4">
        <f>$AU$4*'NIFTY MEMBS'!AV121</f>
        <v>24481.147451917856</v>
      </c>
      <c r="AV132" s="4">
        <f>$AV$4*'NIFTY MEMBS'!AW121</f>
        <v>19599.70781592403</v>
      </c>
      <c r="AW132" s="4">
        <f>$AW$4*'NIFTY MEMBS'!AX121</f>
        <v>20556.597798941293</v>
      </c>
      <c r="AX132" s="4">
        <f>$AX$4*'NIFTY MEMBS'!AY121</f>
        <v>17119.867959562616</v>
      </c>
      <c r="AY132" s="4">
        <f t="shared" si="10"/>
        <v>1039010.114947628</v>
      </c>
      <c r="AZ132" s="4">
        <f t="shared" si="11"/>
        <v>106.02144030077835</v>
      </c>
    </row>
    <row r="133" spans="1:52" ht="14.25" customHeight="1" x14ac:dyDescent="0.3">
      <c r="A133" s="2">
        <v>45834</v>
      </c>
      <c r="B133" s="4">
        <f>$B$4*'NIFTY MEMBS'!C122</f>
        <v>24488.024564994881</v>
      </c>
      <c r="C133" s="4">
        <f>$C$4*'NIFTY MEMBS'!D122</f>
        <v>22681.684578967444</v>
      </c>
      <c r="D133" s="4">
        <f>$D$4*'NIFTY MEMBS'!E122</f>
        <v>25246.600238139999</v>
      </c>
      <c r="E133" s="4">
        <f>$E$4*'NIFTY MEMBS'!F122</f>
        <v>16738.440588943333</v>
      </c>
      <c r="F133" s="4">
        <f>$F$4*'NIFTY MEMBS'!G122</f>
        <v>22421.999766291432</v>
      </c>
      <c r="G133" s="4">
        <f>$G$4*'NIFTY MEMBS'!H122</f>
        <v>20097.075138678767</v>
      </c>
      <c r="H133" s="4">
        <f>$H$4*'NIFTY MEMBS'!I122</f>
        <v>17168.658698539177</v>
      </c>
      <c r="I133" s="4">
        <f>$I$4*'NIFTY MEMBS'!J122</f>
        <v>19644.287498385085</v>
      </c>
      <c r="J133" s="4">
        <f>$J$4*'NIFTY MEMBS'!K122</f>
        <v>27439.332112525775</v>
      </c>
      <c r="K133" s="4">
        <f>$K$4*'NIFTY MEMBS'!L122</f>
        <v>18360.92787558429</v>
      </c>
      <c r="L133" s="4">
        <f>$L$4*'NIFTY MEMBS'!M122</f>
        <v>19956.918882072256</v>
      </c>
      <c r="M133" s="4">
        <f>$M$4*'NIFTY MEMBS'!N122</f>
        <v>22688.543311652975</v>
      </c>
      <c r="N133" s="4">
        <f>$N$4*'NIFTY MEMBS'!O122</f>
        <v>20868.267358857884</v>
      </c>
      <c r="O133" s="4">
        <f>$O$4*'NIFTY MEMBS'!P122</f>
        <v>24646.61149630955</v>
      </c>
      <c r="P133" s="4">
        <f>$P$4*'NIFTY MEMBS'!Q122</f>
        <v>18034.990454771305</v>
      </c>
      <c r="Q133" s="4">
        <f>$Q$4*'NIFTY MEMBS'!R122</f>
        <v>17670.30873832641</v>
      </c>
      <c r="R133" s="4">
        <f>$R$4*'NIFTY MEMBS'!S122</f>
        <v>20880.580064645757</v>
      </c>
      <c r="S133" s="4">
        <f>$S$4*'NIFTY MEMBS'!T122</f>
        <v>23017.353983952231</v>
      </c>
      <c r="T133" s="4">
        <f>$T$4*'NIFTY MEMBS'!U122</f>
        <v>26054.300938848006</v>
      </c>
      <c r="U133" s="4">
        <f>$U$4*'NIFTY MEMBS'!V122</f>
        <v>22709.713109086159</v>
      </c>
      <c r="V133" s="4">
        <f>$V$4*'NIFTY MEMBS'!W122</f>
        <v>20209.80068934512</v>
      </c>
      <c r="W133" s="4">
        <f>$W$4*'NIFTY MEMBS'!X122</f>
        <v>19181.193490054251</v>
      </c>
      <c r="X133" s="4">
        <f>$X$4*'NIFTY MEMBS'!Y122</f>
        <v>23456.141790432423</v>
      </c>
      <c r="Y133" s="4">
        <f>$Y$4*'NIFTY MEMBS'!Z122</f>
        <v>20656.678624182317</v>
      </c>
      <c r="Z133" s="4">
        <f>$Z$4*'NIFTY MEMBS'!AA122</f>
        <v>27907.451514120454</v>
      </c>
      <c r="AA133" s="4">
        <f>$AA$4*'NIFTY MEMBS'!AB122</f>
        <v>22807.443812468937</v>
      </c>
      <c r="AB133" s="4">
        <f>$AB$4*'NIFTY MEMBS'!AC122</f>
        <v>17883.449883449881</v>
      </c>
      <c r="AC133" s="4">
        <f>$AC$4*'NIFTY MEMBS'!AD122</f>
        <v>18911.082474226805</v>
      </c>
      <c r="AD133" s="4">
        <f>$AD$4*'NIFTY MEMBS'!AE122</f>
        <v>18224.891558224892</v>
      </c>
      <c r="AE133" s="4">
        <f>$AE$4*'NIFTY MEMBS'!AF122</f>
        <v>19296.268541453341</v>
      </c>
      <c r="AF133" s="4">
        <f>$AF$4*'NIFTY MEMBS'!AG122</f>
        <v>19871.130106523768</v>
      </c>
      <c r="AG133" s="4">
        <f>$AG$4*'NIFTY MEMBS'!AH122</f>
        <v>20401.138716356108</v>
      </c>
      <c r="AH133" s="4">
        <f>$AH$4*'NIFTY MEMBS'!AI122</f>
        <v>22417.067728789811</v>
      </c>
      <c r="AI133" s="4">
        <f>$AI$4*'NIFTY MEMBS'!AJ122</f>
        <v>23481.058943981276</v>
      </c>
      <c r="AJ133" s="4">
        <f>$AJ$4*'NIFTY MEMBS'!AK122</f>
        <v>20528.82246674331</v>
      </c>
      <c r="AK133" s="4">
        <f>$AK$4*'NIFTY MEMBS'!AL122</f>
        <v>23612.800196548123</v>
      </c>
      <c r="AL133" s="4">
        <f>$AL$4*'NIFTY MEMBS'!AM122</f>
        <v>22973.000634556731</v>
      </c>
      <c r="AM133" s="4">
        <f>$AM$4*'NIFTY MEMBS'!AN122</f>
        <v>17280.579509199852</v>
      </c>
      <c r="AN133" s="4">
        <f>$AN$4*'NIFTY MEMBS'!AO122</f>
        <v>26575.264210225647</v>
      </c>
      <c r="AO133" s="4">
        <f>$AO$4*'NIFTY MEMBS'!AP122</f>
        <v>25905.703175631883</v>
      </c>
      <c r="AP133" s="4">
        <f>$AP$4*'NIFTY MEMBS'!AQ122</f>
        <v>23293.700986592459</v>
      </c>
      <c r="AQ133" s="4">
        <f>$AQ$4*'NIFTY MEMBS'!AR122</f>
        <v>19839.774628048246</v>
      </c>
      <c r="AR133" s="4">
        <f>$AR$4*'NIFTY MEMBS'!AS122</f>
        <v>19799.88228369629</v>
      </c>
      <c r="AS133" s="4">
        <f>$AS$4*'NIFTY MEMBS'!AT122</f>
        <v>19272.285658070599</v>
      </c>
      <c r="AT133" s="4">
        <f>$AT$4*'NIFTY MEMBS'!AU122</f>
        <v>24093.330820756171</v>
      </c>
      <c r="AU133" s="4">
        <f>$AU$4*'NIFTY MEMBS'!AV122</f>
        <v>24891.883081603828</v>
      </c>
      <c r="AV133" s="4">
        <f>$AV$4*'NIFTY MEMBS'!AW122</f>
        <v>19306.062819576335</v>
      </c>
      <c r="AW133" s="4">
        <f>$AW$4*'NIFTY MEMBS'!AX122</f>
        <v>20447.620299449136</v>
      </c>
      <c r="AX133" s="4">
        <f>$AX$4*'NIFTY MEMBS'!AY122</f>
        <v>17249.845265112443</v>
      </c>
      <c r="AY133" s="4">
        <f t="shared" si="10"/>
        <v>1050589.9733089933</v>
      </c>
      <c r="AZ133" s="4">
        <f t="shared" si="11"/>
        <v>107.20305850091769</v>
      </c>
    </row>
    <row r="134" spans="1:52" ht="14.25" customHeight="1" x14ac:dyDescent="0.3">
      <c r="A134" s="2">
        <v>45835</v>
      </c>
      <c r="B134" s="4">
        <f>$B$4*'NIFTY MEMBS'!C123</f>
        <v>24817.195496417604</v>
      </c>
      <c r="C134" s="4">
        <f>$C$4*'NIFTY MEMBS'!D123</f>
        <v>22604.276515066529</v>
      </c>
      <c r="D134" s="4">
        <f>$D$4*'NIFTY MEMBS'!E123</f>
        <v>25407.031396879109</v>
      </c>
      <c r="E134" s="4">
        <f>$E$4*'NIFTY MEMBS'!F123</f>
        <v>16735.036292234556</v>
      </c>
      <c r="F134" s="4">
        <f>$F$4*'NIFTY MEMBS'!G123</f>
        <v>22781.910957036576</v>
      </c>
      <c r="G134" s="4">
        <f>$G$4*'NIFTY MEMBS'!H123</f>
        <v>20307.61472516389</v>
      </c>
      <c r="H134" s="4">
        <f>$H$4*'NIFTY MEMBS'!I123</f>
        <v>17083.665338645416</v>
      </c>
      <c r="I134" s="4">
        <f>$I$4*'NIFTY MEMBS'!J123</f>
        <v>19869.08401877611</v>
      </c>
      <c r="J134" s="4">
        <f>$J$4*'NIFTY MEMBS'!K123</f>
        <v>27309.561230227962</v>
      </c>
      <c r="K134" s="4">
        <f>$K$4*'NIFTY MEMBS'!L123</f>
        <v>18288.847145166219</v>
      </c>
      <c r="L134" s="4">
        <f>$L$4*'NIFTY MEMBS'!M123</f>
        <v>20063.803680981593</v>
      </c>
      <c r="M134" s="4">
        <f>$M$4*'NIFTY MEMBS'!N123</f>
        <v>22558.282701212494</v>
      </c>
      <c r="N134" s="4">
        <f>$N$4*'NIFTY MEMBS'!O123</f>
        <v>20787.151200519143</v>
      </c>
      <c r="O134" s="4">
        <f>$O$4*'NIFTY MEMBS'!P123</f>
        <v>24691.344218295682</v>
      </c>
      <c r="P134" s="4">
        <f>$P$4*'NIFTY MEMBS'!Q123</f>
        <v>18026.622035095061</v>
      </c>
      <c r="Q134" s="4">
        <f>$Q$4*'NIFTY MEMBS'!R123</f>
        <v>17858.67350988121</v>
      </c>
      <c r="R134" s="4">
        <f>$R$4*'NIFTY MEMBS'!S123</f>
        <v>21338.341923648117</v>
      </c>
      <c r="S134" s="4">
        <f>$S$4*'NIFTY MEMBS'!T123</f>
        <v>22860.608322448217</v>
      </c>
      <c r="T134" s="4">
        <f>$T$4*'NIFTY MEMBS'!U123</f>
        <v>25932.504440497334</v>
      </c>
      <c r="U134" s="4">
        <f>$U$4*'NIFTY MEMBS'!V123</f>
        <v>22534.536011186749</v>
      </c>
      <c r="V134" s="4">
        <f>$V$4*'NIFTY MEMBS'!W123</f>
        <v>20278.73520155852</v>
      </c>
      <c r="W134" s="4">
        <f>$W$4*'NIFTY MEMBS'!X123</f>
        <v>18941.04882459313</v>
      </c>
      <c r="X134" s="4">
        <f>$X$4*'NIFTY MEMBS'!Y123</f>
        <v>23635.020923935339</v>
      </c>
      <c r="Y134" s="4">
        <f>$Y$4*'NIFTY MEMBS'!Z123</f>
        <v>20496.307237813886</v>
      </c>
      <c r="Z134" s="4">
        <f>$Z$4*'NIFTY MEMBS'!AA123</f>
        <v>28206.873086083706</v>
      </c>
      <c r="AA134" s="4">
        <f>$AA$4*'NIFTY MEMBS'!AB123</f>
        <v>22726.820917775694</v>
      </c>
      <c r="AB134" s="4">
        <f>$AB$4*'NIFTY MEMBS'!AC123</f>
        <v>17652.347652347653</v>
      </c>
      <c r="AC134" s="4">
        <f>$AC$4*'NIFTY MEMBS'!AD123</f>
        <v>19281.572164948455</v>
      </c>
      <c r="AD134" s="4">
        <f>$AD$4*'NIFTY MEMBS'!AE123</f>
        <v>18335.669002335668</v>
      </c>
      <c r="AE134" s="4">
        <f>$AE$4*'NIFTY MEMBS'!AF123</f>
        <v>19303.133098031591</v>
      </c>
      <c r="AF134" s="4">
        <f>$AF$4*'NIFTY MEMBS'!AG123</f>
        <v>20469.051699824264</v>
      </c>
      <c r="AG134" s="4">
        <f>$AG$4*'NIFTY MEMBS'!AH123</f>
        <v>20401.138716356108</v>
      </c>
      <c r="AH134" s="4">
        <f>$AH$4*'NIFTY MEMBS'!AI123</f>
        <v>22668.768785381057</v>
      </c>
      <c r="AI134" s="4">
        <f>$AI$4*'NIFTY MEMBS'!AJ123</f>
        <v>23614.158256545266</v>
      </c>
      <c r="AJ134" s="4">
        <f>$AJ$4*'NIFTY MEMBS'!AK123</f>
        <v>21248.152405977995</v>
      </c>
      <c r="AK134" s="4">
        <f>$AK$4*'NIFTY MEMBS'!AL123</f>
        <v>23430.993182236962</v>
      </c>
      <c r="AL134" s="4">
        <f>$AL$4*'NIFTY MEMBS'!AM123</f>
        <v>23171.555482774853</v>
      </c>
      <c r="AM134" s="4">
        <f>$AM$4*'NIFTY MEMBS'!AN123</f>
        <v>17032.986467271738</v>
      </c>
      <c r="AN134" s="4">
        <f>$AN$4*'NIFTY MEMBS'!AO123</f>
        <v>26429.591545272775</v>
      </c>
      <c r="AO134" s="4">
        <f>$AO$4*'NIFTY MEMBS'!AP123</f>
        <v>26148.736228127022</v>
      </c>
      <c r="AP134" s="4">
        <f>$AP$4*'NIFTY MEMBS'!AQ123</f>
        <v>23521.376169997468</v>
      </c>
      <c r="AQ134" s="4">
        <f>$AQ$4*'NIFTY MEMBS'!AR123</f>
        <v>19654.312292748775</v>
      </c>
      <c r="AR134" s="4">
        <f>$AR$4*'NIFTY MEMBS'!AS123</f>
        <v>19650.774965666078</v>
      </c>
      <c r="AS134" s="4">
        <f>$AS$4*'NIFTY MEMBS'!AT123</f>
        <v>19834.049106809685</v>
      </c>
      <c r="AT134" s="4">
        <f>$AT$4*'NIFTY MEMBS'!AU123</f>
        <v>23981.977969266612</v>
      </c>
      <c r="AU134" s="4">
        <f>$AU$4*'NIFTY MEMBS'!AV123</f>
        <v>24433.336955340648</v>
      </c>
      <c r="AV134" s="4">
        <f>$AV$4*'NIFTY MEMBS'!AW123</f>
        <v>19006.574141709276</v>
      </c>
      <c r="AW134" s="4">
        <f>$AW$4*'NIFTY MEMBS'!AX123</f>
        <v>20649.802239296427</v>
      </c>
      <c r="AX134" s="4">
        <f>$AX$4*'NIFTY MEMBS'!AY123</f>
        <v>17695.481741283271</v>
      </c>
      <c r="AY134" s="4">
        <f t="shared" si="10"/>
        <v>1053756.4376206896</v>
      </c>
      <c r="AZ134" s="4">
        <f t="shared" si="11"/>
        <v>107.52616710415199</v>
      </c>
    </row>
    <row r="135" spans="1:52" ht="14.25" customHeight="1" x14ac:dyDescent="0.3">
      <c r="A135" s="2">
        <v>45838</v>
      </c>
      <c r="B135" s="4">
        <f>$B$4*'NIFTY MEMBS'!C124</f>
        <v>24574.820880245647</v>
      </c>
      <c r="C135" s="4">
        <f>$C$4*'NIFTY MEMBS'!D124</f>
        <v>22453.94781125895</v>
      </c>
      <c r="D135" s="4">
        <f>$D$4*'NIFTY MEMBS'!E124</f>
        <v>25187.691922040482</v>
      </c>
      <c r="E135" s="4">
        <f>$E$4*'NIFTY MEMBS'!F124</f>
        <v>16836.678865396541</v>
      </c>
      <c r="F135" s="4">
        <f>$F$4*'NIFTY MEMBS'!G124</f>
        <v>22526.389592178552</v>
      </c>
      <c r="G135" s="4">
        <f>$G$4*'NIFTY MEMBS'!H124</f>
        <v>20684.568835098333</v>
      </c>
      <c r="H135" s="4">
        <f>$H$4*'NIFTY MEMBS'!I124</f>
        <v>17017.795484727754</v>
      </c>
      <c r="I135" s="4">
        <f>$I$4*'NIFTY MEMBS'!J124</f>
        <v>19763.145428706775</v>
      </c>
      <c r="J135" s="4">
        <f>$J$4*'NIFTY MEMBS'!K124</f>
        <v>27006.762504866409</v>
      </c>
      <c r="K135" s="4">
        <f>$K$4*'NIFTY MEMBS'!L124</f>
        <v>18192.739504608799</v>
      </c>
      <c r="L135" s="4">
        <f>$L$4*'NIFTY MEMBS'!M124</f>
        <v>20012.542603953647</v>
      </c>
      <c r="M135" s="4">
        <f>$M$4*'NIFTY MEMBS'!N124</f>
        <v>22126.459855642694</v>
      </c>
      <c r="N135" s="4">
        <f>$N$4*'NIFTY MEMBS'!O124</f>
        <v>20656.716417910444</v>
      </c>
      <c r="O135" s="4">
        <f>$O$4*'NIFTY MEMBS'!P124</f>
        <v>24194.811004249605</v>
      </c>
      <c r="P135" s="4">
        <f>$P$4*'NIFTY MEMBS'!Q124</f>
        <v>18082.062815450194</v>
      </c>
      <c r="Q135" s="4">
        <f>$Q$4*'NIFTY MEMBS'!R124</f>
        <v>17732.744252493452</v>
      </c>
      <c r="R135" s="4">
        <f>$R$4*'NIFTY MEMBS'!S124</f>
        <v>21128.680003494363</v>
      </c>
      <c r="S135" s="4">
        <f>$S$4*'NIFTY MEMBS'!T124</f>
        <v>22377.309199477517</v>
      </c>
      <c r="T135" s="4">
        <f>$T$4*'NIFTY MEMBS'!U124</f>
        <v>26084.750063435673</v>
      </c>
      <c r="U135" s="4">
        <f>$U$4*'NIFTY MEMBS'!V124</f>
        <v>22682.053567312567</v>
      </c>
      <c r="V135" s="4">
        <f>$V$4*'NIFTY MEMBS'!W124</f>
        <v>20074.928817623259</v>
      </c>
      <c r="W135" s="4">
        <f>$W$4*'NIFTY MEMBS'!X124</f>
        <v>19106.690777576852</v>
      </c>
      <c r="X135" s="4">
        <f>$X$4*'NIFTY MEMBS'!Y124</f>
        <v>23799.130220727002</v>
      </c>
      <c r="Y135" s="4">
        <f>$Y$4*'NIFTY MEMBS'!Z124</f>
        <v>20612.787507913064</v>
      </c>
      <c r="Z135" s="4">
        <f>$Z$4*'NIFTY MEMBS'!AA124</f>
        <v>28683.225586934335</v>
      </c>
      <c r="AA135" s="4">
        <f>$AA$4*'NIFTY MEMBS'!AB124</f>
        <v>22541.277817659728</v>
      </c>
      <c r="AB135" s="4">
        <f>$AB$4*'NIFTY MEMBS'!AC124</f>
        <v>17714.285714285714</v>
      </c>
      <c r="AC135" s="4">
        <f>$AC$4*'NIFTY MEMBS'!AD124</f>
        <v>19323.453608247422</v>
      </c>
      <c r="AD135" s="4">
        <f>$AD$4*'NIFTY MEMBS'!AE124</f>
        <v>18365.03169836503</v>
      </c>
      <c r="AE135" s="4">
        <f>$AE$4*'NIFTY MEMBS'!AF124</f>
        <v>19165.841966466643</v>
      </c>
      <c r="AF135" s="4">
        <f>$AF$4*'NIFTY MEMBS'!AG124</f>
        <v>20316.317011259842</v>
      </c>
      <c r="AG135" s="4">
        <f>$AG$4*'NIFTY MEMBS'!AH124</f>
        <v>20287.267080745343</v>
      </c>
      <c r="AH135" s="4">
        <f>$AH$4*'NIFTY MEMBS'!AI124</f>
        <v>22729.619590271253</v>
      </c>
      <c r="AI135" s="4">
        <f>$AI$4*'NIFTY MEMBS'!AJ124</f>
        <v>23366.973818926428</v>
      </c>
      <c r="AJ135" s="4">
        <f>$AJ$4*'NIFTY MEMBS'!AK124</f>
        <v>21464.936771226807</v>
      </c>
      <c r="AK135" s="4">
        <f>$AK$4*'NIFTY MEMBS'!AL124</f>
        <v>23295.047396761049</v>
      </c>
      <c r="AL135" s="4">
        <f>$AL$4*'NIFTY MEMBS'!AM124</f>
        <v>23157.226782387977</v>
      </c>
      <c r="AM135" s="4">
        <f>$AM$4*'NIFTY MEMBS'!AN124</f>
        <v>17593.254150720495</v>
      </c>
      <c r="AN135" s="4">
        <f>$AN$4*'NIFTY MEMBS'!AO124</f>
        <v>26253.927449300198</v>
      </c>
      <c r="AO135" s="4">
        <f>$AO$4*'NIFTY MEMBS'!AP124</f>
        <v>26386.908619572256</v>
      </c>
      <c r="AP135" s="4">
        <f>$AP$4*'NIFTY MEMBS'!AQ124</f>
        <v>23369.59271439413</v>
      </c>
      <c r="AQ135" s="4">
        <f>$AQ$4*'NIFTY MEMBS'!AR124</f>
        <v>19802.212636088858</v>
      </c>
      <c r="AR135" s="4">
        <f>$AR$4*'NIFTY MEMBS'!AS124</f>
        <v>19696.553528219214</v>
      </c>
      <c r="AS135" s="4">
        <f>$AS$4*'NIFTY MEMBS'!AT124</f>
        <v>19653.579206610895</v>
      </c>
      <c r="AT135" s="4">
        <f>$AT$4*'NIFTY MEMBS'!AU124</f>
        <v>24218.388638582903</v>
      </c>
      <c r="AU135" s="4">
        <f>$AU$4*'NIFTY MEMBS'!AV124</f>
        <v>23881.343040312946</v>
      </c>
      <c r="AV135" s="4">
        <f>$AV$4*'NIFTY MEMBS'!AW124</f>
        <v>18747.991234477722</v>
      </c>
      <c r="AW135" s="4">
        <f>$AW$4*'NIFTY MEMBS'!AX124</f>
        <v>20252.129960447859</v>
      </c>
      <c r="AX135" s="4">
        <f>$AX$4*'NIFTY MEMBS'!AY124</f>
        <v>17992.572725397156</v>
      </c>
      <c r="AY135" s="4">
        <f t="shared" si="10"/>
        <v>1051175.1666840508</v>
      </c>
      <c r="AZ135" s="4">
        <f t="shared" si="11"/>
        <v>107.26277211061743</v>
      </c>
    </row>
    <row r="136" spans="1:52" ht="14.25" customHeight="1" x14ac:dyDescent="0.3">
      <c r="A136" s="2">
        <v>45839</v>
      </c>
      <c r="B136" s="4">
        <f>$B$4*'NIFTY MEMBS'!C125</f>
        <v>25030.092118730809</v>
      </c>
      <c r="C136" s="4">
        <f>$C$4*'NIFTY MEMBS'!D125</f>
        <v>22572.864547106736</v>
      </c>
      <c r="D136" s="4">
        <f>$D$4*'NIFTY MEMBS'!E125</f>
        <v>25310.522027950115</v>
      </c>
      <c r="E136" s="4">
        <f>$E$4*'NIFTY MEMBS'!F125</f>
        <v>16679.594888691656</v>
      </c>
      <c r="F136" s="4">
        <f>$F$4*'NIFTY MEMBS'!G125</f>
        <v>22311.377711993144</v>
      </c>
      <c r="G136" s="4">
        <f>$G$4*'NIFTY MEMBS'!H125</f>
        <v>20683.308119011595</v>
      </c>
      <c r="H136" s="4">
        <f>$H$4*'NIFTY MEMBS'!I125</f>
        <v>17070.916334661353</v>
      </c>
      <c r="I136" s="4">
        <f>$I$4*'NIFTY MEMBS'!J125</f>
        <v>19770.897032858189</v>
      </c>
      <c r="J136" s="4">
        <f>$J$4*'NIFTY MEMBS'!K125</f>
        <v>27011.088200943002</v>
      </c>
      <c r="K136" s="4">
        <f>$K$4*'NIFTY MEMBS'!L125</f>
        <v>18133.76436153947</v>
      </c>
      <c r="L136" s="4">
        <f>$L$4*'NIFTY MEMBS'!M125</f>
        <v>19995.637355146555</v>
      </c>
      <c r="M136" s="4">
        <f>$M$4*'NIFTY MEMBS'!N125</f>
        <v>22201.404316444066</v>
      </c>
      <c r="N136" s="4">
        <f>$N$4*'NIFTY MEMBS'!O125</f>
        <v>20610.642439974043</v>
      </c>
      <c r="O136" s="4">
        <f>$O$4*'NIFTY MEMBS'!P125</f>
        <v>24419.592932229923</v>
      </c>
      <c r="P136" s="4">
        <f>$P$4*'NIFTY MEMBS'!Q125</f>
        <v>17974.319412118515</v>
      </c>
      <c r="Q136" s="4">
        <f>$Q$4*'NIFTY MEMBS'!R125</f>
        <v>17642.794782930763</v>
      </c>
      <c r="R136" s="4">
        <f>$R$4*'NIFTY MEMBS'!S125</f>
        <v>21333.100375644273</v>
      </c>
      <c r="S136" s="4">
        <f>$S$4*'NIFTY MEMBS'!T125</f>
        <v>21894.010076506813</v>
      </c>
      <c r="T136" s="4">
        <f>$T$4*'NIFTY MEMBS'!U125</f>
        <v>26056.83836589698</v>
      </c>
      <c r="U136" s="4">
        <f>$U$4*'NIFTY MEMBS'!V125</f>
        <v>22745.363185149901</v>
      </c>
      <c r="V136" s="4">
        <f>$V$4*'NIFTY MEMBS'!W125</f>
        <v>19937.059793196466</v>
      </c>
      <c r="W136" s="4">
        <f>$W$4*'NIFTY MEMBS'!X125</f>
        <v>18878.842676311033</v>
      </c>
      <c r="X136" s="4">
        <f>$X$4*'NIFTY MEMBS'!Y125</f>
        <v>23746.61524575367</v>
      </c>
      <c r="Y136" s="4">
        <f>$Y$4*'NIFTY MEMBS'!Z125</f>
        <v>20541.886473939652</v>
      </c>
      <c r="Z136" s="4">
        <f>$Z$4*'NIFTY MEMBS'!AA125</f>
        <v>29414.766927526372</v>
      </c>
      <c r="AA136" s="4">
        <f>$AA$4*'NIFTY MEMBS'!AB125</f>
        <v>22742.282842785353</v>
      </c>
      <c r="AB136" s="4">
        <f>$AB$4*'NIFTY MEMBS'!AC125</f>
        <v>17619.047619047618</v>
      </c>
      <c r="AC136" s="4">
        <f>$AC$4*'NIFTY MEMBS'!AD125</f>
        <v>19172.036082474227</v>
      </c>
      <c r="AD136" s="4">
        <f>$AD$4*'NIFTY MEMBS'!AE125</f>
        <v>18252.919586252916</v>
      </c>
      <c r="AE136" s="4">
        <f>$AE$4*'NIFTY MEMBS'!AF125</f>
        <v>19218.470233566539</v>
      </c>
      <c r="AF136" s="4">
        <f>$AF$4*'NIFTY MEMBS'!AG125</f>
        <v>20562.775258716072</v>
      </c>
      <c r="AG136" s="4">
        <f>$AG$4*'NIFTY MEMBS'!AH125</f>
        <v>20173.395445134574</v>
      </c>
      <c r="AH136" s="4">
        <f>$AH$4*'NIFTY MEMBS'!AI125</f>
        <v>22220.6855857351</v>
      </c>
      <c r="AI136" s="4">
        <f>$AI$4*'NIFTY MEMBS'!AJ125</f>
        <v>23410.852713178294</v>
      </c>
      <c r="AJ136" s="4">
        <f>$AJ$4*'NIFTY MEMBS'!AK125</f>
        <v>21652.159632123505</v>
      </c>
      <c r="AK136" s="4">
        <f>$AK$4*'NIFTY MEMBS'!AL125</f>
        <v>23324.529615297994</v>
      </c>
      <c r="AL136" s="4">
        <f>$AL$4*'NIFTY MEMBS'!AM125</f>
        <v>23398.767731766726</v>
      </c>
      <c r="AM136" s="4">
        <f>$AM$4*'NIFTY MEMBS'!AN125</f>
        <v>17385.275995500881</v>
      </c>
      <c r="AN136" s="4">
        <f>$AN$4*'NIFTY MEMBS'!AO125</f>
        <v>26599.542987717792</v>
      </c>
      <c r="AO136" s="4">
        <f>$AO$4*'NIFTY MEMBS'!AP125</f>
        <v>26244.329228775106</v>
      </c>
      <c r="AP136" s="4">
        <f>$AP$4*'NIFTY MEMBS'!AQ125</f>
        <v>23418.500716755203</v>
      </c>
      <c r="AQ136" s="4">
        <f>$AQ$4*'NIFTY MEMBS'!AR125</f>
        <v>19616.75030078939</v>
      </c>
      <c r="AR136" s="4">
        <f>$AR$4*'NIFTY MEMBS'!AS125</f>
        <v>19824.733503367996</v>
      </c>
      <c r="AS136" s="4">
        <f>$AS$4*'NIFTY MEMBS'!AT125</f>
        <v>20342.892810377696</v>
      </c>
      <c r="AT136" s="4">
        <f>$AT$4*'NIFTY MEMBS'!AU125</f>
        <v>23862.059513816319</v>
      </c>
      <c r="AU136" s="4">
        <f>$AU$4*'NIFTY MEMBS'!AV125</f>
        <v>23809.627295447135</v>
      </c>
      <c r="AV136" s="4">
        <f>$AV$4*'NIFTY MEMBS'!AW125</f>
        <v>18653.031409788167</v>
      </c>
      <c r="AW136" s="4">
        <f>$AW$4*'NIFTY MEMBS'!AX125</f>
        <v>20199.075125168783</v>
      </c>
      <c r="AX136" s="4">
        <f>$AX$4*'NIFTY MEMBS'!AY125</f>
        <v>18136.991953785848</v>
      </c>
      <c r="AY136" s="4">
        <f t="shared" si="10"/>
        <v>1051808.0328896244</v>
      </c>
      <c r="AZ136" s="4">
        <f t="shared" si="11"/>
        <v>107.32735029485963</v>
      </c>
    </row>
    <row r="137" spans="1:52" ht="14.25" customHeight="1" x14ac:dyDescent="0.3">
      <c r="A137" s="2">
        <v>45840</v>
      </c>
      <c r="B137" s="4">
        <f>$B$4*'NIFTY MEMBS'!C126</f>
        <v>24872.876151484132</v>
      </c>
      <c r="C137" s="4">
        <f>$C$4*'NIFTY MEMBS'!D126</f>
        <v>22280.060131481525</v>
      </c>
      <c r="D137" s="4">
        <f>$D$4*'NIFTY MEMBS'!E126</f>
        <v>25484.74023939337</v>
      </c>
      <c r="E137" s="4">
        <f>$E$4*'NIFTY MEMBS'!F126</f>
        <v>16648.469890211432</v>
      </c>
      <c r="F137" s="4">
        <f>$F$4*'NIFTY MEMBS'!G126</f>
        <v>22245.939313675844</v>
      </c>
      <c r="G137" s="4">
        <f>$G$4*'NIFTY MEMBS'!H126</f>
        <v>20496.722138174482</v>
      </c>
      <c r="H137" s="4">
        <f>$H$4*'NIFTY MEMBS'!I126</f>
        <v>17110.225763612216</v>
      </c>
      <c r="I137" s="4">
        <f>$I$4*'NIFTY MEMBS'!J126</f>
        <v>19870.806597476425</v>
      </c>
      <c r="J137" s="4">
        <f>$J$4*'NIFTY MEMBS'!K126</f>
        <v>26617.449857972977</v>
      </c>
      <c r="K137" s="4">
        <f>$K$4*'NIFTY MEMBS'!L126</f>
        <v>18039.840985540166</v>
      </c>
      <c r="L137" s="4">
        <f>$L$4*'NIFTY MEMBS'!M126</f>
        <v>19614.451261077029</v>
      </c>
      <c r="M137" s="4">
        <f>$M$4*'NIFTY MEMBS'!N126</f>
        <v>22522.594862735652</v>
      </c>
      <c r="N137" s="4">
        <f>$N$4*'NIFTY MEMBS'!O126</f>
        <v>20539.909149902658</v>
      </c>
      <c r="O137" s="4">
        <f>$O$4*'NIFTY MEMBS'!P126</f>
        <v>24257.436815030193</v>
      </c>
      <c r="P137" s="4">
        <f>$P$4*'NIFTY MEMBS'!Q126</f>
        <v>17977.45756949711</v>
      </c>
      <c r="Q137" s="4">
        <f>$Q$4*'NIFTY MEMBS'!R126</f>
        <v>17751.792375459667</v>
      </c>
      <c r="R137" s="4">
        <f>$R$4*'NIFTY MEMBS'!S126</f>
        <v>21727.963658600507</v>
      </c>
      <c r="S137" s="4">
        <f>$S$4*'NIFTY MEMBS'!T126</f>
        <v>21931.330472103004</v>
      </c>
      <c r="T137" s="4">
        <f>$T$4*'NIFTY MEMBS'!U126</f>
        <v>25474.498858157825</v>
      </c>
      <c r="U137" s="4">
        <f>$U$4*'NIFTY MEMBS'!V126</f>
        <v>22791.462421439221</v>
      </c>
      <c r="V137" s="4">
        <f>$V$4*'NIFTY MEMBS'!W126</f>
        <v>20005.994305409862</v>
      </c>
      <c r="W137" s="4">
        <f>$W$4*'NIFTY MEMBS'!X126</f>
        <v>18788.42676311031</v>
      </c>
      <c r="X137" s="4">
        <f>$X$4*'NIFTY MEMBS'!Y126</f>
        <v>23695.741363748253</v>
      </c>
      <c r="Y137" s="4">
        <f>$Y$4*'NIFTY MEMBS'!Z126</f>
        <v>20347.752690441022</v>
      </c>
      <c r="Z137" s="4">
        <f>$Z$4*'NIFTY MEMBS'!AA126</f>
        <v>29054.100034025181</v>
      </c>
      <c r="AA137" s="4">
        <f>$AA$4*'NIFTY MEMBS'!AB126</f>
        <v>23411.5633110608</v>
      </c>
      <c r="AB137" s="4">
        <f>$AB$4*'NIFTY MEMBS'!AC126</f>
        <v>17782.21778221778</v>
      </c>
      <c r="AC137" s="4">
        <f>$AC$4*'NIFTY MEMBS'!AD126</f>
        <v>18998.067010309282</v>
      </c>
      <c r="AD137" s="4">
        <f>$AD$4*'NIFTY MEMBS'!AE126</f>
        <v>18379.713046379711</v>
      </c>
      <c r="AE137" s="4">
        <f>$AE$4*'NIFTY MEMBS'!AF126</f>
        <v>19121.222348708034</v>
      </c>
      <c r="AF137" s="4">
        <f>$AF$4*'NIFTY MEMBS'!AG126</f>
        <v>20995.812813225435</v>
      </c>
      <c r="AG137" s="4">
        <f>$AG$4*'NIFTY MEMBS'!AH126</f>
        <v>20025.879917184266</v>
      </c>
      <c r="AH137" s="4">
        <f>$AH$4*'NIFTY MEMBS'!AI126</f>
        <v>22016.927587542184</v>
      </c>
      <c r="AI137" s="4">
        <f>$AI$4*'NIFTY MEMBS'!AJ126</f>
        <v>24262.10326166447</v>
      </c>
      <c r="AJ137" s="4">
        <f>$AJ$4*'NIFTY MEMBS'!AK126</f>
        <v>21461.652159632125</v>
      </c>
      <c r="AK137" s="4">
        <f>$AK$4*'NIFTY MEMBS'!AL126</f>
        <v>23338.451774051551</v>
      </c>
      <c r="AL137" s="4">
        <f>$AL$4*'NIFTY MEMBS'!AM126</f>
        <v>23427.425132540477</v>
      </c>
      <c r="AM137" s="4">
        <f>$AM$4*'NIFTY MEMBS'!AN126</f>
        <v>17607.402324544961</v>
      </c>
      <c r="AN137" s="4">
        <f>$AN$4*'NIFTY MEMBS'!AO126</f>
        <v>26518.137674950009</v>
      </c>
      <c r="AO137" s="4">
        <f>$AO$4*'NIFTY MEMBS'!AP126</f>
        <v>25589.760207388201</v>
      </c>
      <c r="AP137" s="4">
        <f>$AP$4*'NIFTY MEMBS'!AQ126</f>
        <v>23555.105826798212</v>
      </c>
      <c r="AQ137" s="4">
        <f>$AQ$4*'NIFTY MEMBS'!AR126</f>
        <v>19686.005223464505</v>
      </c>
      <c r="AR137" s="4">
        <f>$AR$4*'NIFTY MEMBS'!AS126</f>
        <v>19587.992937021776</v>
      </c>
      <c r="AS137" s="4">
        <f>$AS$4*'NIFTY MEMBS'!AT126</f>
        <v>20193.631990664413</v>
      </c>
      <c r="AT137" s="4">
        <f>$AT$4*'NIFTY MEMBS'!AU126</f>
        <v>23192.229284086818</v>
      </c>
      <c r="AU137" s="4">
        <f>$AU$4*'NIFTY MEMBS'!AV126</f>
        <v>23813.973704226883</v>
      </c>
      <c r="AV137" s="4">
        <f>$AV$4*'NIFTY MEMBS'!AW126</f>
        <v>18565.376186997808</v>
      </c>
      <c r="AW137" s="4">
        <f>$AW$4*'NIFTY MEMBS'!AX126</f>
        <v>20283.676078721903</v>
      </c>
      <c r="AX137" s="4">
        <f>$AX$4*'NIFTY MEMBS'!AY126</f>
        <v>17694.450175366208</v>
      </c>
      <c r="AY137" s="4">
        <f t="shared" si="10"/>
        <v>1049656.821428508</v>
      </c>
      <c r="AZ137" s="4">
        <f t="shared" si="11"/>
        <v>107.10783892127634</v>
      </c>
    </row>
    <row r="138" spans="1:52" ht="14.25" customHeight="1" x14ac:dyDescent="0.3">
      <c r="A138" s="2">
        <v>45841</v>
      </c>
      <c r="B138" s="4">
        <f>$B$4*'NIFTY MEMBS'!C127</f>
        <v>24856.49948822927</v>
      </c>
      <c r="C138" s="4">
        <f>$C$4*'NIFTY MEMBS'!D127</f>
        <v>22292.400547465728</v>
      </c>
      <c r="D138" s="4">
        <f>$D$4*'NIFTY MEMBS'!E127</f>
        <v>25309.268659522466</v>
      </c>
      <c r="E138" s="4">
        <f>$E$4*'NIFTY MEMBS'!F127</f>
        <v>16539.046067429394</v>
      </c>
      <c r="F138" s="4">
        <f>$F$4*'NIFTY MEMBS'!G127</f>
        <v>22216.336228722783</v>
      </c>
      <c r="G138" s="4">
        <f>$G$4*'NIFTY MEMBS'!H127</f>
        <v>20350.479072112958</v>
      </c>
      <c r="H138" s="4">
        <f>$H$4*'NIFTY MEMBS'!I127</f>
        <v>17197.343957503319</v>
      </c>
      <c r="I138" s="4">
        <f>$I$4*'NIFTY MEMBS'!J127</f>
        <v>19925.067826536328</v>
      </c>
      <c r="J138" s="4">
        <f>$J$4*'NIFTY MEMBS'!K127</f>
        <v>26246.88189407812</v>
      </c>
      <c r="K138" s="4">
        <f>$K$4*'NIFTY MEMBS'!L127</f>
        <v>18057.315102005155</v>
      </c>
      <c r="L138" s="4">
        <f>$L$4*'NIFTY MEMBS'!M127</f>
        <v>19538.650306748466</v>
      </c>
      <c r="M138" s="4">
        <f>$M$4*'NIFTY MEMBS'!N127</f>
        <v>22754.565812835132</v>
      </c>
      <c r="N138" s="4">
        <f>$N$4*'NIFTY MEMBS'!O127</f>
        <v>20599.610642439973</v>
      </c>
      <c r="O138" s="4">
        <f>$O$4*'NIFTY MEMBS'!P127</f>
        <v>23782.151643927529</v>
      </c>
      <c r="P138" s="4">
        <f>$P$4*'NIFTY MEMBS'!Q127</f>
        <v>17907.372054708543</v>
      </c>
      <c r="Q138" s="4">
        <f>$Q$4*'NIFTY MEMBS'!R127</f>
        <v>17775.073414640599</v>
      </c>
      <c r="R138" s="4">
        <f>$R$4*'NIFTY MEMBS'!S127</f>
        <v>21661.570717218485</v>
      </c>
      <c r="S138" s="4">
        <f>$S$4*'NIFTY MEMBS'!T127</f>
        <v>21852.957641350997</v>
      </c>
      <c r="T138" s="4">
        <f>$T$4*'NIFTY MEMBS'!U127</f>
        <v>25129.408779497589</v>
      </c>
      <c r="U138" s="4">
        <f>$U$4*'NIFTY MEMBS'!V127</f>
        <v>22611.368071668945</v>
      </c>
      <c r="V138" s="4">
        <f>$V$4*'NIFTY MEMBS'!W127</f>
        <v>20056.945901393679</v>
      </c>
      <c r="W138" s="4">
        <f>$W$4*'NIFTY MEMBS'!X127</f>
        <v>18867.992766726948</v>
      </c>
      <c r="X138" s="4">
        <f>$X$4*'NIFTY MEMBS'!Y127</f>
        <v>23485.681463854922</v>
      </c>
      <c r="Y138" s="4">
        <f>$Y$4*'NIFTY MEMBS'!Z127</f>
        <v>20599.282549060987</v>
      </c>
      <c r="Z138" s="4">
        <f>$Z$4*'NIFTY MEMBS'!AA127</f>
        <v>29006.464783940119</v>
      </c>
      <c r="AA138" s="4">
        <f>$AA$4*'NIFTY MEMBS'!AB127</f>
        <v>23106.742503727426</v>
      </c>
      <c r="AB138" s="4">
        <f>$AB$4*'NIFTY MEMBS'!AC127</f>
        <v>17785.547785547784</v>
      </c>
      <c r="AC138" s="4">
        <f>$AC$4*'NIFTY MEMBS'!AD127</f>
        <v>18923.969072164949</v>
      </c>
      <c r="AD138" s="4">
        <f>$AD$4*'NIFTY MEMBS'!AE127</f>
        <v>18429.095762429093</v>
      </c>
      <c r="AE138" s="4">
        <f>$AE$4*'NIFTY MEMBS'!AF127</f>
        <v>19180.715172386179</v>
      </c>
      <c r="AF138" s="4">
        <f>$AF$4*'NIFTY MEMBS'!AG127</f>
        <v>21095.611047230599</v>
      </c>
      <c r="AG138" s="4">
        <f>$AG$4*'NIFTY MEMBS'!AH127</f>
        <v>20002.587991718425</v>
      </c>
      <c r="AH138" s="4">
        <f>$AH$4*'NIFTY MEMBS'!AI127</f>
        <v>22020.615515111287</v>
      </c>
      <c r="AI138" s="4">
        <f>$AI$4*'NIFTY MEMBS'!AJ127</f>
        <v>24266.491151089656</v>
      </c>
      <c r="AJ138" s="4">
        <f>$AJ$4*'NIFTY MEMBS'!AK127</f>
        <v>21353.259977007721</v>
      </c>
      <c r="AK138" s="4">
        <f>$AK$4*'NIFTY MEMBS'!AL127</f>
        <v>23074.749708248877</v>
      </c>
      <c r="AL138" s="4">
        <f>$AL$4*'NIFTY MEMBS'!AM127</f>
        <v>23400.814688964852</v>
      </c>
      <c r="AM138" s="4">
        <f>$AM$4*'NIFTY MEMBS'!AN127</f>
        <v>17518.268829450841</v>
      </c>
      <c r="AN138" s="4">
        <f>$AN$4*'NIFTY MEMBS'!AO127</f>
        <v>25852.613538988859</v>
      </c>
      <c r="AO138" s="4">
        <f>$AO$4*'NIFTY MEMBS'!AP127</f>
        <v>25465.003240440696</v>
      </c>
      <c r="AP138" s="4">
        <f>$AP$4*'NIFTY MEMBS'!AQ127</f>
        <v>23369.59271439413</v>
      </c>
      <c r="AQ138" s="4">
        <f>$AQ$4*'NIFTY MEMBS'!AR127</f>
        <v>19624.966986530508</v>
      </c>
      <c r="AR138" s="4">
        <f>$AR$4*'NIFTY MEMBS'!AS127</f>
        <v>19733.176378261724</v>
      </c>
      <c r="AS138" s="4">
        <f>$AS$4*'NIFTY MEMBS'!AT127</f>
        <v>20530.147293290727</v>
      </c>
      <c r="AT138" s="4">
        <f>$AT$4*'NIFTY MEMBS'!AU127</f>
        <v>23140.835660322406</v>
      </c>
      <c r="AU138" s="4">
        <f>$AU$4*'NIFTY MEMBS'!AV127</f>
        <v>23674.888623275023</v>
      </c>
      <c r="AV138" s="4">
        <f>$AV$4*'NIFTY MEMBS'!AW127</f>
        <v>18864.864864864863</v>
      </c>
      <c r="AW138" s="4">
        <f>$AW$4*'NIFTY MEMBS'!AX127</f>
        <v>20603.439004863361</v>
      </c>
      <c r="AX138" s="4">
        <f>$AX$4*'NIFTY MEMBS'!AY127</f>
        <v>17792.448937487108</v>
      </c>
      <c r="AY138" s="4">
        <f t="shared" si="10"/>
        <v>1047430.1818414155</v>
      </c>
      <c r="AZ138" s="4">
        <f t="shared" si="11"/>
        <v>106.88063080014443</v>
      </c>
    </row>
    <row r="139" spans="1:52" ht="14.25" customHeight="1" x14ac:dyDescent="0.3">
      <c r="A139" s="2">
        <v>45842</v>
      </c>
      <c r="B139" s="4">
        <f>$B$4*'NIFTY MEMBS'!C128</f>
        <v>25012.077789150459</v>
      </c>
      <c r="C139" s="4">
        <f>$C$4*'NIFTY MEMBS'!D128</f>
        <v>22317.081379434137</v>
      </c>
      <c r="D139" s="4">
        <f>$D$4*'NIFTY MEMBS'!E128</f>
        <v>25282.947922541833</v>
      </c>
      <c r="E139" s="4">
        <f>$E$4*'NIFTY MEMBS'!F128</f>
        <v>16631.448406667558</v>
      </c>
      <c r="F139" s="4">
        <f>$F$4*'NIFTY MEMBS'!G128</f>
        <v>22479.647879094766</v>
      </c>
      <c r="G139" s="4">
        <f>$G$4*'NIFTY MEMBS'!H128</f>
        <v>20470.247100353001</v>
      </c>
      <c r="H139" s="4">
        <f>$H$4*'NIFTY MEMBS'!I128</f>
        <v>17431.075697211156</v>
      </c>
      <c r="I139" s="4">
        <f>$I$4*'NIFTY MEMBS'!J128</f>
        <v>20148.14176822704</v>
      </c>
      <c r="J139" s="4">
        <f>$J$4*'NIFTY MEMBS'!K128</f>
        <v>26683.777197814081</v>
      </c>
      <c r="K139" s="4">
        <f>$K$4*'NIFTY MEMBS'!L128</f>
        <v>18022.366869075184</v>
      </c>
      <c r="L139" s="4">
        <f>$L$4*'NIFTY MEMBS'!M128</f>
        <v>19602.453987730059</v>
      </c>
      <c r="M139" s="4">
        <f>$M$4*'NIFTY MEMBS'!N128</f>
        <v>22565.420268907867</v>
      </c>
      <c r="N139" s="4">
        <f>$N$4*'NIFTY MEMBS'!O128</f>
        <v>20522.38805970149</v>
      </c>
      <c r="O139" s="4">
        <f>$O$4*'NIFTY MEMBS'!P128</f>
        <v>23817.93782151644</v>
      </c>
      <c r="P139" s="4">
        <f>$P$4*'NIFTY MEMBS'!Q128</f>
        <v>18053.819399042863</v>
      </c>
      <c r="Q139" s="4">
        <f>$Q$4*'NIFTY MEMBS'!R128</f>
        <v>17739.093626815524</v>
      </c>
      <c r="R139" s="4">
        <f>$R$4*'NIFTY MEMBS'!S128</f>
        <v>21850.266445356861</v>
      </c>
      <c r="S139" s="4">
        <f>$S$4*'NIFTY MEMBS'!T128</f>
        <v>21974.248927038625</v>
      </c>
      <c r="T139" s="4">
        <f>$T$4*'NIFTY MEMBS'!U128</f>
        <v>25303.222532352193</v>
      </c>
      <c r="U139" s="4">
        <f>$U$4*'NIFTY MEMBS'!V128</f>
        <v>22661.76990334527</v>
      </c>
      <c r="V139" s="4">
        <f>$V$4*'NIFTY MEMBS'!W128</f>
        <v>20110.89465008242</v>
      </c>
      <c r="W139" s="4">
        <f>$W$4*'NIFTY MEMBS'!X128</f>
        <v>18907.775768535263</v>
      </c>
      <c r="X139" s="4">
        <f>$X$4*'NIFTY MEMBS'!Y128</f>
        <v>23375.72823500451</v>
      </c>
      <c r="Y139" s="4">
        <f>$Y$4*'NIFTY MEMBS'!Z128</f>
        <v>20699.725680523319</v>
      </c>
      <c r="Z139" s="4">
        <f>$Z$4*'NIFTY MEMBS'!AA128</f>
        <v>29094.930248383811</v>
      </c>
      <c r="AA139" s="4">
        <f>$AA$4*'NIFTY MEMBS'!AB128</f>
        <v>23002.926721519689</v>
      </c>
      <c r="AB139" s="4">
        <f>$AB$4*'NIFTY MEMBS'!AC128</f>
        <v>17985.347985347984</v>
      </c>
      <c r="AC139" s="4">
        <f>$AC$4*'NIFTY MEMBS'!AD128</f>
        <v>18943.298969072166</v>
      </c>
      <c r="AD139" s="4">
        <f>$AD$4*'NIFTY MEMBS'!AE128</f>
        <v>18393.059726393058</v>
      </c>
      <c r="AE139" s="4">
        <f>$AE$4*'NIFTY MEMBS'!AF128</f>
        <v>19296.268541453341</v>
      </c>
      <c r="AF139" s="4">
        <f>$AF$4*'NIFTY MEMBS'!AG128</f>
        <v>21037.467728288459</v>
      </c>
      <c r="AG139" s="4">
        <f>$AG$4*'NIFTY MEMBS'!AH128</f>
        <v>19984.472049689444</v>
      </c>
      <c r="AH139" s="4">
        <f>$AH$4*'NIFTY MEMBS'!AI128</f>
        <v>22061.182718371416</v>
      </c>
      <c r="AI139" s="4">
        <f>$AI$4*'NIFTY MEMBS'!AJ128</f>
        <v>23842.328506654962</v>
      </c>
      <c r="AJ139" s="4">
        <f>$AJ$4*'NIFTY MEMBS'!AK128</f>
        <v>21346.690753818362</v>
      </c>
      <c r="AK139" s="4">
        <f>$AK$4*'NIFTY MEMBS'!AL128</f>
        <v>22978.932498003807</v>
      </c>
      <c r="AL139" s="4">
        <f>$AL$4*'NIFTY MEMBS'!AM128</f>
        <v>23044.644136491104</v>
      </c>
      <c r="AM139" s="4">
        <f>$AM$4*'NIFTY MEMBS'!AN128</f>
        <v>15438.48727725469</v>
      </c>
      <c r="AN139" s="4">
        <f>$AN$4*'NIFTY MEMBS'!AO128</f>
        <v>25702.656383890313</v>
      </c>
      <c r="AO139" s="4">
        <f>$AO$4*'NIFTY MEMBS'!AP128</f>
        <v>25440.699935191184</v>
      </c>
      <c r="AP139" s="4">
        <f>$AP$4*'NIFTY MEMBS'!AQ128</f>
        <v>23592.208449279027</v>
      </c>
      <c r="AQ139" s="4">
        <f>$AQ$4*'NIFTY MEMBS'!AR128</f>
        <v>19428.94034099246</v>
      </c>
      <c r="AR139" s="4">
        <f>$AR$4*'NIFTY MEMBS'!AS128</f>
        <v>19793.342489045845</v>
      </c>
      <c r="AS139" s="4">
        <f>$AS$4*'NIFTY MEMBS'!AT128</f>
        <v>20498.93821280522</v>
      </c>
      <c r="AT139" s="4">
        <f>$AT$4*'NIFTY MEMBS'!AU128</f>
        <v>23166.53247220461</v>
      </c>
      <c r="AU139" s="4">
        <f>$AU$4*'NIFTY MEMBS'!AV128</f>
        <v>23681.40823644464</v>
      </c>
      <c r="AV139" s="4">
        <f>$AV$4*'NIFTY MEMBS'!AW128</f>
        <v>19100.073046018995</v>
      </c>
      <c r="AW139" s="4">
        <f>$AW$4*'NIFTY MEMBS'!AX128</f>
        <v>20767.861197079594</v>
      </c>
      <c r="AX139" s="4">
        <f>$AX$4*'NIFTY MEMBS'!AY128</f>
        <v>17665.56632968847</v>
      </c>
      <c r="AY139" s="4">
        <f t="shared" si="10"/>
        <v>1046951.8222689045</v>
      </c>
      <c r="AZ139" s="4">
        <f t="shared" si="11"/>
        <v>106.83181859886781</v>
      </c>
    </row>
    <row r="140" spans="1:52" ht="14.25" customHeight="1" x14ac:dyDescent="0.3">
      <c r="A140" s="2">
        <v>45845</v>
      </c>
      <c r="B140" s="4">
        <f>$B$4*'NIFTY MEMBS'!C129</f>
        <v>25244.626407369498</v>
      </c>
      <c r="C140" s="4">
        <f>$C$4*'NIFTY MEMBS'!D129</f>
        <v>22295.766115461422</v>
      </c>
      <c r="D140" s="4">
        <f>$D$4*'NIFTY MEMBS'!E129</f>
        <v>25492.260449959267</v>
      </c>
      <c r="E140" s="4">
        <f>$E$4*'NIFTY MEMBS'!F129</f>
        <v>16592.055830466023</v>
      </c>
      <c r="F140" s="4">
        <f>$F$4*'NIFTY MEMBS'!G129</f>
        <v>22369.025824796478</v>
      </c>
      <c r="G140" s="4">
        <f>$G$4*'NIFTY MEMBS'!H129</f>
        <v>20344.175491679274</v>
      </c>
      <c r="H140" s="4">
        <f>$H$4*'NIFTY MEMBS'!I129</f>
        <v>17285.524568393092</v>
      </c>
      <c r="I140" s="4">
        <f>$I$4*'NIFTY MEMBS'!J129</f>
        <v>20760.518496188797</v>
      </c>
      <c r="J140" s="4">
        <f>$J$4*'NIFTY MEMBS'!K129</f>
        <v>26665.03251481551</v>
      </c>
      <c r="K140" s="4">
        <f>$K$4*'NIFTY MEMBS'!L129</f>
        <v>18179.633917260056</v>
      </c>
      <c r="L140" s="4">
        <f>$L$4*'NIFTY MEMBS'!M129</f>
        <v>19530.470347648261</v>
      </c>
      <c r="M140" s="4">
        <f>$M$4*'NIFTY MEMBS'!N129</f>
        <v>22340.586886503752</v>
      </c>
      <c r="N140" s="4">
        <f>$N$4*'NIFTY MEMBS'!O129</f>
        <v>20507.462686567163</v>
      </c>
      <c r="O140" s="4">
        <f>$O$4*'NIFTY MEMBS'!P129</f>
        <v>24041.601431447103</v>
      </c>
      <c r="P140" s="4">
        <f>$P$4*'NIFTY MEMBS'!Q129</f>
        <v>17891.68126781558</v>
      </c>
      <c r="Q140" s="4">
        <f>$Q$4*'NIFTY MEMBS'!R129</f>
        <v>17777.189872747957</v>
      </c>
      <c r="R140" s="4">
        <f>$R$4*'NIFTY MEMBS'!S129</f>
        <v>21568.970035817245</v>
      </c>
      <c r="S140" s="4">
        <f>$S$4*'NIFTY MEMBS'!T129</f>
        <v>21927.598432543386</v>
      </c>
      <c r="T140" s="4">
        <f>$T$4*'NIFTY MEMBS'!U129</f>
        <v>25455.468155290535</v>
      </c>
      <c r="U140" s="4">
        <f>$U$4*'NIFTY MEMBS'!V129</f>
        <v>22533.921354702892</v>
      </c>
      <c r="V140" s="4">
        <f>$V$4*'NIFTY MEMBS'!W129</f>
        <v>20227.783605574703</v>
      </c>
      <c r="W140" s="4">
        <f>$W$4*'NIFTY MEMBS'!X129</f>
        <v>18701.627486437614</v>
      </c>
      <c r="X140" s="4">
        <f>$X$4*'NIFTY MEMBS'!Y129</f>
        <v>23559.530647411171</v>
      </c>
      <c r="Y140" s="4">
        <f>$Y$4*'NIFTY MEMBS'!Z129</f>
        <v>20385.735387212495</v>
      </c>
      <c r="Z140" s="4">
        <f>$Z$4*'NIFTY MEMBS'!AA129</f>
        <v>28383.804014971083</v>
      </c>
      <c r="AA140" s="4">
        <f>$AA$4*'NIFTY MEMBS'!AB129</f>
        <v>23029.432878679108</v>
      </c>
      <c r="AB140" s="4">
        <f>$AB$4*'NIFTY MEMBS'!AC129</f>
        <v>17832.16783216783</v>
      </c>
      <c r="AC140" s="4">
        <f>$AC$4*'NIFTY MEMBS'!AD129</f>
        <v>19065.721649484538</v>
      </c>
      <c r="AD140" s="4">
        <f>$AD$4*'NIFTY MEMBS'!AE129</f>
        <v>18387.721054387719</v>
      </c>
      <c r="AE140" s="4">
        <f>$AE$4*'NIFTY MEMBS'!AF129</f>
        <v>19366.058199998857</v>
      </c>
      <c r="AF140" s="4">
        <f>$AF$4*'NIFTY MEMBS'!AG129</f>
        <v>21198.880524157681</v>
      </c>
      <c r="AG140" s="4">
        <f>$AG$4*'NIFTY MEMBS'!AH129</f>
        <v>19888.71635610766</v>
      </c>
      <c r="AH140" s="4">
        <f>$AH$4*'NIFTY MEMBS'!AI129</f>
        <v>22331.323412808175</v>
      </c>
      <c r="AI140" s="4">
        <f>$AI$4*'NIFTY MEMBS'!AJ129</f>
        <v>23753.10808834284</v>
      </c>
      <c r="AJ140" s="4">
        <f>$AJ$4*'NIFTY MEMBS'!AK129</f>
        <v>21550.33667268846</v>
      </c>
      <c r="AK140" s="4">
        <f>$AK$4*'NIFTY MEMBS'!AL129</f>
        <v>22759.453760006549</v>
      </c>
      <c r="AL140" s="4">
        <f>$AL$4*'NIFTY MEMBS'!AM129</f>
        <v>23263.668556690478</v>
      </c>
      <c r="AM140" s="4">
        <f>$AM$4*'NIFTY MEMBS'!AN129</f>
        <v>15560.161572145076</v>
      </c>
      <c r="AN140" s="4">
        <f>$AN$4*'NIFTY MEMBS'!AO129</f>
        <v>25825.47843473293</v>
      </c>
      <c r="AO140" s="4">
        <f>$AO$4*'NIFTY MEMBS'!AP129</f>
        <v>25581.659105638362</v>
      </c>
      <c r="AP140" s="4">
        <f>$AP$4*'NIFTY MEMBS'!AQ129</f>
        <v>23344.295471793572</v>
      </c>
      <c r="AQ140" s="4">
        <f>$AQ$4*'NIFTY MEMBS'!AR129</f>
        <v>19061.537107139713</v>
      </c>
      <c r="AR140" s="4">
        <f>$AR$4*'NIFTY MEMBS'!AS129</f>
        <v>19756.719639003335</v>
      </c>
      <c r="AS140" s="4">
        <f>$AS$4*'NIFTY MEMBS'!AT129</f>
        <v>20668.552780661226</v>
      </c>
      <c r="AT140" s="4">
        <f>$AT$4*'NIFTY MEMBS'!AU129</f>
        <v>23000.359755366346</v>
      </c>
      <c r="AU140" s="4">
        <f>$AU$4*'NIFTY MEMBS'!AV129</f>
        <v>23946.539172009132</v>
      </c>
      <c r="AV140" s="4">
        <f>$AV$4*'NIFTY MEMBS'!AW129</f>
        <v>19145.36157779401</v>
      </c>
      <c r="AW140" s="4">
        <f>$AW$4*'NIFTY MEMBS'!AX129</f>
        <v>20586.232031259333</v>
      </c>
      <c r="AX140" s="4">
        <f>$AX$4*'NIFTY MEMBS'!AY129</f>
        <v>17628.429956674234</v>
      </c>
      <c r="AY140" s="4">
        <f t="shared" si="10"/>
        <v>1046593.9668188174</v>
      </c>
      <c r="AZ140" s="4">
        <f t="shared" si="11"/>
        <v>106.79530273661402</v>
      </c>
    </row>
    <row r="141" spans="1:52" ht="14.25" customHeight="1" x14ac:dyDescent="0.3">
      <c r="A141" s="2">
        <v>45846</v>
      </c>
      <c r="B141" s="4">
        <f>$B$4*'NIFTY MEMBS'!C130</f>
        <v>25180.757420675534</v>
      </c>
      <c r="C141" s="4">
        <f>$C$4*'NIFTY MEMBS'!D130</f>
        <v>22452.825955260385</v>
      </c>
      <c r="D141" s="4">
        <f>$D$4*'NIFTY MEMBS'!E130</f>
        <v>25443.379081280942</v>
      </c>
      <c r="E141" s="4">
        <f>$E$4*'NIFTY MEMBS'!F130</f>
        <v>16565.307784897079</v>
      </c>
      <c r="F141" s="4">
        <f>$F$4*'NIFTY MEMBS'!G130</f>
        <v>22467.183422272425</v>
      </c>
      <c r="G141" s="4">
        <f>$G$4*'NIFTY MEMBS'!H130</f>
        <v>20490.418557740795</v>
      </c>
      <c r="H141" s="4">
        <f>$H$4*'NIFTY MEMBS'!I130</f>
        <v>17409.827357237715</v>
      </c>
      <c r="I141" s="4">
        <f>$I$4*'NIFTY MEMBS'!J130</f>
        <v>20608.070281210974</v>
      </c>
      <c r="J141" s="4">
        <f>$J$4*'NIFTY MEMBS'!K130</f>
        <v>26751.54643634738</v>
      </c>
      <c r="K141" s="4">
        <f>$K$4*'NIFTY MEMBS'!L130</f>
        <v>18225.503472980647</v>
      </c>
      <c r="L141" s="4">
        <f>$L$4*'NIFTY MEMBS'!M130</f>
        <v>19666.802999318337</v>
      </c>
      <c r="M141" s="4">
        <f>$M$4*'NIFTY MEMBS'!N130</f>
        <v>22151.441342576487</v>
      </c>
      <c r="N141" s="4">
        <f>$N$4*'NIFTY MEMBS'!O130</f>
        <v>20492.537313432837</v>
      </c>
      <c r="O141" s="4">
        <f>$O$4*'NIFTY MEMBS'!P130</f>
        <v>24876.985014538132</v>
      </c>
      <c r="P141" s="4">
        <f>$P$4*'NIFTY MEMBS'!Q130</f>
        <v>17867.622061246369</v>
      </c>
      <c r="Q141" s="4">
        <f>$Q$4*'NIFTY MEMBS'!R130</f>
        <v>17698.880922775734</v>
      </c>
      <c r="R141" s="4">
        <f>$R$4*'NIFTY MEMBS'!S130</f>
        <v>21743.688302612038</v>
      </c>
      <c r="S141" s="4">
        <f>$S$4*'NIFTY MEMBS'!T130</f>
        <v>21746.594513901851</v>
      </c>
      <c r="T141" s="4">
        <f>$T$4*'NIFTY MEMBS'!U130</f>
        <v>25606.445064704389</v>
      </c>
      <c r="U141" s="4">
        <f>$U$4*'NIFTY MEMBS'!V130</f>
        <v>21152.173578991045</v>
      </c>
      <c r="V141" s="4">
        <f>$V$4*'NIFTY MEMBS'!W130</f>
        <v>20572.456166641688</v>
      </c>
      <c r="W141" s="4">
        <f>$W$4*'NIFTY MEMBS'!X130</f>
        <v>19059.674502712478</v>
      </c>
      <c r="X141" s="4">
        <f>$X$4*'NIFTY MEMBS'!Y130</f>
        <v>23771.231640272417</v>
      </c>
      <c r="Y141" s="4">
        <f>$Y$4*'NIFTY MEMBS'!Z130</f>
        <v>20530.913694872339</v>
      </c>
      <c r="Z141" s="4">
        <f>$Z$4*'NIFTY MEMBS'!AA130</f>
        <v>28717.250765566525</v>
      </c>
      <c r="AA141" s="4">
        <f>$AA$4*'NIFTY MEMBS'!AB130</f>
        <v>23082.445192997955</v>
      </c>
      <c r="AB141" s="4">
        <f>$AB$4*'NIFTY MEMBS'!AC130</f>
        <v>17958.707958707957</v>
      </c>
      <c r="AC141" s="4">
        <f>$AC$4*'NIFTY MEMBS'!AD130</f>
        <v>19184.922680412372</v>
      </c>
      <c r="AD141" s="4">
        <f>$AD$4*'NIFTY MEMBS'!AE130</f>
        <v>18503.837170503837</v>
      </c>
      <c r="AE141" s="4">
        <f>$AE$4*'NIFTY MEMBS'!AF130</f>
        <v>19082.323194764631</v>
      </c>
      <c r="AF141" s="4">
        <f>$AF$4*'NIFTY MEMBS'!AG130</f>
        <v>21561.625409498185</v>
      </c>
      <c r="AG141" s="4">
        <f>$AG$4*'NIFTY MEMBS'!AH130</f>
        <v>19816.252587991719</v>
      </c>
      <c r="AH141" s="4">
        <f>$AH$4*'NIFTY MEMBS'!AI130</f>
        <v>22292.600173332601</v>
      </c>
      <c r="AI141" s="4">
        <f>$AI$4*'NIFTY MEMBS'!AJ130</f>
        <v>23690.215006581831</v>
      </c>
      <c r="AJ141" s="4">
        <f>$AJ$4*'NIFTY MEMBS'!AK130</f>
        <v>21602.890458203321</v>
      </c>
      <c r="AK141" s="4">
        <f>$AK$4*'NIFTY MEMBS'!AL130</f>
        <v>23100.956124726163</v>
      </c>
      <c r="AL141" s="4">
        <f>$AL$4*'NIFTY MEMBS'!AM130</f>
        <v>23251.386813501726</v>
      </c>
      <c r="AM141" s="4">
        <f>$AM$4*'NIFTY MEMBS'!AN130</f>
        <v>15393.213121016406</v>
      </c>
      <c r="AN141" s="4">
        <f>$AN$4*'NIFTY MEMBS'!AO130</f>
        <v>25948.300485575546</v>
      </c>
      <c r="AO141" s="4">
        <f>$AO$4*'NIFTY MEMBS'!AP130</f>
        <v>25733.959818535317</v>
      </c>
      <c r="AP141" s="4">
        <f>$AP$4*'NIFTY MEMBS'!AQ130</f>
        <v>23125.05270258875</v>
      </c>
      <c r="AQ141" s="4">
        <f>$AQ$4*'NIFTY MEMBS'!AR130</f>
        <v>19196.525515743757</v>
      </c>
      <c r="AR141" s="4">
        <f>$AR$4*'NIFTY MEMBS'!AS130</f>
        <v>19466.352756523444</v>
      </c>
      <c r="AS141" s="4">
        <f>$AS$4*'NIFTY MEMBS'!AT130</f>
        <v>20530.147293290727</v>
      </c>
      <c r="AT141" s="4">
        <f>$AT$4*'NIFTY MEMBS'!AU130</f>
        <v>22919.843078135436</v>
      </c>
      <c r="AU141" s="4">
        <f>$AU$4*'NIFTY MEMBS'!AV130</f>
        <v>23903.075084211672</v>
      </c>
      <c r="AV141" s="4">
        <f>$AV$4*'NIFTY MEMBS'!AW130</f>
        <v>18755.295836376918</v>
      </c>
      <c r="AW141" s="4">
        <f>$AW$4*'NIFTY MEMBS'!AX130</f>
        <v>20554.685912985286</v>
      </c>
      <c r="AX141" s="4">
        <f>$AX$4*'NIFTY MEMBS'!AY130</f>
        <v>17542.809985558077</v>
      </c>
      <c r="AY141" s="4">
        <f t="shared" si="10"/>
        <v>1047446.9420158302</v>
      </c>
      <c r="AZ141" s="4">
        <f t="shared" si="11"/>
        <v>106.8823410220235</v>
      </c>
    </row>
    <row r="142" spans="1:52" ht="14.25" customHeight="1" x14ac:dyDescent="0.3">
      <c r="A142" s="2">
        <v>45847</v>
      </c>
      <c r="B142" s="4">
        <f>$B$4*'NIFTY MEMBS'!C131</f>
        <v>24876.151484135105</v>
      </c>
      <c r="C142" s="4">
        <f>$C$4*'NIFTY MEMBS'!D131</f>
        <v>22562.767843119658</v>
      </c>
      <c r="D142" s="4">
        <f>$D$4*'NIFTY MEMBS'!E131</f>
        <v>25314.282133233064</v>
      </c>
      <c r="E142" s="4">
        <f>$E$4*'NIFTY MEMBS'!F131</f>
        <v>16456.370290216295</v>
      </c>
      <c r="F142" s="4">
        <f>$F$4*'NIFTY MEMBS'!G131</f>
        <v>22309.819654890351</v>
      </c>
      <c r="G142" s="4">
        <f>$G$4*'NIFTY MEMBS'!H131</f>
        <v>20447.554210791728</v>
      </c>
      <c r="H142" s="4">
        <f>$H$4*'NIFTY MEMBS'!I131</f>
        <v>17356.706507304116</v>
      </c>
      <c r="I142" s="4">
        <f>$I$4*'NIFTY MEMBS'!J131</f>
        <v>20872.486111709233</v>
      </c>
      <c r="J142" s="4">
        <f>$J$4*'NIFTY MEMBS'!K131</f>
        <v>27124.998197626635</v>
      </c>
      <c r="K142" s="4">
        <f>$K$4*'NIFTY MEMBS'!L131</f>
        <v>18323.795378096194</v>
      </c>
      <c r="L142" s="4">
        <f>$L$4*'NIFTY MEMBS'!M131</f>
        <v>19521.199727334693</v>
      </c>
      <c r="M142" s="4">
        <f>$M$4*'NIFTY MEMBS'!N131</f>
        <v>22251.367290311646</v>
      </c>
      <c r="N142" s="4">
        <f>$N$4*'NIFTY MEMBS'!O131</f>
        <v>20611.940298507463</v>
      </c>
      <c r="O142" s="4">
        <f>$O$4*'NIFTY MEMBS'!P131</f>
        <v>24930.664280921494</v>
      </c>
      <c r="P142" s="4">
        <f>$P$4*'NIFTY MEMBS'!Q131</f>
        <v>17510.918172546353</v>
      </c>
      <c r="Q142" s="4">
        <f>$Q$4*'NIFTY MEMBS'!R131</f>
        <v>17666.075822111696</v>
      </c>
      <c r="R142" s="4">
        <f>$R$4*'NIFTY MEMBS'!S131</f>
        <v>21948.108674761945</v>
      </c>
      <c r="S142" s="4">
        <f>$S$4*'NIFTY MEMBS'!T131</f>
        <v>21733.532375443181</v>
      </c>
      <c r="T142" s="4">
        <f>$T$4*'NIFTY MEMBS'!U131</f>
        <v>25709.21086018777</v>
      </c>
      <c r="U142" s="4">
        <f>$U$4*'NIFTY MEMBS'!V131</f>
        <v>21095.625182476146</v>
      </c>
      <c r="V142" s="4">
        <f>$V$4*'NIFTY MEMBS'!W131</f>
        <v>20620.410609920575</v>
      </c>
      <c r="W142" s="4">
        <f>$W$4*'NIFTY MEMBS'!X131</f>
        <v>19135.623869801086</v>
      </c>
      <c r="X142" s="4">
        <f>$X$4*'NIFTY MEMBS'!Y131</f>
        <v>23680.971527037003</v>
      </c>
      <c r="Y142" s="4">
        <f>$Y$4*'NIFTY MEMBS'!Z131</f>
        <v>20540.198354083139</v>
      </c>
      <c r="Z142" s="4">
        <f>$Z$4*'NIFTY MEMBS'!AA131</f>
        <v>28421.231711466487</v>
      </c>
      <c r="AA142" s="4">
        <f>$AA$4*'NIFTY MEMBS'!AB131</f>
        <v>22980.83825722017</v>
      </c>
      <c r="AB142" s="4">
        <f>$AB$4*'NIFTY MEMBS'!AC131</f>
        <v>17835.497835497834</v>
      </c>
      <c r="AC142" s="4">
        <f>$AC$4*'NIFTY MEMBS'!AD131</f>
        <v>19307.345360824744</v>
      </c>
      <c r="AD142" s="4">
        <f>$AD$4*'NIFTY MEMBS'!AE131</f>
        <v>18493.159826493156</v>
      </c>
      <c r="AE142" s="4">
        <f>$AE$4*'NIFTY MEMBS'!AF131</f>
        <v>19131.519183575405</v>
      </c>
      <c r="AF142" s="4">
        <f>$AF$4*'NIFTY MEMBS'!AG131</f>
        <v>21685.722343956782</v>
      </c>
      <c r="AG142" s="4">
        <f>$AG$4*'NIFTY MEMBS'!AH131</f>
        <v>20054.347826086956</v>
      </c>
      <c r="AH142" s="4">
        <f>$AH$4*'NIFTY MEMBS'!AI131</f>
        <v>22383.876380667887</v>
      </c>
      <c r="AI142" s="4">
        <f>$AI$4*'NIFTY MEMBS'!AJ131</f>
        <v>23255.81395348837</v>
      </c>
      <c r="AJ142" s="4">
        <f>$AJ$4*'NIFTY MEMBS'!AK131</f>
        <v>21668.5826900969</v>
      </c>
      <c r="AK142" s="4">
        <f>$AK$4*'NIFTY MEMBS'!AL131</f>
        <v>22913.416456810595</v>
      </c>
      <c r="AL142" s="4">
        <f>$AL$4*'NIFTY MEMBS'!AM131</f>
        <v>23314.842486643603</v>
      </c>
      <c r="AM142" s="4">
        <f>$AM$4*'NIFTY MEMBS'!AN131</f>
        <v>15302.664808539839</v>
      </c>
      <c r="AN142" s="4">
        <f>$AN$4*'NIFTY MEMBS'!AO131</f>
        <v>25919.737217937731</v>
      </c>
      <c r="AO142" s="4">
        <f>$AO$4*'NIFTY MEMBS'!AP131</f>
        <v>25479.585223590402</v>
      </c>
      <c r="AP142" s="4">
        <f>$AP$4*'NIFTY MEMBS'!AQ131</f>
        <v>22732.102200860107</v>
      </c>
      <c r="AQ142" s="4">
        <f>$AQ$4*'NIFTY MEMBS'!AR131</f>
        <v>18954.72019250521</v>
      </c>
      <c r="AR142" s="4">
        <f>$AR$4*'NIFTY MEMBS'!AS131</f>
        <v>19510.823360146493</v>
      </c>
      <c r="AS142" s="4">
        <f>$AS$4*'NIFTY MEMBS'!AT131</f>
        <v>20269.619317063902</v>
      </c>
      <c r="AT142" s="4">
        <f>$AT$4*'NIFTY MEMBS'!AU131</f>
        <v>23334.418309835022</v>
      </c>
      <c r="AU142" s="4">
        <f>$AU$4*'NIFTY MEMBS'!AV131</f>
        <v>23859.610996414216</v>
      </c>
      <c r="AV142" s="4">
        <f>$AV$4*'NIFTY MEMBS'!AW131</f>
        <v>18544.923301680061</v>
      </c>
      <c r="AW142" s="4">
        <f>$AW$4*'NIFTY MEMBS'!AX131</f>
        <v>20710.982589888514</v>
      </c>
      <c r="AX142" s="4">
        <f>$AX$4*'NIFTY MEMBS'!AY131</f>
        <v>17345.780895399217</v>
      </c>
      <c r="AY142" s="4">
        <f t="shared" ref="AY142:AY178" si="12">SUM(B142:AX142)</f>
        <v>1046011.9415832559</v>
      </c>
      <c r="AZ142" s="4">
        <f t="shared" ref="AZ142:AZ178" si="13">AY142/$AY$13*100</f>
        <v>106.73591240645467</v>
      </c>
    </row>
    <row r="143" spans="1:52" ht="14.25" customHeight="1" x14ac:dyDescent="0.3">
      <c r="A143" s="2">
        <v>45848</v>
      </c>
      <c r="B143" s="4">
        <f>$B$4*'NIFTY MEMBS'!C132</f>
        <v>24846.673490276356</v>
      </c>
      <c r="C143" s="4">
        <f>$C$4*'NIFTY MEMBS'!D132</f>
        <v>22506.675043191459</v>
      </c>
      <c r="D143" s="4">
        <f>$D$4*'NIFTY MEMBS'!E132</f>
        <v>24622.422761170645</v>
      </c>
      <c r="E143" s="4">
        <f>$E$4*'NIFTY MEMBS'!F132</f>
        <v>16447.616384393732</v>
      </c>
      <c r="F143" s="4">
        <f>$F$4*'NIFTY MEMBS'!G132</f>
        <v>22188.291200872511</v>
      </c>
      <c r="G143" s="4">
        <f>$G$4*'NIFTY MEMBS'!H132</f>
        <v>20373.17196167423</v>
      </c>
      <c r="H143" s="4">
        <f>$H$4*'NIFTY MEMBS'!I132</f>
        <v>17166.533864541831</v>
      </c>
      <c r="I143" s="4">
        <f>$I$4*'NIFTY MEMBS'!J132</f>
        <v>20743.292709185655</v>
      </c>
      <c r="J143" s="4">
        <f>$J$4*'NIFTY MEMBS'!K132</f>
        <v>27328.305913226537</v>
      </c>
      <c r="K143" s="4">
        <f>$K$4*'NIFTY MEMBS'!L132</f>
        <v>18210.213621073784</v>
      </c>
      <c r="L143" s="4">
        <f>$L$4*'NIFTY MEMBS'!M132</f>
        <v>19493.933197000679</v>
      </c>
      <c r="M143" s="4">
        <f>$M$4*'NIFTY MEMBS'!N132</f>
        <v>22572.557836603235</v>
      </c>
      <c r="N143" s="4">
        <f>$N$4*'NIFTY MEMBS'!O132</f>
        <v>20521.739130434784</v>
      </c>
      <c r="O143" s="4">
        <f>$O$4*'NIFTY MEMBS'!P132</f>
        <v>24645.493178259898</v>
      </c>
      <c r="P143" s="4">
        <f>$P$4*'NIFTY MEMBS'!Q132</f>
        <v>17403.174769214675</v>
      </c>
      <c r="Q143" s="4">
        <f>$Q$4*'NIFTY MEMBS'!R132</f>
        <v>17593.058017407868</v>
      </c>
      <c r="R143" s="4">
        <f>$R$4*'NIFTY MEMBS'!S132</f>
        <v>21867.738272036338</v>
      </c>
      <c r="S143" s="4">
        <f>$S$4*'NIFTY MEMBS'!T132</f>
        <v>21726.068296323941</v>
      </c>
      <c r="T143" s="4">
        <f>$T$4*'NIFTY MEMBS'!U132</f>
        <v>25874.14361837097</v>
      </c>
      <c r="U143" s="4">
        <f>$U$4*'NIFTY MEMBS'!V132</f>
        <v>21020.022434961662</v>
      </c>
      <c r="V143" s="4">
        <f>$V$4*'NIFTY MEMBS'!W132</f>
        <v>20467.55582196913</v>
      </c>
      <c r="W143" s="4">
        <f>$W$4*'NIFTY MEMBS'!X132</f>
        <v>19012.658227848104</v>
      </c>
      <c r="X143" s="4">
        <f>$X$4*'NIFTY MEMBS'!Y132</f>
        <v>23682.612620004918</v>
      </c>
      <c r="Y143" s="4">
        <f>$Y$4*'NIFTY MEMBS'!Z132</f>
        <v>20518.252795948512</v>
      </c>
      <c r="Z143" s="4">
        <f>$Z$4*'NIFTY MEMBS'!AA132</f>
        <v>28138.82272881933</v>
      </c>
      <c r="AA143" s="4">
        <f>$AA$4*'NIFTY MEMBS'!AB132</f>
        <v>23044.89480368877</v>
      </c>
      <c r="AB143" s="4">
        <f>$AB$4*'NIFTY MEMBS'!AC132</f>
        <v>17652.347652347653</v>
      </c>
      <c r="AC143" s="4">
        <f>$AC$4*'NIFTY MEMBS'!AD132</f>
        <v>19281.572164948455</v>
      </c>
      <c r="AD143" s="4">
        <f>$AD$4*'NIFTY MEMBS'!AE132</f>
        <v>18567.9012345679</v>
      </c>
      <c r="AE143" s="4">
        <f>$AE$4*'NIFTY MEMBS'!AF132</f>
        <v>18957.617083593137</v>
      </c>
      <c r="AF143" s="4">
        <f>$AF$4*'NIFTY MEMBS'!AG132</f>
        <v>21271.77662551797</v>
      </c>
      <c r="AG143" s="4">
        <f>$AG$4*'NIFTY MEMBS'!AH132</f>
        <v>19878.364389233957</v>
      </c>
      <c r="AH143" s="4">
        <f>$AH$4*'NIFTY MEMBS'!AI132</f>
        <v>22140.473161107118</v>
      </c>
      <c r="AI143" s="4">
        <f>$AI$4*'NIFTY MEMBS'!AJ132</f>
        <v>23498.610501682022</v>
      </c>
      <c r="AJ143" s="4">
        <f>$AJ$4*'NIFTY MEMBS'!AK132</f>
        <v>21786.828707505338</v>
      </c>
      <c r="AK143" s="4">
        <f>$AK$4*'NIFTY MEMBS'!AL132</f>
        <v>22726.695739409945</v>
      </c>
      <c r="AL143" s="4">
        <f>$AL$4*'NIFTY MEMBS'!AM132</f>
        <v>23138.804167604852</v>
      </c>
      <c r="AM143" s="4">
        <f>$AM$4*'NIFTY MEMBS'!AN132</f>
        <v>15367.746408132371</v>
      </c>
      <c r="AN143" s="4">
        <f>$AN$4*'NIFTY MEMBS'!AO132</f>
        <v>25852.613538988859</v>
      </c>
      <c r="AO143" s="4">
        <f>$AO$4*'NIFTY MEMBS'!AP132</f>
        <v>24991.898898250158</v>
      </c>
      <c r="AP143" s="4">
        <f>$AP$4*'NIFTY MEMBS'!AQ132</f>
        <v>22769.204823340919</v>
      </c>
      <c r="AQ143" s="4">
        <f>$AQ$4*'NIFTY MEMBS'!AR132</f>
        <v>18782.169791941778</v>
      </c>
      <c r="AR143" s="4">
        <f>$AR$4*'NIFTY MEMBS'!AS132</f>
        <v>19329.017068864039</v>
      </c>
      <c r="AS143" s="4">
        <f>$AS$4*'NIFTY MEMBS'!AT132</f>
        <v>19971.097677637335</v>
      </c>
      <c r="AT143" s="4">
        <f>$AT$4*'NIFTY MEMBS'!AU132</f>
        <v>23015.77784249567</v>
      </c>
      <c r="AU143" s="4">
        <f>$AU$4*'NIFTY MEMBS'!AV132</f>
        <v>23664.022601325658</v>
      </c>
      <c r="AV143" s="4">
        <f>$AV$4*'NIFTY MEMBS'!AW132</f>
        <v>18445.580715850985</v>
      </c>
      <c r="AW143" s="4">
        <f>$AW$4*'NIFTY MEMBS'!AX132</f>
        <v>20654.581954186433</v>
      </c>
      <c r="AX143" s="4">
        <f>$AX$4*'NIFTY MEMBS'!AY132</f>
        <v>17595.419847328245</v>
      </c>
      <c r="AY143" s="4">
        <f t="shared" si="12"/>
        <v>1041356.0452943604</v>
      </c>
      <c r="AZ143" s="4">
        <f t="shared" si="13"/>
        <v>106.26082094840412</v>
      </c>
    </row>
    <row r="144" spans="1:52" ht="14.25" customHeight="1" x14ac:dyDescent="0.3">
      <c r="A144" s="2">
        <v>45849</v>
      </c>
      <c r="B144" s="4">
        <f>$B$4*'NIFTY MEMBS'!C133</f>
        <v>24486.386898669396</v>
      </c>
      <c r="C144" s="4">
        <f>$C$4*'NIFTY MEMBS'!D133</f>
        <v>22254.257443514554</v>
      </c>
      <c r="D144" s="4">
        <f>$D$4*'NIFTY MEMBS'!E133</f>
        <v>24088.487810992043</v>
      </c>
      <c r="E144" s="4">
        <f>$E$4*'NIFTY MEMBS'!F133</f>
        <v>15883.47578693966</v>
      </c>
      <c r="F144" s="4">
        <f>$F$4*'NIFTY MEMBS'!G133</f>
        <v>22154.01394461107</v>
      </c>
      <c r="G144" s="4">
        <f>$G$4*'NIFTY MEMBS'!H133</f>
        <v>20389.561270801812</v>
      </c>
      <c r="H144" s="4">
        <f>$H$4*'NIFTY MEMBS'!I133</f>
        <v>16944.488711819387</v>
      </c>
      <c r="I144" s="4">
        <f>$I$4*'NIFTY MEMBS'!J133</f>
        <v>21701.046466560441</v>
      </c>
      <c r="J144" s="4">
        <f>$J$4*'NIFTY MEMBS'!K133</f>
        <v>26920.248583334534</v>
      </c>
      <c r="K144" s="4">
        <f>$K$4*'NIFTY MEMBS'!L133</f>
        <v>18208.029356515661</v>
      </c>
      <c r="L144" s="4">
        <f>$L$4*'NIFTY MEMBS'!M133</f>
        <v>19307.9754601227</v>
      </c>
      <c r="M144" s="4">
        <f>$M$4*'NIFTY MEMBS'!N133</f>
        <v>22436.94405039123</v>
      </c>
      <c r="N144" s="4">
        <f>$N$4*'NIFTY MEMBS'!O133</f>
        <v>19942.894224529526</v>
      </c>
      <c r="O144" s="4">
        <f>$O$4*'NIFTY MEMBS'!P133</f>
        <v>24833.370610601651</v>
      </c>
      <c r="P144" s="4">
        <f>$P$4*'NIFTY MEMBS'!Q133</f>
        <v>17137.477444493841</v>
      </c>
      <c r="Q144" s="4">
        <f>$Q$4*'NIFTY MEMBS'!R133</f>
        <v>17693.589777507339</v>
      </c>
      <c r="R144" s="4">
        <f>$R$4*'NIFTY MEMBS'!S133</f>
        <v>21831.047436009434</v>
      </c>
      <c r="S144" s="4">
        <f>$S$4*'NIFTY MEMBS'!T133</f>
        <v>21903.340175405861</v>
      </c>
      <c r="T144" s="4">
        <f>$T$4*'NIFTY MEMBS'!U133</f>
        <v>25592.489215935042</v>
      </c>
      <c r="U144" s="4">
        <f>$U$4*'NIFTY MEMBS'!V133</f>
        <v>20662.292361356547</v>
      </c>
      <c r="V144" s="4">
        <f>$V$4*'NIFTY MEMBS'!W133</f>
        <v>20542.484639592385</v>
      </c>
      <c r="W144" s="4">
        <f>$W$4*'NIFTY MEMBS'!X133</f>
        <v>19048.824593128393</v>
      </c>
      <c r="X144" s="4">
        <f>$X$4*'NIFTY MEMBS'!Y133</f>
        <v>23495.528021662423</v>
      </c>
      <c r="Y144" s="4">
        <f>$Y$4*'NIFTY MEMBS'!Z133</f>
        <v>20405.992825490612</v>
      </c>
      <c r="Z144" s="4">
        <f>$Z$4*'NIFTY MEMBS'!AA133</f>
        <v>27853.011228308955</v>
      </c>
      <c r="AA144" s="4">
        <f>$AA$4*'NIFTY MEMBS'!AB133</f>
        <v>22910.155171461705</v>
      </c>
      <c r="AB144" s="4">
        <f>$AB$4*'NIFTY MEMBS'!AC133</f>
        <v>17202.797202797203</v>
      </c>
      <c r="AC144" s="4">
        <f>$AC$4*'NIFTY MEMBS'!AD133</f>
        <v>19236.469072164949</v>
      </c>
      <c r="AD144" s="4">
        <f>$AD$4*'NIFTY MEMBS'!AE133</f>
        <v>18199.53286619953</v>
      </c>
      <c r="AE144" s="4">
        <f>$AE$4*'NIFTY MEMBS'!AF133</f>
        <v>18458.792638907162</v>
      </c>
      <c r="AF144" s="4">
        <f>$AF$4*'NIFTY MEMBS'!AG133</f>
        <v>21167.639337860408</v>
      </c>
      <c r="AG144" s="4">
        <f>$AG$4*'NIFTY MEMBS'!AH133</f>
        <v>19717.90890269151</v>
      </c>
      <c r="AH144" s="4">
        <f>$AH$4*'NIFTY MEMBS'!AI133</f>
        <v>22159.834780844907</v>
      </c>
      <c r="AI144" s="4">
        <f>$AI$4*'NIFTY MEMBS'!AJ133</f>
        <v>23378.674857393591</v>
      </c>
      <c r="AJ144" s="4">
        <f>$AJ$4*'NIFTY MEMBS'!AK133</f>
        <v>21402.529150927905</v>
      </c>
      <c r="AK144" s="4">
        <f>$AK$4*'NIFTY MEMBS'!AL133</f>
        <v>22619.413221956063</v>
      </c>
      <c r="AL144" s="4">
        <f>$AL$4*'NIFTY MEMBS'!AM133</f>
        <v>22977.09454895298</v>
      </c>
      <c r="AM144" s="4">
        <f>$AM$4*'NIFTY MEMBS'!AN133</f>
        <v>15178.160878884559</v>
      </c>
      <c r="AN144" s="4">
        <f>$AN$4*'NIFTY MEMBS'!AO133</f>
        <v>26209.654384461581</v>
      </c>
      <c r="AO144" s="4">
        <f>$AO$4*'NIFTY MEMBS'!AP133</f>
        <v>24594.944912508097</v>
      </c>
      <c r="AP144" s="4">
        <f>$AP$4*'NIFTY MEMBS'!AQ133</f>
        <v>22630.913230457878</v>
      </c>
      <c r="AQ144" s="4">
        <f>$AQ$4*'NIFTY MEMBS'!AR133</f>
        <v>18810.34128591132</v>
      </c>
      <c r="AR144" s="4">
        <f>$AR$4*'NIFTY MEMBS'!AS133</f>
        <v>19423.190111830489</v>
      </c>
      <c r="AS144" s="4">
        <f>$AS$4*'NIFTY MEMBS'!AT133</f>
        <v>19511.102969611853</v>
      </c>
      <c r="AT144" s="4">
        <f>$AT$4*'NIFTY MEMBS'!AU133</f>
        <v>22895.859387045377</v>
      </c>
      <c r="AU144" s="4">
        <f>$AU$4*'NIFTY MEMBS'!AV133</f>
        <v>23401.064870151036</v>
      </c>
      <c r="AV144" s="4">
        <f>$AV$4*'NIFTY MEMBS'!AW133</f>
        <v>18330.168005843683</v>
      </c>
      <c r="AW144" s="4">
        <f>$AW$4*'NIFTY MEMBS'!AX133</f>
        <v>20164.183206471731</v>
      </c>
      <c r="AX144" s="4">
        <f>$AX$4*'NIFTY MEMBS'!AY133</f>
        <v>17719.207757375698</v>
      </c>
      <c r="AY144" s="4">
        <f t="shared" si="12"/>
        <v>1034016.891091006</v>
      </c>
      <c r="AZ144" s="4">
        <f t="shared" si="13"/>
        <v>105.51192766234756</v>
      </c>
    </row>
    <row r="145" spans="1:52" ht="14.25" customHeight="1" x14ac:dyDescent="0.3">
      <c r="A145" s="2">
        <v>45852</v>
      </c>
      <c r="B145" s="4">
        <f>$B$4*'NIFTY MEMBS'!C134</f>
        <v>24298.055271238485</v>
      </c>
      <c r="C145" s="4">
        <f>$C$4*'NIFTY MEMBS'!D134</f>
        <v>22246.404451524602</v>
      </c>
      <c r="D145" s="4">
        <f>$D$4*'NIFTY MEMBS'!E134</f>
        <v>24075.954126715547</v>
      </c>
      <c r="E145" s="4">
        <f>$E$4*'NIFTY MEMBS'!F134</f>
        <v>15672.895719096889</v>
      </c>
      <c r="F145" s="4">
        <f>$F$4*'NIFTY MEMBS'!G134</f>
        <v>22171.15257274179</v>
      </c>
      <c r="G145" s="4">
        <f>$G$4*'NIFTY MEMBS'!H134</f>
        <v>20394.604135148762</v>
      </c>
      <c r="H145" s="4">
        <f>$H$4*'NIFTY MEMBS'!I134</f>
        <v>16683.134130146082</v>
      </c>
      <c r="I145" s="4">
        <f>$I$4*'NIFTY MEMBS'!J134</f>
        <v>21675.207786055726</v>
      </c>
      <c r="J145" s="4">
        <f>$J$4*'NIFTY MEMBS'!K134</f>
        <v>26497.772266520555</v>
      </c>
      <c r="K145" s="4">
        <f>$K$4*'NIFTY MEMBS'!L134</f>
        <v>18321.611113538071</v>
      </c>
      <c r="L145" s="4">
        <f>$L$4*'NIFTY MEMBS'!M134</f>
        <v>19064.212678936605</v>
      </c>
      <c r="M145" s="4">
        <f>$M$4*'NIFTY MEMBS'!N134</f>
        <v>22329.880534960699</v>
      </c>
      <c r="N145" s="4">
        <f>$N$4*'NIFTY MEMBS'!O134</f>
        <v>20065.541855937699</v>
      </c>
      <c r="O145" s="4">
        <f>$O$4*'NIFTY MEMBS'!P134</f>
        <v>24645.493178259898</v>
      </c>
      <c r="P145" s="4">
        <f>$P$4*'NIFTY MEMBS'!Q134</f>
        <v>16943.957739480633</v>
      </c>
      <c r="Q145" s="4">
        <f>$Q$4*'NIFTY MEMBS'!R134</f>
        <v>17805.762057197277</v>
      </c>
      <c r="R145" s="4">
        <f>$R$4*'NIFTY MEMBS'!S134</f>
        <v>21867.738272036338</v>
      </c>
      <c r="S145" s="4">
        <f>$S$4*'NIFTY MEMBS'!T134</f>
        <v>21882.813957827955</v>
      </c>
      <c r="T145" s="4">
        <f>$T$4*'NIFTY MEMBS'!U134</f>
        <v>25419.94417660492</v>
      </c>
      <c r="U145" s="4">
        <f>$U$4*'NIFTY MEMBS'!V134</f>
        <v>20927.209305899167</v>
      </c>
      <c r="V145" s="4">
        <f>$V$4*'NIFTY MEMBS'!W134</f>
        <v>20506.518807133227</v>
      </c>
      <c r="W145" s="4">
        <f>$W$4*'NIFTY MEMBS'!X134</f>
        <v>19573.236889692591</v>
      </c>
      <c r="X145" s="4">
        <f>$X$4*'NIFTY MEMBS'!Y134</f>
        <v>23516.86223024534</v>
      </c>
      <c r="Y145" s="4">
        <f>$Y$4*'NIFTY MEMBS'!Z134</f>
        <v>20613.631567841319</v>
      </c>
      <c r="Z145" s="4">
        <f>$Z$4*'NIFTY MEMBS'!AA134</f>
        <v>27716.910513780203</v>
      </c>
      <c r="AA145" s="4">
        <f>$AA$4*'NIFTY MEMBS'!AB134</f>
        <v>22947.70556077089</v>
      </c>
      <c r="AB145" s="4">
        <f>$AB$4*'NIFTY MEMBS'!AC134</f>
        <v>16933.066933066933</v>
      </c>
      <c r="AC145" s="4">
        <f>$AC$4*'NIFTY MEMBS'!AD134</f>
        <v>19213.917525773199</v>
      </c>
      <c r="AD145" s="4">
        <f>$AD$4*'NIFTY MEMBS'!AE134</f>
        <v>18004.671338004671</v>
      </c>
      <c r="AE145" s="4">
        <f>$AE$4*'NIFTY MEMBS'!AF134</f>
        <v>18505.700442191854</v>
      </c>
      <c r="AF145" s="4">
        <f>$AF$4*'NIFTY MEMBS'!AG134</f>
        <v>20841.342503200049</v>
      </c>
      <c r="AG145" s="4">
        <f>$AG$4*'NIFTY MEMBS'!AH134</f>
        <v>19868.012422360251</v>
      </c>
      <c r="AH145" s="4">
        <f>$AH$4*'NIFTY MEMBS'!AI134</f>
        <v>22062.104700263691</v>
      </c>
      <c r="AI145" s="4">
        <f>$AI$4*'NIFTY MEMBS'!AJ134</f>
        <v>23466.432645897323</v>
      </c>
      <c r="AJ145" s="4">
        <f>$AJ$4*'NIFTY MEMBS'!AK134</f>
        <v>20962.39119724093</v>
      </c>
      <c r="AK145" s="4">
        <f>$AK$4*'NIFTY MEMBS'!AL134</f>
        <v>22802.858137297055</v>
      </c>
      <c r="AL145" s="4">
        <f>$AL$4*'NIFTY MEMBS'!AM134</f>
        <v>22682.33271242298</v>
      </c>
      <c r="AM145" s="4">
        <f>$AM$4*'NIFTY MEMBS'!AN134</f>
        <v>15038.093958022369</v>
      </c>
      <c r="AN145" s="4">
        <f>$AN$4*'NIFTY MEMBS'!AO134</f>
        <v>26439.588688946013</v>
      </c>
      <c r="AO145" s="4">
        <f>$AO$4*'NIFTY MEMBS'!AP134</f>
        <v>24781.27025275437</v>
      </c>
      <c r="AP145" s="4">
        <f>$AP$4*'NIFTY MEMBS'!AQ134</f>
        <v>22480.816257694576</v>
      </c>
      <c r="AQ145" s="4">
        <f>$AQ$4*'NIFTY MEMBS'!AR134</f>
        <v>18507.497725738769</v>
      </c>
      <c r="AR145" s="4">
        <f>$AR$4*'NIFTY MEMBS'!AS134</f>
        <v>19410.110522529594</v>
      </c>
      <c r="AS145" s="4">
        <f>$AS$4*'NIFTY MEMBS'!AT134</f>
        <v>19593.874878725583</v>
      </c>
      <c r="AT145" s="4">
        <f>$AT$4*'NIFTY MEMBS'!AU134</f>
        <v>22947.253010809789</v>
      </c>
      <c r="AU145" s="4">
        <f>$AU$4*'NIFTY MEMBS'!AV134</f>
        <v>23292.404650657394</v>
      </c>
      <c r="AV145" s="4">
        <f>$AV$4*'NIFTY MEMBS'!AW134</f>
        <v>18270.27027027027</v>
      </c>
      <c r="AW145" s="4">
        <f>$AW$4*'NIFTY MEMBS'!AX134</f>
        <v>20321.913797841957</v>
      </c>
      <c r="AX145" s="4">
        <f>$AX$4*'NIFTY MEMBS'!AY134</f>
        <v>17899.731792861567</v>
      </c>
      <c r="AY145" s="4">
        <f t="shared" si="12"/>
        <v>1032189.8672639027</v>
      </c>
      <c r="AZ145" s="4">
        <f t="shared" si="13"/>
        <v>105.3254966595819</v>
      </c>
    </row>
    <row r="146" spans="1:52" ht="14.25" customHeight="1" x14ac:dyDescent="0.3">
      <c r="A146" s="2">
        <v>45853</v>
      </c>
      <c r="B146" s="4">
        <f>$B$4*'NIFTY MEMBS'!C135</f>
        <v>24325.895598771749</v>
      </c>
      <c r="C146" s="4">
        <f>$C$4*'NIFTY MEMBS'!D135</f>
        <v>22386.636451345108</v>
      </c>
      <c r="D146" s="4">
        <f>$D$4*'NIFTY MEMBS'!E135</f>
        <v>24242.652127592904</v>
      </c>
      <c r="E146" s="4">
        <f>$E$4*'NIFTY MEMBS'!F135</f>
        <v>15816.84883706793</v>
      </c>
      <c r="F146" s="4">
        <f>$F$4*'NIFTY MEMBS'!G135</f>
        <v>22292.68102675963</v>
      </c>
      <c r="G146" s="4">
        <f>$G$4*'NIFTY MEMBS'!H135</f>
        <v>20586.232980332828</v>
      </c>
      <c r="H146" s="4">
        <f>$H$4*'NIFTY MEMBS'!I135</f>
        <v>16845.683930942894</v>
      </c>
      <c r="I146" s="4">
        <f>$I$4*'NIFTY MEMBS'!J135</f>
        <v>21763.920589121917</v>
      </c>
      <c r="J146" s="4">
        <f>$J$4*'NIFTY MEMBS'!K135</f>
        <v>26773.17491673035</v>
      </c>
      <c r="K146" s="4">
        <f>$K$4*'NIFTY MEMBS'!L135</f>
        <v>18439.561399676728</v>
      </c>
      <c r="L146" s="4">
        <f>$L$4*'NIFTY MEMBS'!M135</f>
        <v>19053.851397409679</v>
      </c>
      <c r="M146" s="4">
        <f>$M$4*'NIFTY MEMBS'!N135</f>
        <v>22369.137157285229</v>
      </c>
      <c r="N146" s="4">
        <f>$N$4*'NIFTY MEMBS'!O135</f>
        <v>20302.401038286825</v>
      </c>
      <c r="O146" s="4">
        <f>$O$4*'NIFTY MEMBS'!P135</f>
        <v>24469.917244464323</v>
      </c>
      <c r="P146" s="4">
        <f>$P$4*'NIFTY MEMBS'!Q135</f>
        <v>16385.365726091164</v>
      </c>
      <c r="Q146" s="4">
        <f>$Q$4*'NIFTY MEMBS'!R135</f>
        <v>18280.906902299001</v>
      </c>
      <c r="R146" s="4">
        <f>$R$4*'NIFTY MEMBS'!S135</f>
        <v>21843.277714685068</v>
      </c>
      <c r="S146" s="4">
        <f>$S$4*'NIFTY MEMBS'!T135</f>
        <v>21755.9246128009</v>
      </c>
      <c r="T146" s="4">
        <f>$T$4*'NIFTY MEMBS'!U135</f>
        <v>25837.350926160871</v>
      </c>
      <c r="U146" s="4">
        <f>$U$4*'NIFTY MEMBS'!V135</f>
        <v>20990.518923736498</v>
      </c>
      <c r="V146" s="4">
        <f>$V$4*'NIFTY MEMBS'!W135</f>
        <v>20500.524501723365</v>
      </c>
      <c r="W146" s="4">
        <f>$W$4*'NIFTY MEMBS'!X135</f>
        <v>19273.056057866186</v>
      </c>
      <c r="X146" s="4">
        <f>$X$4*'NIFTY MEMBS'!Y135</f>
        <v>23715.434479363252</v>
      </c>
      <c r="Y146" s="4">
        <f>$Y$4*'NIFTY MEMBS'!Z135</f>
        <v>20567.208271787298</v>
      </c>
      <c r="Z146" s="4">
        <f>$Z$4*'NIFTY MEMBS'!AA135</f>
        <v>27829.19360326642</v>
      </c>
      <c r="AA146" s="4">
        <f>$AA$4*'NIFTY MEMBS'!AB135</f>
        <v>22861.56055000276</v>
      </c>
      <c r="AB146" s="4">
        <f>$AB$4*'NIFTY MEMBS'!AC135</f>
        <v>17142.857142857141</v>
      </c>
      <c r="AC146" s="4">
        <f>$AC$4*'NIFTY MEMBS'!AD135</f>
        <v>19204.252577319588</v>
      </c>
      <c r="AD146" s="4">
        <f>$AD$4*'NIFTY MEMBS'!AE135</f>
        <v>18268.935602268935</v>
      </c>
      <c r="AE146" s="4">
        <f>$AE$4*'NIFTY MEMBS'!AF135</f>
        <v>19017.109907271282</v>
      </c>
      <c r="AF146" s="4">
        <f>$AF$4*'NIFTY MEMBS'!AG135</f>
        <v>20771.049834031197</v>
      </c>
      <c r="AG146" s="4">
        <f>$AG$4*'NIFTY MEMBS'!AH135</f>
        <v>20002.587991718425</v>
      </c>
      <c r="AH146" s="4">
        <f>$AH$4*'NIFTY MEMBS'!AI135</f>
        <v>22277.848463056191</v>
      </c>
      <c r="AI146" s="4">
        <f>$AI$4*'NIFTY MEMBS'!AJ135</f>
        <v>23255.81395348837</v>
      </c>
      <c r="AJ146" s="4">
        <f>$AJ$4*'NIFTY MEMBS'!AK135</f>
        <v>21100.344884217444</v>
      </c>
      <c r="AK146" s="4">
        <f>$AK$4*'NIFTY MEMBS'!AL135</f>
        <v>22755.359007431973</v>
      </c>
      <c r="AL146" s="4">
        <f>$AL$4*'NIFTY MEMBS'!AM135</f>
        <v>22889.075389433605</v>
      </c>
      <c r="AM146" s="4">
        <f>$AM$4*'NIFTY MEMBS'!AN135</f>
        <v>15251.73138277177</v>
      </c>
      <c r="AN146" s="4">
        <f>$AN$4*'NIFTY MEMBS'!AO135</f>
        <v>26061.125392744925</v>
      </c>
      <c r="AO146" s="4">
        <f>$AO$4*'NIFTY MEMBS'!AP135</f>
        <v>24525.275437459492</v>
      </c>
      <c r="AP146" s="4">
        <f>$AP$4*'NIFTY MEMBS'!AQ135</f>
        <v>22627.540264777803</v>
      </c>
      <c r="AQ146" s="4">
        <f>$AQ$4*'NIFTY MEMBS'!AR135</f>
        <v>18534.495407459577</v>
      </c>
      <c r="AR146" s="4">
        <f>$AR$4*'NIFTY MEMBS'!AS135</f>
        <v>19500.359688705776</v>
      </c>
      <c r="AS146" s="4">
        <f>$AS$4*'NIFTY MEMBS'!AT135</f>
        <v>19975.168427265882</v>
      </c>
      <c r="AT146" s="4">
        <f>$AT$4*'NIFTY MEMBS'!AU135</f>
        <v>23450.910523701026</v>
      </c>
      <c r="AU146" s="4">
        <f>$AU$4*'NIFTY MEMBS'!AV135</f>
        <v>23509.725089644682</v>
      </c>
      <c r="AV146" s="4">
        <f>$AV$4*'NIFTY MEMBS'!AW135</f>
        <v>18420.745069393721</v>
      </c>
      <c r="AW146" s="4">
        <f>$AW$4*'NIFTY MEMBS'!AX135</f>
        <v>21288.850120090334</v>
      </c>
      <c r="AX146" s="4">
        <f>$AX$4*'NIFTY MEMBS'!AY135</f>
        <v>18176.19145863421</v>
      </c>
      <c r="AY146" s="4">
        <f t="shared" si="12"/>
        <v>1037516.2699813141</v>
      </c>
      <c r="AZ146" s="4">
        <f t="shared" si="13"/>
        <v>105.86900714095042</v>
      </c>
    </row>
    <row r="147" spans="1:52" ht="14.25" customHeight="1" x14ac:dyDescent="0.3">
      <c r="A147" s="2">
        <v>45854</v>
      </c>
      <c r="B147" s="4">
        <f>$B$4*'NIFTY MEMBS'!C136</f>
        <v>24329.170931422719</v>
      </c>
      <c r="C147" s="4">
        <f>$C$4*'NIFTY MEMBS'!D136</f>
        <v>22395.611299333617</v>
      </c>
      <c r="D147" s="4">
        <f>$D$4*'NIFTY MEMBS'!E136</f>
        <v>24272.732969856486</v>
      </c>
      <c r="E147" s="4">
        <f>$E$4*'NIFTY MEMBS'!F136</f>
        <v>15723.473841627254</v>
      </c>
      <c r="F147" s="4">
        <f>$F$4*'NIFTY MEMBS'!G136</f>
        <v>22224.126514236748</v>
      </c>
      <c r="G147" s="4">
        <f>$G$4*'NIFTY MEMBS'!H136</f>
        <v>20970.751386787695</v>
      </c>
      <c r="H147" s="4">
        <f>$H$4*'NIFTY MEMBS'!I136</f>
        <v>17082.602921646747</v>
      </c>
      <c r="I147" s="4">
        <f>$I$4*'NIFTY MEMBS'!J136</f>
        <v>21683.820679557299</v>
      </c>
      <c r="J147" s="4">
        <f>$J$4*'NIFTY MEMBS'!K136</f>
        <v>26581.40239066803</v>
      </c>
      <c r="K147" s="4">
        <f>$K$4*'NIFTY MEMBS'!L136</f>
        <v>18548.774627582894</v>
      </c>
      <c r="L147" s="4">
        <f>$L$4*'NIFTY MEMBS'!M136</f>
        <v>19107.293796864349</v>
      </c>
      <c r="M147" s="4">
        <f>$M$4*'NIFTY MEMBS'!N136</f>
        <v>22419.100131152809</v>
      </c>
      <c r="N147" s="4">
        <f>$N$4*'NIFTY MEMBS'!O136</f>
        <v>20743.024010382866</v>
      </c>
      <c r="O147" s="4">
        <f>$O$4*'NIFTY MEMBS'!P136</f>
        <v>24372.623574144483</v>
      </c>
      <c r="P147" s="4">
        <f>$P$4*'NIFTY MEMBS'!Q136</f>
        <v>16347.707837548052</v>
      </c>
      <c r="Q147" s="4">
        <f>$Q$4*'NIFTY MEMBS'!R136</f>
        <v>18000.476203074155</v>
      </c>
      <c r="R147" s="4">
        <f>$R$4*'NIFTY MEMBS'!S136</f>
        <v>21757.665763955622</v>
      </c>
      <c r="S147" s="4">
        <f>$S$4*'NIFTY MEMBS'!T136</f>
        <v>21802.575107296139</v>
      </c>
      <c r="T147" s="4">
        <f>$T$4*'NIFTY MEMBS'!U136</f>
        <v>25831.007358538442</v>
      </c>
      <c r="U147" s="4">
        <f>$U$4*'NIFTY MEMBS'!V136</f>
        <v>21004.656022865223</v>
      </c>
      <c r="V147" s="4">
        <f>$V$4*'NIFTY MEMBS'!W136</f>
        <v>20527.498876067737</v>
      </c>
      <c r="W147" s="4">
        <f>$W$4*'NIFTY MEMBS'!X136</f>
        <v>18976.491862567815</v>
      </c>
      <c r="X147" s="4">
        <f>$X$4*'NIFTY MEMBS'!Y136</f>
        <v>23905.801263641584</v>
      </c>
      <c r="Y147" s="4">
        <f>$Y$4*'NIFTY MEMBS'!Z136</f>
        <v>20497.995357670396</v>
      </c>
      <c r="Z147" s="4">
        <f>$Z$4*'NIFTY MEMBS'!AA136</f>
        <v>27638.652602926169</v>
      </c>
      <c r="AA147" s="4">
        <f>$AA$4*'NIFTY MEMBS'!AB136</f>
        <v>22746.700535645257</v>
      </c>
      <c r="AB147" s="4">
        <f>$AB$4*'NIFTY MEMBS'!AC136</f>
        <v>17502.497502497503</v>
      </c>
      <c r="AC147" s="4">
        <f>$AC$4*'NIFTY MEMBS'!AD136</f>
        <v>19139.81958762887</v>
      </c>
      <c r="AD147" s="4">
        <f>$AD$4*'NIFTY MEMBS'!AE136</f>
        <v>18124.79145812479</v>
      </c>
      <c r="AE147" s="4">
        <f>$AE$4*'NIFTY MEMBS'!AF136</f>
        <v>18997.660330299583</v>
      </c>
      <c r="AF147" s="4">
        <f>$AF$4*'NIFTY MEMBS'!AG136</f>
        <v>20918.577658212744</v>
      </c>
      <c r="AG147" s="4">
        <f>$AG$4*'NIFTY MEMBS'!AH136</f>
        <v>20002.587991718425</v>
      </c>
      <c r="AH147" s="4">
        <f>$AH$4*'NIFTY MEMBS'!AI136</f>
        <v>22680.75454998064</v>
      </c>
      <c r="AI147" s="4">
        <f>$AI$4*'NIFTY MEMBS'!AJ136</f>
        <v>23011.554775486326</v>
      </c>
      <c r="AJ147" s="4">
        <f>$AJ$4*'NIFTY MEMBS'!AK136</f>
        <v>20991.95270159304</v>
      </c>
      <c r="AK147" s="4">
        <f>$AK$4*'NIFTY MEMBS'!AL136</f>
        <v>22622.689024015723</v>
      </c>
      <c r="AL147" s="4">
        <f>$AL$4*'NIFTY MEMBS'!AM136</f>
        <v>23034.409350500478</v>
      </c>
      <c r="AM147" s="4">
        <f>$AM$4*'NIFTY MEMBS'!AN136</f>
        <v>15229.094304652628</v>
      </c>
      <c r="AN147" s="4">
        <f>$AN$4*'NIFTY MEMBS'!AO136</f>
        <v>26122.536418166233</v>
      </c>
      <c r="AO147" s="4">
        <f>$AO$4*'NIFTY MEMBS'!AP136</f>
        <v>24496.111471160075</v>
      </c>
      <c r="AP147" s="4">
        <f>$AP$4*'NIFTY MEMBS'!AQ136</f>
        <v>22489.248671894762</v>
      </c>
      <c r="AQ147" s="4">
        <f>$AQ$4*'NIFTY MEMBS'!AR136</f>
        <v>18873.727147342783</v>
      </c>
      <c r="AR147" s="4">
        <f>$AR$4*'NIFTY MEMBS'!AS136</f>
        <v>19302.857890262247</v>
      </c>
      <c r="AS147" s="4">
        <f>$AS$4*'NIFTY MEMBS'!AT136</f>
        <v>19953.45776258031</v>
      </c>
      <c r="AT147" s="4">
        <f>$AT$4*'NIFTY MEMBS'!AU136</f>
        <v>22899.285628629674</v>
      </c>
      <c r="AU147" s="4">
        <f>$AU$4*'NIFTY MEMBS'!AV136</f>
        <v>23503.205476475065</v>
      </c>
      <c r="AV147" s="4">
        <f>$AV$4*'NIFTY MEMBS'!AW136</f>
        <v>18398.831263696131</v>
      </c>
      <c r="AW147" s="4">
        <f>$AW$4*'NIFTY MEMBS'!AX136</f>
        <v>21147.848530835134</v>
      </c>
      <c r="AX147" s="4">
        <f>$AX$4*'NIFTY MEMBS'!AY136</f>
        <v>18150.402310707657</v>
      </c>
      <c r="AY147" s="4">
        <f t="shared" si="12"/>
        <v>1037085.6396735213</v>
      </c>
      <c r="AZ147" s="4">
        <f t="shared" si="13"/>
        <v>105.82506527280829</v>
      </c>
    </row>
    <row r="148" spans="1:52" ht="14.25" customHeight="1" x14ac:dyDescent="0.3">
      <c r="A148" s="2">
        <v>45855</v>
      </c>
      <c r="B148" s="4">
        <f>$B$4*'NIFTY MEMBS'!C137</f>
        <v>24178.505629477993</v>
      </c>
      <c r="C148" s="4">
        <f>$C$4*'NIFTY MEMBS'!D137</f>
        <v>22290.156835468602</v>
      </c>
      <c r="D148" s="4">
        <f>$D$4*'NIFTY MEMBS'!E137</f>
        <v>24188.757285203985</v>
      </c>
      <c r="E148" s="4">
        <f>$E$4*'NIFTY MEMBS'!F137</f>
        <v>15607.241425427665</v>
      </c>
      <c r="F148" s="4">
        <f>$F$4*'NIFTY MEMBS'!G137</f>
        <v>22104.156117321698</v>
      </c>
      <c r="G148" s="4">
        <f>$G$4*'NIFTY MEMBS'!H137</f>
        <v>20902.67271810388</v>
      </c>
      <c r="H148" s="4">
        <f>$H$4*'NIFTY MEMBS'!I137</f>
        <v>16823.373173970784</v>
      </c>
      <c r="I148" s="4">
        <f>$I$4*'NIFTY MEMBS'!J137</f>
        <v>21616.64011024504</v>
      </c>
      <c r="J148" s="4">
        <f>$J$4*'NIFTY MEMBS'!K137</f>
        <v>26626.101250126165</v>
      </c>
      <c r="K148" s="4">
        <f>$K$4*'NIFTY MEMBS'!L137</f>
        <v>18520.37918832729</v>
      </c>
      <c r="L148" s="4">
        <f>$L$4*'NIFTY MEMBS'!M137</f>
        <v>18944.78527607362</v>
      </c>
      <c r="M148" s="4">
        <f>$M$4*'NIFTY MEMBS'!N137</f>
        <v>22262.073641854699</v>
      </c>
      <c r="N148" s="4">
        <f>$N$4*'NIFTY MEMBS'!O137</f>
        <v>20733.29007138222</v>
      </c>
      <c r="O148" s="4">
        <f>$O$4*'NIFTY MEMBS'!P137</f>
        <v>24276.4482218743</v>
      </c>
      <c r="P148" s="4">
        <f>$P$4*'NIFTY MEMBS'!Q137</f>
        <v>16150.003922696724</v>
      </c>
      <c r="Q148" s="4">
        <f>$Q$4*'NIFTY MEMBS'!R137</f>
        <v>18025.873700362445</v>
      </c>
      <c r="R148" s="4">
        <f>$R$4*'NIFTY MEMBS'!S137</f>
        <v>21831.047436009434</v>
      </c>
      <c r="S148" s="4">
        <f>$S$4*'NIFTY MEMBS'!T137</f>
        <v>21642.097406232508</v>
      </c>
      <c r="T148" s="4">
        <f>$T$4*'NIFTY MEMBS'!U137</f>
        <v>25710.479573712255</v>
      </c>
      <c r="U148" s="4">
        <f>$U$4*'NIFTY MEMBS'!V137</f>
        <v>21103.001060282437</v>
      </c>
      <c r="V148" s="4">
        <f>$V$4*'NIFTY MEMBS'!W137</f>
        <v>20539.487486887458</v>
      </c>
      <c r="W148" s="4">
        <f>$W$4*'NIFTY MEMBS'!X137</f>
        <v>18781.193490054251</v>
      </c>
      <c r="X148" s="4">
        <f>$X$4*'NIFTY MEMBS'!Y137</f>
        <v>23836.875358989084</v>
      </c>
      <c r="Y148" s="4">
        <f>$Y$4*'NIFTY MEMBS'!Z137</f>
        <v>20584.089470352395</v>
      </c>
      <c r="Z148" s="4">
        <f>$Z$4*'NIFTY MEMBS'!AA137</f>
        <v>27505.954406260636</v>
      </c>
      <c r="AA148" s="4">
        <f>$AA$4*'NIFTY MEMBS'!AB137</f>
        <v>22843.889778563145</v>
      </c>
      <c r="AB148" s="4">
        <f>$AB$4*'NIFTY MEMBS'!AC137</f>
        <v>17355.977355977357</v>
      </c>
      <c r="AC148" s="4">
        <f>$AC$4*'NIFTY MEMBS'!AD137</f>
        <v>19110.824742268043</v>
      </c>
      <c r="AD148" s="4">
        <f>$AD$4*'NIFTY MEMBS'!AE137</f>
        <v>18196.863530196864</v>
      </c>
      <c r="AE148" s="4">
        <f>$AE$4*'NIFTY MEMBS'!AF137</f>
        <v>19060.585432266849</v>
      </c>
      <c r="AF148" s="4">
        <f>$AF$4*'NIFTY MEMBS'!AG137</f>
        <v>20817.911613477099</v>
      </c>
      <c r="AG148" s="4">
        <f>$AG$4*'NIFTY MEMBS'!AH137</f>
        <v>19974.120082815734</v>
      </c>
      <c r="AH148" s="4">
        <f>$AH$4*'NIFTY MEMBS'!AI137</f>
        <v>22580.258523722598</v>
      </c>
      <c r="AI148" s="4">
        <f>$AI$4*'NIFTY MEMBS'!AJ137</f>
        <v>23387.450636243964</v>
      </c>
      <c r="AJ148" s="4">
        <f>$AJ$4*'NIFTY MEMBS'!AK137</f>
        <v>20899.983576942028</v>
      </c>
      <c r="AK148" s="4">
        <f>$AK$4*'NIFTY MEMBS'!AL137</f>
        <v>22654.628094097414</v>
      </c>
      <c r="AL148" s="4">
        <f>$AL$4*'NIFTY MEMBS'!AM137</f>
        <v>23130.616338812353</v>
      </c>
      <c r="AM148" s="4">
        <f>$AM$4*'NIFTY MEMBS'!AN137</f>
        <v>15329.54633880632</v>
      </c>
      <c r="AN148" s="4">
        <f>$AN$4*'NIFTY MEMBS'!AO137</f>
        <v>25746.92944872893</v>
      </c>
      <c r="AO148" s="4">
        <f>$AO$4*'NIFTY MEMBS'!AP137</f>
        <v>24361.633182112761</v>
      </c>
      <c r="AP148" s="4">
        <f>$AP$4*'NIFTY MEMBS'!AQ137</f>
        <v>22752.339994940547</v>
      </c>
      <c r="AQ148" s="4">
        <f>$AQ$4*'NIFTY MEMBS'!AR137</f>
        <v>18354.902133403764</v>
      </c>
      <c r="AR148" s="4">
        <f>$AR$4*'NIFTY MEMBS'!AS137</f>
        <v>19389.18317964816</v>
      </c>
      <c r="AS148" s="4">
        <f>$AS$4*'NIFTY MEMBS'!AT137</f>
        <v>19948.030096408918</v>
      </c>
      <c r="AT148" s="4">
        <f>$AT$4*'NIFTY MEMBS'!AU137</f>
        <v>22799.924622685143</v>
      </c>
      <c r="AU148" s="4">
        <f>$AU$4*'NIFTY MEMBS'!AV137</f>
        <v>24031.294143214171</v>
      </c>
      <c r="AV148" s="4">
        <f>$AV$4*'NIFTY MEMBS'!AW137</f>
        <v>18452.885317750181</v>
      </c>
      <c r="AW148" s="4">
        <f>$AW$4*'NIFTY MEMBS'!AX137</f>
        <v>21239.141085234267</v>
      </c>
      <c r="AX148" s="4">
        <f>$AX$4*'NIFTY MEMBS'!AY137</f>
        <v>17848.153497008461</v>
      </c>
      <c r="AY148" s="4">
        <f t="shared" si="12"/>
        <v>1035051.7570020226</v>
      </c>
      <c r="AZ148" s="4">
        <f t="shared" si="13"/>
        <v>105.61752622469618</v>
      </c>
    </row>
    <row r="149" spans="1:52" ht="14.25" customHeight="1" x14ac:dyDescent="0.3">
      <c r="A149" s="2">
        <v>45856</v>
      </c>
      <c r="B149" s="4">
        <f>$B$4*'NIFTY MEMBS'!C138</f>
        <v>24171.95496417605</v>
      </c>
      <c r="C149" s="4">
        <f>$C$4*'NIFTY MEMBS'!D138</f>
        <v>21959.209315892214</v>
      </c>
      <c r="D149" s="4">
        <f>$D$4*'NIFTY MEMBS'!E138</f>
        <v>23826.533809613335</v>
      </c>
      <c r="E149" s="4">
        <f>$E$4*'NIFTY MEMBS'!F138</f>
        <v>15513.380101885738</v>
      </c>
      <c r="F149" s="4">
        <f>$F$4*'NIFTY MEMBS'!G138</f>
        <v>22214.778171619986</v>
      </c>
      <c r="G149" s="4">
        <f>$G$4*'NIFTY MEMBS'!H138</f>
        <v>20760.211800302572</v>
      </c>
      <c r="H149" s="4">
        <f>$H$4*'NIFTY MEMBS'!I138</f>
        <v>16850.996015936253</v>
      </c>
      <c r="I149" s="4">
        <f>$I$4*'NIFTY MEMBS'!J138</f>
        <v>21442.659661513288</v>
      </c>
      <c r="J149" s="4">
        <f>$J$4*'NIFTY MEMBS'!K138</f>
        <v>27165.371361008176</v>
      </c>
      <c r="K149" s="4">
        <f>$K$4*'NIFTY MEMBS'!L138</f>
        <v>18467.956838932332</v>
      </c>
      <c r="L149" s="4">
        <f>$L$4*'NIFTY MEMBS'!M138</f>
        <v>18894.614860259033</v>
      </c>
      <c r="M149" s="4">
        <f>$M$4*'NIFTY MEMBS'!N138</f>
        <v>22160.363302195696</v>
      </c>
      <c r="N149" s="4">
        <f>$N$4*'NIFTY MEMBS'!O138</f>
        <v>20716.417910447763</v>
      </c>
      <c r="O149" s="4">
        <f>$O$4*'NIFTY MEMBS'!P138</f>
        <v>23937.597852829342</v>
      </c>
      <c r="P149" s="4">
        <f>$P$4*'NIFTY MEMBS'!Q138</f>
        <v>16201.260493213735</v>
      </c>
      <c r="Q149" s="4">
        <f>$Q$4*'NIFTY MEMBS'!R138</f>
        <v>17922.167253101932</v>
      </c>
      <c r="R149" s="4">
        <f>$R$4*'NIFTY MEMBS'!S138</f>
        <v>21836.288984013278</v>
      </c>
      <c r="S149" s="4">
        <f>$S$4*'NIFTY MEMBS'!T138</f>
        <v>20513.155439447659</v>
      </c>
      <c r="T149" s="4">
        <f>$T$4*'NIFTY MEMBS'!U138</f>
        <v>25749.809692971325</v>
      </c>
      <c r="U149" s="4">
        <f>$U$4*'NIFTY MEMBS'!V138</f>
        <v>20916.14548918973</v>
      </c>
      <c r="V149" s="4">
        <f>$V$4*'NIFTY MEMBS'!W138</f>
        <v>20506.518807133227</v>
      </c>
      <c r="W149" s="4">
        <f>$W$4*'NIFTY MEMBS'!X138</f>
        <v>18603.978300180832</v>
      </c>
      <c r="X149" s="4">
        <f>$X$4*'NIFTY MEMBS'!Y138</f>
        <v>23682.612620004918</v>
      </c>
      <c r="Y149" s="4">
        <f>$Y$4*'NIFTY MEMBS'!Z138</f>
        <v>20790.040092846593</v>
      </c>
      <c r="Z149" s="4">
        <f>$Z$4*'NIFTY MEMBS'!AA138</f>
        <v>26862.878530112288</v>
      </c>
      <c r="AA149" s="4">
        <f>$AA$4*'NIFTY MEMBS'!AB138</f>
        <v>22848.30747142305</v>
      </c>
      <c r="AB149" s="4">
        <f>$AB$4*'NIFTY MEMBS'!AC138</f>
        <v>17778.887778887776</v>
      </c>
      <c r="AC149" s="4">
        <f>$AC$4*'NIFTY MEMBS'!AD138</f>
        <v>18952.963917525773</v>
      </c>
      <c r="AD149" s="4">
        <f>$AD$4*'NIFTY MEMBS'!AE138</f>
        <v>18158.158158158156</v>
      </c>
      <c r="AE149" s="4">
        <f>$AE$4*'NIFTY MEMBS'!AF138</f>
        <v>19100.628678973291</v>
      </c>
      <c r="AF149" s="4">
        <f>$AF$4*'NIFTY MEMBS'!AG138</f>
        <v>20674.722842947951</v>
      </c>
      <c r="AG149" s="4">
        <f>$AG$4*'NIFTY MEMBS'!AH138</f>
        <v>20108.695652173912</v>
      </c>
      <c r="AH149" s="4">
        <f>$AH$4*'NIFTY MEMBS'!AI138</f>
        <v>22793.236340838266</v>
      </c>
      <c r="AI149" s="4">
        <f>$AI$4*'NIFTY MEMBS'!AJ138</f>
        <v>23748.720198917654</v>
      </c>
      <c r="AJ149" s="4">
        <f>$AJ$4*'NIFTY MEMBS'!AK138</f>
        <v>20814.583675480379</v>
      </c>
      <c r="AK149" s="4">
        <f>$AK$4*'NIFTY MEMBS'!AL138</f>
        <v>22345.064799459491</v>
      </c>
      <c r="AL149" s="4">
        <f>$AL$4*'NIFTY MEMBS'!AM138</f>
        <v>23038.503264896728</v>
      </c>
      <c r="AM149" s="4">
        <f>$AM$4*'NIFTY MEMBS'!AN138</f>
        <v>15209.286861298378</v>
      </c>
      <c r="AN149" s="4">
        <f>$AN$4*'NIFTY MEMBS'!AO138</f>
        <v>25541.273921736643</v>
      </c>
      <c r="AO149" s="4">
        <f>$AO$4*'NIFTY MEMBS'!AP138</f>
        <v>23963.058976020733</v>
      </c>
      <c r="AP149" s="4">
        <f>$AP$4*'NIFTY MEMBS'!AQ138</f>
        <v>22797.875031621552</v>
      </c>
      <c r="AQ149" s="4">
        <f>$AQ$4*'NIFTY MEMBS'!AR138</f>
        <v>18181.177920591603</v>
      </c>
      <c r="AR149" s="4">
        <f>$AR$4*'NIFTY MEMBS'!AS138</f>
        <v>19387.87522071807</v>
      </c>
      <c r="AS149" s="4">
        <f>$AS$4*'NIFTY MEMBS'!AT138</f>
        <v>19820.479941381203</v>
      </c>
      <c r="AT149" s="4">
        <f>$AT$4*'NIFTY MEMBS'!AU138</f>
        <v>22116.389426618469</v>
      </c>
      <c r="AU149" s="4">
        <f>$AU$4*'NIFTY MEMBS'!AV138</f>
        <v>23816.14690861676</v>
      </c>
      <c r="AV149" s="4">
        <f>$AV$4*'NIFTY MEMBS'!AW138</f>
        <v>18371.073776479181</v>
      </c>
      <c r="AW149" s="4">
        <f>$AW$4*'NIFTY MEMBS'!AX138</f>
        <v>21014.972456892945</v>
      </c>
      <c r="AX149" s="4">
        <f>$AX$4*'NIFTY MEMBS'!AY138</f>
        <v>17950.278522797609</v>
      </c>
      <c r="AY149" s="4">
        <f t="shared" si="12"/>
        <v>1030199.2634132829</v>
      </c>
      <c r="AZ149" s="4">
        <f t="shared" si="13"/>
        <v>105.12237381768192</v>
      </c>
    </row>
    <row r="150" spans="1:52" ht="14.25" customHeight="1" x14ac:dyDescent="0.3">
      <c r="A150" s="2">
        <v>45859</v>
      </c>
      <c r="B150" s="4">
        <f>$B$4*'NIFTY MEMBS'!C139</f>
        <v>23395.701125895597</v>
      </c>
      <c r="C150" s="4">
        <f>$C$4*'NIFTY MEMBS'!D139</f>
        <v>22442.729251273307</v>
      </c>
      <c r="D150" s="4">
        <f>$D$4*'NIFTY MEMBS'!E139</f>
        <v>23929.310020680579</v>
      </c>
      <c r="E150" s="4">
        <f>$E$4*'NIFTY MEMBS'!F139</f>
        <v>15359.214093788374</v>
      </c>
      <c r="F150" s="4">
        <f>$F$4*'NIFTY MEMBS'!G139</f>
        <v>22838.001012737113</v>
      </c>
      <c r="G150" s="4">
        <f>$G$4*'NIFTY MEMBS'!H139</f>
        <v>20781.643973777103</v>
      </c>
      <c r="H150" s="4">
        <f>$H$4*'NIFTY MEMBS'!I139</f>
        <v>16831.872509960158</v>
      </c>
      <c r="I150" s="4">
        <f>$I$4*'NIFTY MEMBS'!J139</f>
        <v>21229.921192024463</v>
      </c>
      <c r="J150" s="4">
        <f>$J$4*'NIFTY MEMBS'!K139</f>
        <v>27351.376292301702</v>
      </c>
      <c r="K150" s="4">
        <f>$K$4*'NIFTY MEMBS'!L139</f>
        <v>18352.190817351799</v>
      </c>
      <c r="L150" s="4">
        <f>$L$4*'NIFTY MEMBS'!M139</f>
        <v>19101.840490797545</v>
      </c>
      <c r="M150" s="4">
        <f>$M$4*'NIFTY MEMBS'!N139</f>
        <v>22135.381815261906</v>
      </c>
      <c r="N150" s="4">
        <f>$N$4*'NIFTY MEMBS'!O139</f>
        <v>21068.78650227125</v>
      </c>
      <c r="O150" s="4">
        <f>$O$4*'NIFTY MEMBS'!P139</f>
        <v>24213.822411093712</v>
      </c>
      <c r="P150" s="4">
        <f>$P$4*'NIFTY MEMBS'!Q139</f>
        <v>16008.786840660059</v>
      </c>
      <c r="Q150" s="4">
        <f>$Q$4*'NIFTY MEMBS'!R139</f>
        <v>17908.410275404109</v>
      </c>
      <c r="R150" s="4">
        <f>$R$4*'NIFTY MEMBS'!S139</f>
        <v>21974.316414781166</v>
      </c>
      <c r="S150" s="4">
        <f>$S$4*'NIFTY MEMBS'!T139</f>
        <v>20518.753498787086</v>
      </c>
      <c r="T150" s="4">
        <f>$T$4*'NIFTY MEMBS'!U139</f>
        <v>26058.107079421465</v>
      </c>
      <c r="U150" s="4">
        <f>$U$4*'NIFTY MEMBS'!V139</f>
        <v>21101.157090830864</v>
      </c>
      <c r="V150" s="4">
        <f>$V$4*'NIFTY MEMBS'!W139</f>
        <v>20473.550127378992</v>
      </c>
      <c r="W150" s="4">
        <f>$W$4*'NIFTY MEMBS'!X139</f>
        <v>19652.802893309225</v>
      </c>
      <c r="X150" s="4">
        <f>$X$4*'NIFTY MEMBS'!Y139</f>
        <v>23804.053499630751</v>
      </c>
      <c r="Y150" s="4">
        <f>$Y$4*'NIFTY MEMBS'!Z139</f>
        <v>20682.844481958218</v>
      </c>
      <c r="Z150" s="4">
        <f>$Z$4*'NIFTY MEMBS'!AA139</f>
        <v>27216.740387887039</v>
      </c>
      <c r="AA150" s="4">
        <f>$AA$4*'NIFTY MEMBS'!AB139</f>
        <v>22857.142857142855</v>
      </c>
      <c r="AB150" s="4">
        <f>$AB$4*'NIFTY MEMBS'!AC139</f>
        <v>17339.327339327341</v>
      </c>
      <c r="AC150" s="4">
        <f>$AC$4*'NIFTY MEMBS'!AD139</f>
        <v>19136.597938144332</v>
      </c>
      <c r="AD150" s="4">
        <f>$AD$4*'NIFTY MEMBS'!AE139</f>
        <v>18350.350350350353</v>
      </c>
      <c r="AE150" s="4">
        <f>$AE$4*'NIFTY MEMBS'!AF139</f>
        <v>19308.853561846794</v>
      </c>
      <c r="AF150" s="4">
        <f>$AF$4*'NIFTY MEMBS'!AG139</f>
        <v>20613.976091814373</v>
      </c>
      <c r="AG150" s="4">
        <f>$AG$4*'NIFTY MEMBS'!AH139</f>
        <v>20020.703933747413</v>
      </c>
      <c r="AH150" s="4">
        <f>$AH$4*'NIFTY MEMBS'!AI139</f>
        <v>22796.924268407372</v>
      </c>
      <c r="AI150" s="4">
        <f>$AI$4*'NIFTY MEMBS'!AJ139</f>
        <v>23843.791136463362</v>
      </c>
      <c r="AJ150" s="4">
        <f>$AJ$4*'NIFTY MEMBS'!AK139</f>
        <v>20840.860568237807</v>
      </c>
      <c r="AK150" s="4">
        <f>$AK$4*'NIFTY MEMBS'!AL139</f>
        <v>22454.804168458119</v>
      </c>
      <c r="AL150" s="4">
        <f>$AL$4*'NIFTY MEMBS'!AM139</f>
        <v>22753.976214357357</v>
      </c>
      <c r="AM150" s="4">
        <f>$AM$4*'NIFTY MEMBS'!AN139</f>
        <v>15212.11649606327</v>
      </c>
      <c r="AN150" s="4">
        <f>$AN$4*'NIFTY MEMBS'!AO139</f>
        <v>25774.064552984859</v>
      </c>
      <c r="AO150" s="4">
        <f>$AO$4*'NIFTY MEMBS'!AP139</f>
        <v>24377.835385612438</v>
      </c>
      <c r="AP150" s="4">
        <f>$AP$4*'NIFTY MEMBS'!AQ139</f>
        <v>23027.2366978666</v>
      </c>
      <c r="AQ150" s="4">
        <f>$AQ$4*'NIFTY MEMBS'!AR139</f>
        <v>18121.313495906328</v>
      </c>
      <c r="AR150" s="4">
        <f>$AR$4*'NIFTY MEMBS'!AS139</f>
        <v>19278.006670590545</v>
      </c>
      <c r="AS150" s="4">
        <f>$AS$4*'NIFTY MEMBS'!AT139</f>
        <v>19687.502120182096</v>
      </c>
      <c r="AT150" s="4">
        <f>$AT$4*'NIFTY MEMBS'!AU139</f>
        <v>22464.152947424318</v>
      </c>
      <c r="AU150" s="4">
        <f>$AU$4*'NIFTY MEMBS'!AV139</f>
        <v>23694.447462783875</v>
      </c>
      <c r="AV150" s="4">
        <f>$AV$4*'NIFTY MEMBS'!AW139</f>
        <v>18397.370343316288</v>
      </c>
      <c r="AW150" s="4">
        <f>$AW$4*'NIFTY MEMBS'!AX139</f>
        <v>21069.939178128021</v>
      </c>
      <c r="AX150" s="4">
        <f>$AX$4*'NIFTY MEMBS'!AY139</f>
        <v>17718.176191458635</v>
      </c>
      <c r="AY150" s="4">
        <f t="shared" si="12"/>
        <v>1033570.7840698782</v>
      </c>
      <c r="AZ150" s="4">
        <f t="shared" si="13"/>
        <v>105.46640653774266</v>
      </c>
    </row>
    <row r="151" spans="1:52" ht="14.25" customHeight="1" x14ac:dyDescent="0.3">
      <c r="A151" s="2">
        <v>45860</v>
      </c>
      <c r="B151" s="4">
        <f>$B$4*'NIFTY MEMBS'!C140</f>
        <v>23136.949846468779</v>
      </c>
      <c r="C151" s="4">
        <f>$C$4*'NIFTY MEMBS'!D140</f>
        <v>22516.771747178533</v>
      </c>
      <c r="D151" s="4">
        <f>$D$4*'NIFTY MEMBS'!E140</f>
        <v>23899.229178416994</v>
      </c>
      <c r="E151" s="4">
        <f>$E$4*'NIFTY MEMBS'!F140</f>
        <v>15366.022687205923</v>
      </c>
      <c r="F151" s="4">
        <f>$F$4*'NIFTY MEMBS'!G140</f>
        <v>22959.529466754953</v>
      </c>
      <c r="G151" s="4">
        <f>$G$4*'NIFTY MEMBS'!H140</f>
        <v>20549.672213817448</v>
      </c>
      <c r="H151" s="4">
        <f>$H$4*'NIFTY MEMBS'!I140</f>
        <v>16689.508632138113</v>
      </c>
      <c r="I151" s="4">
        <f>$I$4*'NIFTY MEMBS'!J140</f>
        <v>21357.392015847723</v>
      </c>
      <c r="J151" s="4">
        <f>$J$4*'NIFTY MEMBS'!K140</f>
        <v>27469.611985061929</v>
      </c>
      <c r="K151" s="4">
        <f>$K$4*'NIFTY MEMBS'!L140</f>
        <v>18173.081123585689</v>
      </c>
      <c r="L151" s="4">
        <f>$L$4*'NIFTY MEMBS'!M140</f>
        <v>18893.524199045671</v>
      </c>
      <c r="M151" s="4">
        <f>$M$4*'NIFTY MEMBS'!N140</f>
        <v>22290.623912636172</v>
      </c>
      <c r="N151" s="4">
        <f>$N$4*'NIFTY MEMBS'!O140</f>
        <v>21136.924075275794</v>
      </c>
      <c r="O151" s="4">
        <f>$O$4*'NIFTY MEMBS'!P140</f>
        <v>24157.906508611046</v>
      </c>
      <c r="P151" s="4">
        <f>$P$4*'NIFTY MEMBS'!Q140</f>
        <v>15901.043437328381</v>
      </c>
      <c r="Q151" s="4">
        <f>$Q$4*'NIFTY MEMBS'!R140</f>
        <v>17757.083520728062</v>
      </c>
      <c r="R151" s="4">
        <f>$R$4*'NIFTY MEMBS'!S140</f>
        <v>21755.918581287671</v>
      </c>
      <c r="S151" s="4">
        <f>$S$4*'NIFTY MEMBS'!T140</f>
        <v>20488.897182310135</v>
      </c>
      <c r="T151" s="4">
        <f>$T$4*'NIFTY MEMBS'!U140</f>
        <v>25876.68104541994</v>
      </c>
      <c r="U151" s="4">
        <f>$U$4*'NIFTY MEMBS'!V140</f>
        <v>21343.33174547075</v>
      </c>
      <c r="V151" s="4">
        <f>$V$4*'NIFTY MEMBS'!W140</f>
        <v>20431.589989509968</v>
      </c>
      <c r="W151" s="4">
        <f>$W$4*'NIFTY MEMBS'!X140</f>
        <v>21685.352622061484</v>
      </c>
      <c r="X151" s="4">
        <f>$X$4*'NIFTY MEMBS'!Y140</f>
        <v>23315.007795191596</v>
      </c>
      <c r="Y151" s="4">
        <f>$Y$4*'NIFTY MEMBS'!Z140</f>
        <v>20798.480692129142</v>
      </c>
      <c r="Z151" s="4">
        <f>$Z$4*'NIFTY MEMBS'!AA140</f>
        <v>27431.099013269824</v>
      </c>
      <c r="AA151" s="4">
        <f>$AA$4*'NIFTY MEMBS'!AB140</f>
        <v>22766.580153514828</v>
      </c>
      <c r="AB151" s="4">
        <f>$AB$4*'NIFTY MEMBS'!AC140</f>
        <v>17296.037296037295</v>
      </c>
      <c r="AC151" s="4">
        <f>$AC$4*'NIFTY MEMBS'!AD140</f>
        <v>19188.14432989691</v>
      </c>
      <c r="AD151" s="4">
        <f>$AD$4*'NIFTY MEMBS'!AE140</f>
        <v>17975.308641975309</v>
      </c>
      <c r="AE151" s="4">
        <f>$AE$4*'NIFTY MEMBS'!AF140</f>
        <v>18980.498938853962</v>
      </c>
      <c r="AF151" s="4">
        <f>$AF$4*'NIFTY MEMBS'!AG140</f>
        <v>20525.459397305443</v>
      </c>
      <c r="AG151" s="4">
        <f>$AG$4*'NIFTY MEMBS'!AH140</f>
        <v>20139.751552795035</v>
      </c>
      <c r="AH151" s="4">
        <f>$AH$4*'NIFTY MEMBS'!AI140</f>
        <v>22528.627537755161</v>
      </c>
      <c r="AI151" s="4">
        <f>$AI$4*'NIFTY MEMBS'!AJ140</f>
        <v>23846.716396080148</v>
      </c>
      <c r="AJ151" s="4">
        <f>$AJ$4*'NIFTY MEMBS'!AK140</f>
        <v>20417.145672524228</v>
      </c>
      <c r="AK151" s="4">
        <f>$AK$4*'NIFTY MEMBS'!AL140</f>
        <v>22297.565669594413</v>
      </c>
      <c r="AL151" s="4">
        <f>$AL$4*'NIFTY MEMBS'!AM140</f>
        <v>22268.847358401734</v>
      </c>
      <c r="AM151" s="4">
        <f>$AM$4*'NIFTY MEMBS'!AN140</f>
        <v>15168.257157207434</v>
      </c>
      <c r="AN151" s="4">
        <f>$AN$4*'NIFTY MEMBS'!AO140</f>
        <v>25835.475578406167</v>
      </c>
      <c r="AO151" s="4">
        <f>$AO$4*'NIFTY MEMBS'!AP140</f>
        <v>24734.283862605309</v>
      </c>
      <c r="AP151" s="4">
        <f>$AP$4*'NIFTY MEMBS'!AQ140</f>
        <v>23275.149675352048</v>
      </c>
      <c r="AQ151" s="4">
        <f>$AQ$4*'NIFTY MEMBS'!AR140</f>
        <v>18161.223112363179</v>
      </c>
      <c r="AR151" s="4">
        <f>$AR$4*'NIFTY MEMBS'!AS140</f>
        <v>19153.750572232035</v>
      </c>
      <c r="AS151" s="4">
        <f>$AS$4*'NIFTY MEMBS'!AT140</f>
        <v>19665.791455496528</v>
      </c>
      <c r="AT151" s="4">
        <f>$AT$4*'NIFTY MEMBS'!AU140</f>
        <v>21933.085501858732</v>
      </c>
      <c r="AU151" s="4">
        <f>$AU$4*'NIFTY MEMBS'!AV140</f>
        <v>23574.921221340868</v>
      </c>
      <c r="AV151" s="4">
        <f>$AV$4*'NIFTY MEMBS'!AW140</f>
        <v>18115.412710007306</v>
      </c>
      <c r="AW151" s="4">
        <f>$AW$4*'NIFTY MEMBS'!AX140</f>
        <v>20755.433938365572</v>
      </c>
      <c r="AX151" s="4">
        <f>$AX$4*'NIFTY MEMBS'!AY140</f>
        <v>17396.327625335263</v>
      </c>
      <c r="AY151" s="4">
        <f t="shared" si="12"/>
        <v>1031381.0285720567</v>
      </c>
      <c r="AZ151" s="4">
        <f t="shared" si="13"/>
        <v>105.24296209918947</v>
      </c>
    </row>
    <row r="152" spans="1:52" ht="14.25" customHeight="1" x14ac:dyDescent="0.3">
      <c r="A152" s="2">
        <v>45861</v>
      </c>
      <c r="B152" s="4">
        <f>$B$4*'NIFTY MEMBS'!C141</f>
        <v>23330.194472876148</v>
      </c>
      <c r="C152" s="4">
        <f>$C$4*'NIFTY MEMBS'!D141</f>
        <v>22709.730978931544</v>
      </c>
      <c r="D152" s="4">
        <f>$D$4*'NIFTY MEMBS'!E141</f>
        <v>24362.975496647239</v>
      </c>
      <c r="E152" s="4">
        <f>$E$4*'NIFTY MEMBS'!F141</f>
        <v>15460.856666950358</v>
      </c>
      <c r="F152" s="4">
        <f>$F$4*'NIFTY MEMBS'!G141</f>
        <v>23193.238032173875</v>
      </c>
      <c r="G152" s="4">
        <f>$G$4*'NIFTY MEMBS'!H141</f>
        <v>20692.133131618757</v>
      </c>
      <c r="H152" s="4">
        <f>$H$4*'NIFTY MEMBS'!I141</f>
        <v>16727.755644090306</v>
      </c>
      <c r="I152" s="4">
        <f>$I$4*'NIFTY MEMBS'!J141</f>
        <v>21105.034236251671</v>
      </c>
      <c r="J152" s="4">
        <f>$J$4*'NIFTY MEMBS'!K141</f>
        <v>27923.810073104261</v>
      </c>
      <c r="K152" s="4">
        <f>$K$4*'NIFTY MEMBS'!L141</f>
        <v>18127.211567865099</v>
      </c>
      <c r="L152" s="4">
        <f>$L$4*'NIFTY MEMBS'!M141</f>
        <v>19004.226312201772</v>
      </c>
      <c r="M152" s="4">
        <f>$M$4*'NIFTY MEMBS'!N141</f>
        <v>22531.516822354864</v>
      </c>
      <c r="N152" s="4">
        <f>$N$4*'NIFTY MEMBS'!O141</f>
        <v>21212.199870214146</v>
      </c>
      <c r="O152" s="4">
        <f>$O$4*'NIFTY MEMBS'!P141</f>
        <v>24271.974949675685</v>
      </c>
      <c r="P152" s="4">
        <f>$P$4*'NIFTY MEMBS'!Q141</f>
        <v>16002.510525902873</v>
      </c>
      <c r="Q152" s="4">
        <f>$Q$4*'NIFTY MEMBS'!R141</f>
        <v>17804.7038281436</v>
      </c>
      <c r="R152" s="4">
        <f>$R$4*'NIFTY MEMBS'!S141</f>
        <v>21616.143967851836</v>
      </c>
      <c r="S152" s="4">
        <f>$S$4*'NIFTY MEMBS'!T141</f>
        <v>20615.78652733719</v>
      </c>
      <c r="T152" s="4">
        <f>$T$4*'NIFTY MEMBS'!U141</f>
        <v>26141.842172037552</v>
      </c>
      <c r="U152" s="4">
        <f>$U$4*'NIFTY MEMBS'!V141</f>
        <v>21337.185180632176</v>
      </c>
      <c r="V152" s="4">
        <f>$V$4*'NIFTY MEMBS'!W141</f>
        <v>20563.464708526899</v>
      </c>
      <c r="W152" s="4">
        <f>$W$4*'NIFTY MEMBS'!X141</f>
        <v>21848.101265822788</v>
      </c>
      <c r="X152" s="4">
        <f>$X$4*'NIFTY MEMBS'!Y141</f>
        <v>23316.648888159511</v>
      </c>
      <c r="Y152" s="4">
        <f>$Y$4*'NIFTY MEMBS'!Z141</f>
        <v>20725.89153829922</v>
      </c>
      <c r="Z152" s="4">
        <f>$Z$4*'NIFTY MEMBS'!AA141</f>
        <v>27233.752977203134</v>
      </c>
      <c r="AA152" s="4">
        <f>$AA$4*'NIFTY MEMBS'!AB141</f>
        <v>22835.054392843336</v>
      </c>
      <c r="AB152" s="4">
        <f>$AB$4*'NIFTY MEMBS'!AC141</f>
        <v>17409.257409257407</v>
      </c>
      <c r="AC152" s="4">
        <f>$AC$4*'NIFTY MEMBS'!AD141</f>
        <v>19281.572164948455</v>
      </c>
      <c r="AD152" s="4">
        <f>$AD$4*'NIFTY MEMBS'!AE141</f>
        <v>18421.087754421089</v>
      </c>
      <c r="AE152" s="4">
        <f>$AE$4*'NIFTY MEMBS'!AF141</f>
        <v>19213.893862514375</v>
      </c>
      <c r="AF152" s="4">
        <f>$AF$4*'NIFTY MEMBS'!AG141</f>
        <v>20613.976091814373</v>
      </c>
      <c r="AG152" s="4">
        <f>$AG$4*'NIFTY MEMBS'!AH141</f>
        <v>20225.155279503106</v>
      </c>
      <c r="AH152" s="4">
        <f>$AH$4*'NIFTY MEMBS'!AI141</f>
        <v>22611.60590805997</v>
      </c>
      <c r="AI152" s="4">
        <f>$AI$4*'NIFTY MEMBS'!AJ141</f>
        <v>23807.225391253472</v>
      </c>
      <c r="AJ152" s="4">
        <f>$AJ$4*'NIFTY MEMBS'!AK141</f>
        <v>20656.922318935787</v>
      </c>
      <c r="AK152" s="4">
        <f>$AK$4*'NIFTY MEMBS'!AL141</f>
        <v>22186.188399565955</v>
      </c>
      <c r="AL152" s="4">
        <f>$AL$4*'NIFTY MEMBS'!AM141</f>
        <v>22277.035187194233</v>
      </c>
      <c r="AM152" s="4">
        <f>$AM$4*'NIFTY MEMBS'!AN141</f>
        <v>15164.012705060095</v>
      </c>
      <c r="AN152" s="4">
        <f>$AN$4*'NIFTY MEMBS'!AO141</f>
        <v>25842.616395315621</v>
      </c>
      <c r="AO152" s="4">
        <f>$AO$4*'NIFTY MEMBS'!AP141</f>
        <v>24708.36033700583</v>
      </c>
      <c r="AP152" s="4">
        <f>$AP$4*'NIFTY MEMBS'!AQ141</f>
        <v>23455.603339236019</v>
      </c>
      <c r="AQ152" s="4">
        <f>$AQ$4*'NIFTY MEMBS'!AR141</f>
        <v>18154.180238870791</v>
      </c>
      <c r="AR152" s="4">
        <f>$AR$4*'NIFTY MEMBS'!AS141</f>
        <v>19272.774834870186</v>
      </c>
      <c r="AS152" s="4">
        <f>$AS$4*'NIFTY MEMBS'!AT141</f>
        <v>20010.448257379929</v>
      </c>
      <c r="AT152" s="4">
        <f>$AT$4*'NIFTY MEMBS'!AU141</f>
        <v>22409.333082075613</v>
      </c>
      <c r="AU152" s="4">
        <f>$AU$4*'NIFTY MEMBS'!AV141</f>
        <v>23092.469846789088</v>
      </c>
      <c r="AV152" s="4">
        <f>$AV$4*'NIFTY MEMBS'!AW141</f>
        <v>18223.520818115416</v>
      </c>
      <c r="AW152" s="4">
        <f>$AW$4*'NIFTY MEMBS'!AX141</f>
        <v>20857.241865522719</v>
      </c>
      <c r="AX152" s="4">
        <f>$AX$4*'NIFTY MEMBS'!AY141</f>
        <v>17560.346606148134</v>
      </c>
      <c r="AY152" s="4">
        <f t="shared" si="12"/>
        <v>1036148.7723215735</v>
      </c>
      <c r="AZ152" s="4">
        <f t="shared" si="13"/>
        <v>105.72946656342586</v>
      </c>
    </row>
    <row r="153" spans="1:52" ht="14.25" customHeight="1" x14ac:dyDescent="0.3">
      <c r="A153" s="2">
        <v>45862</v>
      </c>
      <c r="B153" s="4">
        <f>$B$4*'NIFTY MEMBS'!C142</f>
        <v>22974.82088024565</v>
      </c>
      <c r="C153" s="4">
        <f>$C$4*'NIFTY MEMBS'!D142</f>
        <v>22596.423523076581</v>
      </c>
      <c r="D153" s="4">
        <f>$D$4*'NIFTY MEMBS'!E142</f>
        <v>24266.466127718242</v>
      </c>
      <c r="E153" s="4">
        <f>$E$4*'NIFTY MEMBS'!F142</f>
        <v>15309.608627460517</v>
      </c>
      <c r="F153" s="4">
        <f>$F$4*'NIFTY MEMBS'!G142</f>
        <v>23112.219062828652</v>
      </c>
      <c r="G153" s="4">
        <f>$G$4*'NIFTY MEMBS'!H142</f>
        <v>20567.322239031768</v>
      </c>
      <c r="H153" s="4">
        <f>$H$4*'NIFTY MEMBS'!I142</f>
        <v>16494.023904382469</v>
      </c>
      <c r="I153" s="4">
        <f>$I$4*'NIFTY MEMBS'!J142</f>
        <v>20996.511778131866</v>
      </c>
      <c r="J153" s="4">
        <f>$J$4*'NIFTY MEMBS'!K142</f>
        <v>27654.175017663259</v>
      </c>
      <c r="K153" s="4">
        <f>$K$4*'NIFTY MEMBS'!L142</f>
        <v>17908.78511205277</v>
      </c>
      <c r="L153" s="4">
        <f>$L$4*'NIFTY MEMBS'!M142</f>
        <v>18963.87184730743</v>
      </c>
      <c r="M153" s="4">
        <f>$M$4*'NIFTY MEMBS'!N142</f>
        <v>22406.609387685912</v>
      </c>
      <c r="N153" s="4">
        <f>$N$4*'NIFTY MEMBS'!O142</f>
        <v>21160.934458144064</v>
      </c>
      <c r="O153" s="4">
        <f>$O$4*'NIFTY MEMBS'!P142</f>
        <v>23955.490941623793</v>
      </c>
      <c r="P153" s="4">
        <f>$P$4*'NIFTY MEMBS'!Q142</f>
        <v>15766.102670048904</v>
      </c>
      <c r="Q153" s="4">
        <f>$Q$4*'NIFTY MEMBS'!R142</f>
        <v>17905.235588243075</v>
      </c>
      <c r="R153" s="4">
        <f>$R$4*'NIFTY MEMBS'!S142</f>
        <v>21497.335546431379</v>
      </c>
      <c r="S153" s="4">
        <f>$S$4*'NIFTY MEMBS'!T142</f>
        <v>20434.782608695652</v>
      </c>
      <c r="T153" s="4">
        <f>$T$4*'NIFTY MEMBS'!U142</f>
        <v>25784.064958132451</v>
      </c>
      <c r="U153" s="4">
        <f>$U$4*'NIFTY MEMBS'!V142</f>
        <v>21417.090523533661</v>
      </c>
      <c r="V153" s="4">
        <f>$V$4*'NIFTY MEMBS'!W142</f>
        <v>20314.701034017682</v>
      </c>
      <c r="W153" s="4">
        <f>$W$4*'NIFTY MEMBS'!X142</f>
        <v>22650.99457504521</v>
      </c>
      <c r="X153" s="4">
        <f>$X$4*'NIFTY MEMBS'!Y142</f>
        <v>23165.668335111179</v>
      </c>
      <c r="Y153" s="4">
        <f>$Y$4*'NIFTY MEMBS'!Z142</f>
        <v>20665.11922346487</v>
      </c>
      <c r="Z153" s="4">
        <f>$Z$4*'NIFTY MEMBS'!AA142</f>
        <v>27101.054780537601</v>
      </c>
      <c r="AA153" s="4">
        <f>$AA$4*'NIFTY MEMBS'!AB142</f>
        <v>22835.054392843336</v>
      </c>
      <c r="AB153" s="4">
        <f>$AB$4*'NIFTY MEMBS'!AC142</f>
        <v>17439.227439227441</v>
      </c>
      <c r="AC153" s="4">
        <f>$AC$4*'NIFTY MEMBS'!AD142</f>
        <v>19288.015463917531</v>
      </c>
      <c r="AD153" s="4">
        <f>$AD$4*'NIFTY MEMBS'!AE142</f>
        <v>18698.698698698699</v>
      </c>
      <c r="AE153" s="4">
        <f>$AE$4*'NIFTY MEMBS'!AF142</f>
        <v>18965.625732934426</v>
      </c>
      <c r="AF153" s="4">
        <f>$AF$4*'NIFTY MEMBS'!AG142</f>
        <v>20411.776191612607</v>
      </c>
      <c r="AG153" s="4">
        <f>$AG$4*'NIFTY MEMBS'!AH142</f>
        <v>19956.00414078675</v>
      </c>
      <c r="AH153" s="4">
        <f>$AH$4*'NIFTY MEMBS'!AI142</f>
        <v>21409.34152053254</v>
      </c>
      <c r="AI153" s="4">
        <f>$AI$4*'NIFTY MEMBS'!AJ142</f>
        <v>23911.07210764955</v>
      </c>
      <c r="AJ153" s="4">
        <f>$AJ$4*'NIFTY MEMBS'!AK142</f>
        <v>20788.306782722946</v>
      </c>
      <c r="AK153" s="4">
        <f>$AK$4*'NIFTY MEMBS'!AL142</f>
        <v>22405.66713756321</v>
      </c>
      <c r="AL153" s="4">
        <f>$AL$4*'NIFTY MEMBS'!AM142</f>
        <v>22389.617833091106</v>
      </c>
      <c r="AM153" s="4">
        <f>$AM$4*'NIFTY MEMBS'!AN142</f>
        <v>14583.937578257088</v>
      </c>
      <c r="AN153" s="4">
        <f>$AN$4*'NIFTY MEMBS'!AO142</f>
        <v>25615.538417594969</v>
      </c>
      <c r="AO153" s="4">
        <f>$AO$4*'NIFTY MEMBS'!AP142</f>
        <v>24539.857420609198</v>
      </c>
      <c r="AP153" s="4">
        <f>$AP$4*'NIFTY MEMBS'!AQ142</f>
        <v>23462.349270596169</v>
      </c>
      <c r="AQ153" s="4">
        <f>$AQ$4*'NIFTY MEMBS'!AR142</f>
        <v>17590.75035948</v>
      </c>
      <c r="AR153" s="4">
        <f>$AR$4*'NIFTY MEMBS'!AS142</f>
        <v>19461.120920803089</v>
      </c>
      <c r="AS153" s="4">
        <f>$AS$4*'NIFTY MEMBS'!AT142</f>
        <v>19983.309926522968</v>
      </c>
      <c r="AT153" s="4">
        <f>$AT$4*'NIFTY MEMBS'!AU142</f>
        <v>21706.953557295321</v>
      </c>
      <c r="AU153" s="4">
        <f>$AU$4*'NIFTY MEMBS'!AV142</f>
        <v>23314.136694556124</v>
      </c>
      <c r="AV153" s="4">
        <f>$AV$4*'NIFTY MEMBS'!AW142</f>
        <v>18487.947406866326</v>
      </c>
      <c r="AW153" s="4">
        <f>$AW$4*'NIFTY MEMBS'!AX142</f>
        <v>20561.855485320299</v>
      </c>
      <c r="AX153" s="4">
        <f>$AX$4*'NIFTY MEMBS'!AY142</f>
        <v>17493.294821539097</v>
      </c>
      <c r="AY153" s="4">
        <f t="shared" si="12"/>
        <v>1030368.8720516353</v>
      </c>
      <c r="AZ153" s="4">
        <f t="shared" si="13"/>
        <v>105.13968082159543</v>
      </c>
    </row>
    <row r="154" spans="1:52" ht="14.25" customHeight="1" x14ac:dyDescent="0.3">
      <c r="A154" s="2">
        <v>45863</v>
      </c>
      <c r="B154" s="4">
        <f>$B$4*'NIFTY MEMBS'!C143</f>
        <v>22791.402251791198</v>
      </c>
      <c r="C154" s="4">
        <f>$C$4*'NIFTY MEMBS'!D143</f>
        <v>22488.725347214433</v>
      </c>
      <c r="D154" s="4">
        <f>$D$4*'NIFTY MEMBS'!E143</f>
        <v>24289.02675941593</v>
      </c>
      <c r="E154" s="4">
        <f>$E$4*'NIFTY MEMBS'!F143</f>
        <v>15250.276599107588</v>
      </c>
      <c r="F154" s="4">
        <f>$F$4*'NIFTY MEMBS'!G143</f>
        <v>23014.061465352701</v>
      </c>
      <c r="G154" s="4">
        <f>$G$4*'NIFTY MEMBS'!H143</f>
        <v>20336.611195158846</v>
      </c>
      <c r="H154" s="4">
        <f>$H$4*'NIFTY MEMBS'!I143</f>
        <v>16103.054448871182</v>
      </c>
      <c r="I154" s="4">
        <f>$I$4*'NIFTY MEMBS'!J143</f>
        <v>20803.582963696655</v>
      </c>
      <c r="J154" s="4">
        <f>$J$4*'NIFTY MEMBS'!K143</f>
        <v>26350.69859991637</v>
      </c>
      <c r="K154" s="4">
        <f>$K$4*'NIFTY MEMBS'!L143</f>
        <v>17884.758201913413</v>
      </c>
      <c r="L154" s="4">
        <f>$L$4*'NIFTY MEMBS'!M143</f>
        <v>18775.187457396045</v>
      </c>
      <c r="M154" s="4">
        <f>$M$4*'NIFTY MEMBS'!N143</f>
        <v>22133.597423338062</v>
      </c>
      <c r="N154" s="4">
        <f>$N$4*'NIFTY MEMBS'!O143</f>
        <v>21066.839714471123</v>
      </c>
      <c r="O154" s="4">
        <f>$O$4*'NIFTY MEMBS'!P143</f>
        <v>23759.785282934463</v>
      </c>
      <c r="P154" s="4">
        <f>$P$4*'NIFTY MEMBS'!Q143</f>
        <v>15587.227699469127</v>
      </c>
      <c r="Q154" s="4">
        <f>$Q$4*'NIFTY MEMBS'!R143</f>
        <v>17979.31162200058</v>
      </c>
      <c r="R154" s="4">
        <f>$R$4*'NIFTY MEMBS'!S143</f>
        <v>21402.987682362189</v>
      </c>
      <c r="S154" s="4">
        <f>$S$4*'NIFTY MEMBS'!T143</f>
        <v>20266.840828512781</v>
      </c>
      <c r="T154" s="4">
        <f>$T$4*'NIFTY MEMBS'!U143</f>
        <v>25194.113169246382</v>
      </c>
      <c r="U154" s="4">
        <f>$U$4*'NIFTY MEMBS'!V143</f>
        <v>21284.324723020425</v>
      </c>
      <c r="V154" s="4">
        <f>$V$4*'NIFTY MEMBS'!W143</f>
        <v>19973.025625655628</v>
      </c>
      <c r="W154" s="4">
        <f>$W$4*'NIFTY MEMBS'!X143</f>
        <v>22462.929475587705</v>
      </c>
      <c r="X154" s="4">
        <f>$X$4*'NIFTY MEMBS'!Y143</f>
        <v>22914.581111019936</v>
      </c>
      <c r="Y154" s="4">
        <f>$Y$4*'NIFTY MEMBS'!Z143</f>
        <v>20281.916016037139</v>
      </c>
      <c r="Z154" s="4">
        <f>$Z$4*'NIFTY MEMBS'!AA143</f>
        <v>26893.501190881256</v>
      </c>
      <c r="AA154" s="4">
        <f>$AA$4*'NIFTY MEMBS'!AB143</f>
        <v>22682.643989176653</v>
      </c>
      <c r="AB154" s="4">
        <f>$AB$4*'NIFTY MEMBS'!AC143</f>
        <v>17262.737262737261</v>
      </c>
      <c r="AC154" s="4">
        <f>$AC$4*'NIFTY MEMBS'!AD143</f>
        <v>18820.876288659798</v>
      </c>
      <c r="AD154" s="4">
        <f>$AD$4*'NIFTY MEMBS'!AE143</f>
        <v>18349.015682349014</v>
      </c>
      <c r="AE154" s="4">
        <f>$AE$4*'NIFTY MEMBS'!AF143</f>
        <v>18478.242215878865</v>
      </c>
      <c r="AF154" s="4">
        <f>$AF$4*'NIFTY MEMBS'!AG143</f>
        <v>20273.794285466338</v>
      </c>
      <c r="AG154" s="4">
        <f>$AG$4*'NIFTY MEMBS'!AH143</f>
        <v>19710.144927536232</v>
      </c>
      <c r="AH154" s="4">
        <f>$AH$4*'NIFTY MEMBS'!AI143</f>
        <v>20971.400121701612</v>
      </c>
      <c r="AI154" s="4">
        <f>$AI$4*'NIFTY MEMBS'!AJ143</f>
        <v>23611.232996928476</v>
      </c>
      <c r="AJ154" s="4">
        <f>$AJ$4*'NIFTY MEMBS'!AK143</f>
        <v>20446.707176876338</v>
      </c>
      <c r="AK154" s="4">
        <f>$AK$4*'NIFTY MEMBS'!AL143</f>
        <v>22182.09364699138</v>
      </c>
      <c r="AL154" s="4">
        <f>$AL$4*'NIFTY MEMBS'!AM143</f>
        <v>22242.23691482611</v>
      </c>
      <c r="AM154" s="4">
        <f>$AM$4*'NIFTY MEMBS'!AN143</f>
        <v>14269.848119353996</v>
      </c>
      <c r="AN154" s="4">
        <f>$AN$4*'NIFTY MEMBS'!AO143</f>
        <v>26165.38131962296</v>
      </c>
      <c r="AO154" s="4">
        <f>$AO$4*'NIFTY MEMBS'!AP143</f>
        <v>24703.499675955925</v>
      </c>
      <c r="AP154" s="4">
        <f>$AP$4*'NIFTY MEMBS'!AQ143</f>
        <v>23389.830508474577</v>
      </c>
      <c r="AQ154" s="4">
        <f>$AQ$4*'NIFTY MEMBS'!AR143</f>
        <v>17159.961264195794</v>
      </c>
      <c r="AR154" s="4">
        <f>$AR$4*'NIFTY MEMBS'!AS143</f>
        <v>20044.470603623045</v>
      </c>
      <c r="AS154" s="4">
        <f>$AS$4*'NIFTY MEMBS'!AT143</f>
        <v>20268.262400521056</v>
      </c>
      <c r="AT154" s="4">
        <f>$AT$4*'NIFTY MEMBS'!AU143</f>
        <v>21100.508796875267</v>
      </c>
      <c r="AU154" s="4">
        <f>$AU$4*'NIFTY MEMBS'!AV143</f>
        <v>22914.26708681952</v>
      </c>
      <c r="AV154" s="4">
        <f>$AV$4*'NIFTY MEMBS'!AW143</f>
        <v>18669.101533966401</v>
      </c>
      <c r="AW154" s="4">
        <f>$AW$4*'NIFTY MEMBS'!AX143</f>
        <v>20221.539785151814</v>
      </c>
      <c r="AX154" s="4">
        <f>$AX$4*'NIFTY MEMBS'!AY143</f>
        <v>16994.016917681041</v>
      </c>
      <c r="AY154" s="4">
        <f t="shared" si="12"/>
        <v>1020220.1803757407</v>
      </c>
      <c r="AZ154" s="4">
        <f t="shared" si="13"/>
        <v>104.1041000383409</v>
      </c>
    </row>
    <row r="155" spans="1:52" ht="14.25" customHeight="1" x14ac:dyDescent="0.3">
      <c r="A155" s="2">
        <v>45866</v>
      </c>
      <c r="B155" s="4">
        <f>$B$4*'NIFTY MEMBS'!C144</f>
        <v>22724.25793244626</v>
      </c>
      <c r="C155" s="4">
        <f>$C$4*'NIFTY MEMBS'!D144</f>
        <v>22532.477731158429</v>
      </c>
      <c r="D155" s="4">
        <f>$D$4*'NIFTY MEMBS'!E144</f>
        <v>23692.423387854858</v>
      </c>
      <c r="E155" s="4">
        <f>$E$4*'NIFTY MEMBS'!F144</f>
        <v>14975.501221899356</v>
      </c>
      <c r="F155" s="4">
        <f>$F$4*'NIFTY MEMBS'!G144</f>
        <v>23190.121917968292</v>
      </c>
      <c r="G155" s="4">
        <f>$G$4*'NIFTY MEMBS'!H144</f>
        <v>20099.596570852242</v>
      </c>
      <c r="H155" s="4">
        <f>$H$4*'NIFTY MEMBS'!I144</f>
        <v>16106.241699867198</v>
      </c>
      <c r="I155" s="4">
        <f>$I$4*'NIFTY MEMBS'!J144</f>
        <v>21029.240773437839</v>
      </c>
      <c r="J155" s="4">
        <f>$J$4*'NIFTY MEMBS'!K144</f>
        <v>25391.835969604774</v>
      </c>
      <c r="K155" s="4">
        <f>$K$4*'NIFTY MEMBS'!L144</f>
        <v>17906.600847494647</v>
      </c>
      <c r="L155" s="4">
        <f>$L$4*'NIFTY MEMBS'!M144</f>
        <v>18662.304021813223</v>
      </c>
      <c r="M155" s="4">
        <f>$M$4*'NIFTY MEMBS'!N144</f>
        <v>22019.396340212166</v>
      </c>
      <c r="N155" s="4">
        <f>$N$4*'NIFTY MEMBS'!O144</f>
        <v>20829.331602855287</v>
      </c>
      <c r="O155" s="4">
        <f>$O$4*'NIFTY MEMBS'!P144</f>
        <v>21992.842764482215</v>
      </c>
      <c r="P155" s="4">
        <f>$P$4*'NIFTY MEMBS'!Q144</f>
        <v>15336.175109181724</v>
      </c>
      <c r="Q155" s="4">
        <f>$Q$4*'NIFTY MEMBS'!R144</f>
        <v>18013.174951718298</v>
      </c>
      <c r="R155" s="4">
        <f>$R$4*'NIFTY MEMBS'!S144</f>
        <v>21385.515855682712</v>
      </c>
      <c r="S155" s="4">
        <f>$S$4*'NIFTY MEMBS'!T144</f>
        <v>20033.588356036573</v>
      </c>
      <c r="T155" s="4">
        <f>$T$4*'NIFTY MEMBS'!U144</f>
        <v>25092.616087287486</v>
      </c>
      <c r="U155" s="4">
        <f>$U$4*'NIFTY MEMBS'!V144</f>
        <v>20855.294497287829</v>
      </c>
      <c r="V155" s="4">
        <f>$V$4*'NIFTY MEMBS'!W144</f>
        <v>19958.039862130976</v>
      </c>
      <c r="W155" s="4">
        <f>$W$4*'NIFTY MEMBS'!X144</f>
        <v>22227.848101265827</v>
      </c>
      <c r="X155" s="4">
        <f>$X$4*'NIFTY MEMBS'!Y144</f>
        <v>22581.439238532861</v>
      </c>
      <c r="Y155" s="4">
        <f>$Y$4*'NIFTY MEMBS'!Z144</f>
        <v>20259.126397974258</v>
      </c>
      <c r="Z155" s="4">
        <f>$Z$4*'NIFTY MEMBS'!AA144</f>
        <v>26488.60156515822</v>
      </c>
      <c r="AA155" s="4">
        <f>$AA$4*'NIFTY MEMBS'!AB144</f>
        <v>22724.612071345739</v>
      </c>
      <c r="AB155" s="4">
        <f>$AB$4*'NIFTY MEMBS'!AC144</f>
        <v>16653.346653346653</v>
      </c>
      <c r="AC155" s="4">
        <f>$AC$4*'NIFTY MEMBS'!AD144</f>
        <v>18807.98969072165</v>
      </c>
      <c r="AD155" s="4">
        <f>$AD$4*'NIFTY MEMBS'!AE144</f>
        <v>18228.895562228896</v>
      </c>
      <c r="AE155" s="4">
        <f>$AE$4*'NIFTY MEMBS'!AF144</f>
        <v>18510.276813244018</v>
      </c>
      <c r="AF155" s="4">
        <f>$AF$4*'NIFTY MEMBS'!AG144</f>
        <v>20476.861996398584</v>
      </c>
      <c r="AG155" s="4">
        <f>$AG$4*'NIFTY MEMBS'!AH144</f>
        <v>19583.333333333336</v>
      </c>
      <c r="AH155" s="4">
        <f>$AH$4*'NIFTY MEMBS'!AI144</f>
        <v>20553.742324500752</v>
      </c>
      <c r="AI155" s="4">
        <f>$AI$4*'NIFTY MEMBS'!AJ144</f>
        <v>23355.272780459265</v>
      </c>
      <c r="AJ155" s="4">
        <f>$AJ$4*'NIFTY MEMBS'!AK144</f>
        <v>20190.507472491383</v>
      </c>
      <c r="AK155" s="4">
        <f>$AK$4*'NIFTY MEMBS'!AL144</f>
        <v>22334.418442765593</v>
      </c>
      <c r="AL155" s="4">
        <f>$AL$4*'NIFTY MEMBS'!AM144</f>
        <v>22049.82293820236</v>
      </c>
      <c r="AM155" s="4">
        <f>$AM$4*'NIFTY MEMBS'!AN144</f>
        <v>14131.196015874251</v>
      </c>
      <c r="AN155" s="4">
        <f>$AN$4*'NIFTY MEMBS'!AO144</f>
        <v>26428.163381890885</v>
      </c>
      <c r="AO155" s="4">
        <f>$AO$4*'NIFTY MEMBS'!AP144</f>
        <v>24666.234607906674</v>
      </c>
      <c r="AP155" s="4">
        <f>$AP$4*'NIFTY MEMBS'!AQ144</f>
        <v>23251.538915591533</v>
      </c>
      <c r="AQ155" s="4">
        <f>$AQ$4*'NIFTY MEMBS'!AR144</f>
        <v>17027.320480089209</v>
      </c>
      <c r="AR155" s="4">
        <f>$AR$4*'NIFTY MEMBS'!AS144</f>
        <v>20561.114381008436</v>
      </c>
      <c r="AS155" s="4">
        <f>$AS$4*'NIFTY MEMBS'!AT144</f>
        <v>19964.313094923094</v>
      </c>
      <c r="AT155" s="4">
        <f>$AT$4*'NIFTY MEMBS'!AU144</f>
        <v>21703.527315711028</v>
      </c>
      <c r="AU155" s="4">
        <f>$AU$4*'NIFTY MEMBS'!AV144</f>
        <v>23033.793328262527</v>
      </c>
      <c r="AV155" s="4">
        <f>$AV$4*'NIFTY MEMBS'!AW144</f>
        <v>18807.888970051135</v>
      </c>
      <c r="AW155" s="4">
        <f>$AW$4*'NIFTY MEMBS'!AX144</f>
        <v>20510.234564508228</v>
      </c>
      <c r="AX155" s="4">
        <f>$AX$4*'NIFTY MEMBS'!AY144</f>
        <v>16547.34887559315</v>
      </c>
      <c r="AY155" s="4">
        <f t="shared" si="12"/>
        <v>1013485.3468146519</v>
      </c>
      <c r="AZ155" s="4">
        <f t="shared" si="13"/>
        <v>103.41687212394406</v>
      </c>
    </row>
    <row r="156" spans="1:52" ht="14.25" customHeight="1" x14ac:dyDescent="0.3">
      <c r="A156" s="2">
        <v>45867</v>
      </c>
      <c r="B156" s="4">
        <f>$B$4*'NIFTY MEMBS'!C145</f>
        <v>23207.369498464686</v>
      </c>
      <c r="C156" s="4">
        <f>$C$4*'NIFTY MEMBS'!D145</f>
        <v>22679.440866970315</v>
      </c>
      <c r="D156" s="4">
        <f>$D$4*'NIFTY MEMBS'!E145</f>
        <v>24043.366547596666</v>
      </c>
      <c r="E156" s="4">
        <f>$E$4*'NIFTY MEMBS'!F145</f>
        <v>14862.186774307287</v>
      </c>
      <c r="F156" s="4">
        <f>$F$4*'NIFTY MEMBS'!G145</f>
        <v>23155.844661706851</v>
      </c>
      <c r="G156" s="4">
        <f>$G$4*'NIFTY MEMBS'!H145</f>
        <v>20151.28593040847</v>
      </c>
      <c r="H156" s="4">
        <f>$H$4*'NIFTY MEMBS'!I145</f>
        <v>16081.806108897743</v>
      </c>
      <c r="I156" s="4">
        <f>$I$4*'NIFTY MEMBS'!J145</f>
        <v>21132.595495456699</v>
      </c>
      <c r="J156" s="4">
        <f>$J$4*'NIFTY MEMBS'!K145</f>
        <v>25566.305711360717</v>
      </c>
      <c r="K156" s="4">
        <f>$K$4*'NIFTY MEMBS'!L145</f>
        <v>17843.257175309071</v>
      </c>
      <c r="L156" s="4">
        <f>$L$4*'NIFTY MEMBS'!M145</f>
        <v>19062.576687116562</v>
      </c>
      <c r="M156" s="4">
        <f>$M$4*'NIFTY MEMBS'!N145</f>
        <v>22249.582898387805</v>
      </c>
      <c r="N156" s="4">
        <f>$N$4*'NIFTY MEMBS'!O145</f>
        <v>20761.842959117457</v>
      </c>
      <c r="O156" s="4">
        <f>$O$4*'NIFTY MEMBS'!P145</f>
        <v>22061.060165511069</v>
      </c>
      <c r="P156" s="4">
        <f>$P$4*'NIFTY MEMBS'!Q145</f>
        <v>15402.076414132169</v>
      </c>
      <c r="Q156" s="4">
        <f>$Q$4*'NIFTY MEMBS'!R145</f>
        <v>18101.007963173626</v>
      </c>
      <c r="R156" s="4">
        <f>$R$4*'NIFTY MEMBS'!S145</f>
        <v>21352.319384991701</v>
      </c>
      <c r="S156" s="4">
        <f>$S$4*'NIFTY MEMBS'!T145</f>
        <v>19858.182496734469</v>
      </c>
      <c r="T156" s="4">
        <f>$T$4*'NIFTY MEMBS'!U145</f>
        <v>25026.642984014208</v>
      </c>
      <c r="U156" s="4">
        <f>$U$4*'NIFTY MEMBS'!V145</f>
        <v>20770.471902515481</v>
      </c>
      <c r="V156" s="4">
        <f>$V$4*'NIFTY MEMBS'!W145</f>
        <v>20056.945901393679</v>
      </c>
      <c r="W156" s="4">
        <f>$W$4*'NIFTY MEMBS'!X145</f>
        <v>22173.598553345393</v>
      </c>
      <c r="X156" s="4">
        <f>$X$4*'NIFTY MEMBS'!Y145</f>
        <v>22908.016739148272</v>
      </c>
      <c r="Y156" s="4">
        <f>$Y$4*'NIFTY MEMBS'!Z145</f>
        <v>20378.982907786452</v>
      </c>
      <c r="Z156" s="4">
        <f>$Z$4*'NIFTY MEMBS'!AA145</f>
        <v>26420.551207893845</v>
      </c>
      <c r="AA156" s="4">
        <f>$AA$4*'NIFTY MEMBS'!AB145</f>
        <v>22859.351703572811</v>
      </c>
      <c r="AB156" s="4">
        <f>$AB$4*'NIFTY MEMBS'!AC145</f>
        <v>16769.896769896772</v>
      </c>
      <c r="AC156" s="4">
        <f>$AC$4*'NIFTY MEMBS'!AD145</f>
        <v>18885.30927835052</v>
      </c>
      <c r="AD156" s="4">
        <f>$AD$4*'NIFTY MEMBS'!AE145</f>
        <v>18481.147814481148</v>
      </c>
      <c r="AE156" s="4">
        <f>$AE$4*'NIFTY MEMBS'!AF145</f>
        <v>18597.227863235152</v>
      </c>
      <c r="AF156" s="4">
        <f>$AF$4*'NIFTY MEMBS'!AG145</f>
        <v>20840.474692469572</v>
      </c>
      <c r="AG156" s="4">
        <f>$AG$4*'NIFTY MEMBS'!AH145</f>
        <v>19857.660455486541</v>
      </c>
      <c r="AH156" s="4">
        <f>$AH$4*'NIFTY MEMBS'!AI145</f>
        <v>20502.111338533312</v>
      </c>
      <c r="AI156" s="4">
        <f>$AI$4*'NIFTY MEMBS'!AJ145</f>
        <v>23649.261371946759</v>
      </c>
      <c r="AJ156" s="4">
        <f>$AJ$4*'NIFTY MEMBS'!AK145</f>
        <v>21093.775661028089</v>
      </c>
      <c r="AK156" s="4">
        <f>$AK$4*'NIFTY MEMBS'!AL145</f>
        <v>22463.812624122187</v>
      </c>
      <c r="AL156" s="4">
        <f>$AL$4*'NIFTY MEMBS'!AM145</f>
        <v>22395.758704685482</v>
      </c>
      <c r="AM156" s="4">
        <f>$AM$4*'NIFTY MEMBS'!AN145</f>
        <v>14152.418276610946</v>
      </c>
      <c r="AN156" s="4">
        <f>$AN$4*'NIFTY MEMBS'!AO145</f>
        <v>26183.947443587545</v>
      </c>
      <c r="AO156" s="4">
        <f>$AO$4*'NIFTY MEMBS'!AP145</f>
        <v>24509.073233959814</v>
      </c>
      <c r="AP156" s="4">
        <f>$AP$4*'NIFTY MEMBS'!AQ145</f>
        <v>23364.533265874019</v>
      </c>
      <c r="AQ156" s="4">
        <f>$AQ$4*'NIFTY MEMBS'!AR145</f>
        <v>17064.882472048597</v>
      </c>
      <c r="AR156" s="4">
        <f>$AR$4*'NIFTY MEMBS'!AS145</f>
        <v>20587.273559610228</v>
      </c>
      <c r="AS156" s="4">
        <f>$AS$4*'NIFTY MEMBS'!AT145</f>
        <v>20234.339486949855</v>
      </c>
      <c r="AT156" s="4">
        <f>$AT$4*'NIFTY MEMBS'!AU145</f>
        <v>21871.41315334144</v>
      </c>
      <c r="AU156" s="4">
        <f>$AU$4*'NIFTY MEMBS'!AV145</f>
        <v>23070.737802890362</v>
      </c>
      <c r="AV156" s="4">
        <f>$AV$4*'NIFTY MEMBS'!AW145</f>
        <v>18989.043097151207</v>
      </c>
      <c r="AW156" s="4">
        <f>$AW$4*'NIFTY MEMBS'!AX145</f>
        <v>20673.222842257455</v>
      </c>
      <c r="AX156" s="4">
        <f>$AX$4*'NIFTY MEMBS'!AY145</f>
        <v>16674.231483391792</v>
      </c>
      <c r="AY156" s="4">
        <f t="shared" si="12"/>
        <v>1019078.2223312224</v>
      </c>
      <c r="AZ156" s="4">
        <f t="shared" si="13"/>
        <v>103.98757370726759</v>
      </c>
    </row>
    <row r="157" spans="1:52" ht="14.25" customHeight="1" x14ac:dyDescent="0.3">
      <c r="A157" s="2">
        <v>45868</v>
      </c>
      <c r="B157" s="4">
        <f>$B$4*'NIFTY MEMBS'!C146</f>
        <v>23092.732855680653</v>
      </c>
      <c r="C157" s="4">
        <f>$C$4*'NIFTY MEMBS'!D146</f>
        <v>22726.558818910005</v>
      </c>
      <c r="D157" s="4">
        <f>$D$4*'NIFTY MEMBS'!E146</f>
        <v>24222.598232750515</v>
      </c>
      <c r="E157" s="4">
        <f>$E$4*'NIFTY MEMBS'!F146</f>
        <v>14850.514899877202</v>
      </c>
      <c r="F157" s="4">
        <f>$F$4*'NIFTY MEMBS'!G146</f>
        <v>23096.638491800724</v>
      </c>
      <c r="G157" s="4">
        <f>$G$4*'NIFTY MEMBS'!H146</f>
        <v>20213.061018658595</v>
      </c>
      <c r="H157" s="4">
        <f>$H$4*'NIFTY MEMBS'!I146</f>
        <v>16138.114209827356</v>
      </c>
      <c r="I157" s="4">
        <f>$I$4*'NIFTY MEMBS'!J146</f>
        <v>20993.066620731239</v>
      </c>
      <c r="J157" s="4">
        <f>$J$4*'NIFTY MEMBS'!K146</f>
        <v>25517.281155825993</v>
      </c>
      <c r="K157" s="4">
        <f>$K$4*'NIFTY MEMBS'!L146</f>
        <v>17806.124677820979</v>
      </c>
      <c r="L157" s="4">
        <f>$L$4*'NIFTY MEMBS'!M146</f>
        <v>19986.912065439672</v>
      </c>
      <c r="M157" s="4">
        <f>$M$4*'NIFTY MEMBS'!N146</f>
        <v>22515.457295040283</v>
      </c>
      <c r="N157" s="4">
        <f>$N$4*'NIFTY MEMBS'!O146</f>
        <v>20823.491239454899</v>
      </c>
      <c r="O157" s="4">
        <f>$O$4*'NIFTY MEMBS'!P146</f>
        <v>21915.678819056138</v>
      </c>
      <c r="P157" s="4">
        <f>$P$4*'NIFTY MEMBS'!Q146</f>
        <v>15444.964564972934</v>
      </c>
      <c r="Q157" s="4">
        <f>$Q$4*'NIFTY MEMBS'!R146</f>
        <v>18347.575332680757</v>
      </c>
      <c r="R157" s="4">
        <f>$R$4*'NIFTY MEMBS'!S146</f>
        <v>21434.436970385254</v>
      </c>
      <c r="S157" s="4">
        <f>$S$4*'NIFTY MEMBS'!T146</f>
        <v>20027.990296697146</v>
      </c>
      <c r="T157" s="4">
        <f>$T$4*'NIFTY MEMBS'!U146</f>
        <v>24864.247652879978</v>
      </c>
      <c r="U157" s="4">
        <f>$U$4*'NIFTY MEMBS'!V146</f>
        <v>20753.87617745133</v>
      </c>
      <c r="V157" s="4">
        <f>$V$4*'NIFTY MEMBS'!W146</f>
        <v>20308.706728607824</v>
      </c>
      <c r="W157" s="4">
        <f>$W$4*'NIFTY MEMBS'!X146</f>
        <v>21949.367088607596</v>
      </c>
      <c r="X157" s="4">
        <f>$X$4*'NIFTY MEMBS'!Y146</f>
        <v>22876.835972757854</v>
      </c>
      <c r="Y157" s="4">
        <f>$Y$4*'NIFTY MEMBS'!Z146</f>
        <v>20410.213125131886</v>
      </c>
      <c r="Z157" s="4">
        <f>$Z$4*'NIFTY MEMBS'!AA146</f>
        <v>26301.463082681188</v>
      </c>
      <c r="AA157" s="4">
        <f>$AA$4*'NIFTY MEMBS'!AB146</f>
        <v>22925.617096471371</v>
      </c>
      <c r="AB157" s="4">
        <f>$AB$4*'NIFTY MEMBS'!AC146</f>
        <v>16663.33666333666</v>
      </c>
      <c r="AC157" s="4">
        <f>$AC$4*'NIFTY MEMBS'!AD146</f>
        <v>18617.912371134022</v>
      </c>
      <c r="AD157" s="4">
        <f>$AD$4*'NIFTY MEMBS'!AE146</f>
        <v>17843.176509843175</v>
      </c>
      <c r="AE157" s="4">
        <f>$AE$4*'NIFTY MEMBS'!AF146</f>
        <v>18405.020279044227</v>
      </c>
      <c r="AF157" s="4">
        <f>$AF$4*'NIFTY MEMBS'!AG146</f>
        <v>20964.571626928166</v>
      </c>
      <c r="AG157" s="4">
        <f>$AG$4*'NIFTY MEMBS'!AH146</f>
        <v>19663.561076604554</v>
      </c>
      <c r="AH157" s="4">
        <f>$AH$4*'NIFTY MEMBS'!AI146</f>
        <v>20574.025926130813</v>
      </c>
      <c r="AI157" s="4">
        <f>$AI$4*'NIFTY MEMBS'!AJ146</f>
        <v>23600.99458826971</v>
      </c>
      <c r="AJ157" s="4">
        <f>$AJ$4*'NIFTY MEMBS'!AK146</f>
        <v>21041.221875513223</v>
      </c>
      <c r="AK157" s="4">
        <f>$AK$4*'NIFTY MEMBS'!AL146</f>
        <v>22591.568904448948</v>
      </c>
      <c r="AL157" s="4">
        <f>$AL$4*'NIFTY MEMBS'!AM146</f>
        <v>22438.744805846109</v>
      </c>
      <c r="AM157" s="4">
        <f>$AM$4*'NIFTY MEMBS'!AN146</f>
        <v>14271.262936736441</v>
      </c>
      <c r="AN157" s="4">
        <f>$AN$4*'NIFTY MEMBS'!AO146</f>
        <v>26265.352756355322</v>
      </c>
      <c r="AO157" s="4">
        <f>$AO$4*'NIFTY MEMBS'!AP146</f>
        <v>24544.718081659103</v>
      </c>
      <c r="AP157" s="4">
        <f>$AP$4*'NIFTY MEMBS'!AQ146</f>
        <v>23232.987604351121</v>
      </c>
      <c r="AQ157" s="4">
        <f>$AQ$4*'NIFTY MEMBS'!AR146</f>
        <v>17175.220823429292</v>
      </c>
      <c r="AR157" s="4">
        <f>$AR$4*'NIFTY MEMBS'!AS146</f>
        <v>20396.311555817148</v>
      </c>
      <c r="AS157" s="4">
        <f>$AS$4*'NIFTY MEMBS'!AT146</f>
        <v>20218.056488435679</v>
      </c>
      <c r="AT157" s="4">
        <f>$AT$4*'NIFTY MEMBS'!AU146</f>
        <v>21681.256745413113</v>
      </c>
      <c r="AU157" s="4">
        <f>$AU$4*'NIFTY MEMBS'!AV146</f>
        <v>23320.656307725741</v>
      </c>
      <c r="AV157" s="4">
        <f>$AV$4*'NIFTY MEMBS'!AW146</f>
        <v>18876.552227903579</v>
      </c>
      <c r="AW157" s="4">
        <f>$AW$4*'NIFTY MEMBS'!AX146</f>
        <v>20320.001911885956</v>
      </c>
      <c r="AX157" s="4">
        <f>$AX$4*'NIFTY MEMBS'!AY146</f>
        <v>16544.254177841965</v>
      </c>
      <c r="AY157" s="4">
        <f t="shared" si="12"/>
        <v>1018794.2907348534</v>
      </c>
      <c r="AZ157" s="4">
        <f t="shared" si="13"/>
        <v>103.95860109539321</v>
      </c>
    </row>
    <row r="158" spans="1:52" ht="14.25" customHeight="1" x14ac:dyDescent="0.3">
      <c r="A158" s="2">
        <v>45869</v>
      </c>
      <c r="B158" s="4">
        <f>$B$4*'NIFTY MEMBS'!C147</f>
        <v>22766.837256908904</v>
      </c>
      <c r="C158" s="4">
        <f>$C$4*'NIFTY MEMBS'!D147</f>
        <v>22641.297763019142</v>
      </c>
      <c r="D158" s="4">
        <f>$D$4*'NIFTY MEMBS'!E147</f>
        <v>23993.231810490692</v>
      </c>
      <c r="E158" s="4">
        <f>$E$4*'NIFTY MEMBS'!F147</f>
        <v>14768.811778866613</v>
      </c>
      <c r="F158" s="4">
        <f>$F$4*'NIFTY MEMBS'!G147</f>
        <v>23081.057920772797</v>
      </c>
      <c r="G158" s="4">
        <f>$G$4*'NIFTY MEMBS'!H147</f>
        <v>20084.467977811393</v>
      </c>
      <c r="H158" s="4">
        <f>$H$4*'NIFTY MEMBS'!I147</f>
        <v>16031.872509960158</v>
      </c>
      <c r="I158" s="4">
        <f>$I$4*'NIFTY MEMBS'!J147</f>
        <v>21714.827096162957</v>
      </c>
      <c r="J158" s="4">
        <f>$J$4*'NIFTY MEMBS'!K147</f>
        <v>25412.022551295548</v>
      </c>
      <c r="K158" s="4">
        <f>$K$4*'NIFTY MEMBS'!L147</f>
        <v>17996.155694377703</v>
      </c>
      <c r="L158" s="4">
        <f>$L$4*'NIFTY MEMBS'!M147</f>
        <v>19830.947511929106</v>
      </c>
      <c r="M158" s="4">
        <f>$M$4*'NIFTY MEMBS'!N147</f>
        <v>22497.613375801862</v>
      </c>
      <c r="N158" s="4">
        <f>$N$4*'NIFTY MEMBS'!O147</f>
        <v>20785.853341985723</v>
      </c>
      <c r="O158" s="4">
        <f>$O$4*'NIFTY MEMBS'!P147</f>
        <v>22127.040930440613</v>
      </c>
      <c r="P158" s="4">
        <f>$P$4*'NIFTY MEMBS'!Q147</f>
        <v>15355.004053453282</v>
      </c>
      <c r="Q158" s="4">
        <f>$Q$4*'NIFTY MEMBS'!R147</f>
        <v>18060.79525913384</v>
      </c>
      <c r="R158" s="4">
        <f>$R$4*'NIFTY MEMBS'!S147</f>
        <v>21401.240499694242</v>
      </c>
      <c r="S158" s="4">
        <f>$S$4*'NIFTY MEMBS'!T147</f>
        <v>19936.555327486476</v>
      </c>
      <c r="T158" s="4">
        <f>$T$4*'NIFTY MEMBS'!U147</f>
        <v>24714.539456990609</v>
      </c>
      <c r="U158" s="4">
        <f>$U$4*'NIFTY MEMBS'!V147</f>
        <v>20574.396484164914</v>
      </c>
      <c r="V158" s="4">
        <f>$V$4*'NIFTY MEMBS'!W147</f>
        <v>20035.965832459166</v>
      </c>
      <c r="W158" s="4">
        <f>$W$4*'NIFTY MEMBS'!X147</f>
        <v>22264.014466546116</v>
      </c>
      <c r="X158" s="4">
        <f>$X$4*'NIFTY MEMBS'!Y147</f>
        <v>22533.847542463274</v>
      </c>
      <c r="Y158" s="4">
        <f>$Y$4*'NIFTY MEMBS'!Z147</f>
        <v>20341.844270943238</v>
      </c>
      <c r="Z158" s="4">
        <f>$Z$4*'NIFTY MEMBS'!AA147</f>
        <v>26070.091867982312</v>
      </c>
      <c r="AA158" s="4">
        <f>$AA$4*'NIFTY MEMBS'!AB147</f>
        <v>23155.337125186368</v>
      </c>
      <c r="AB158" s="4">
        <f>$AB$4*'NIFTY MEMBS'!AC147</f>
        <v>16536.796536796537</v>
      </c>
      <c r="AC158" s="4">
        <f>$AC$4*'NIFTY MEMBS'!AD147</f>
        <v>18750</v>
      </c>
      <c r="AD158" s="4">
        <f>$AD$4*'NIFTY MEMBS'!AE147</f>
        <v>17776.443109776443</v>
      </c>
      <c r="AE158" s="4">
        <f>$AE$4*'NIFTY MEMBS'!AF147</f>
        <v>18323.789692868297</v>
      </c>
      <c r="AF158" s="4">
        <f>$AF$4*'NIFTY MEMBS'!AG147</f>
        <v>20793.612913023666</v>
      </c>
      <c r="AG158" s="4">
        <f>$AG$4*'NIFTY MEMBS'!AH147</f>
        <v>19479.813664596277</v>
      </c>
      <c r="AH158" s="4">
        <f>$AH$4*'NIFTY MEMBS'!AI147</f>
        <v>20723.386992679465</v>
      </c>
      <c r="AI158" s="4">
        <f>$AI$4*'NIFTY MEMBS'!AJ147</f>
        <v>23100.775193798447</v>
      </c>
      <c r="AJ158" s="4">
        <f>$AJ$4*'NIFTY MEMBS'!AK147</f>
        <v>21629.167350960754</v>
      </c>
      <c r="AK158" s="4">
        <f>$AK$4*'NIFTY MEMBS'!AL147</f>
        <v>22491.656941629302</v>
      </c>
      <c r="AL158" s="4">
        <f>$AL$4*'NIFTY MEMBS'!AM147</f>
        <v>22387.570875892983</v>
      </c>
      <c r="AM158" s="4">
        <f>$AM$4*'NIFTY MEMBS'!AN147</f>
        <v>14199.107250231677</v>
      </c>
      <c r="AN158" s="4">
        <f>$AN$4*'NIFTY MEMBS'!AO147</f>
        <v>26288.203370465577</v>
      </c>
      <c r="AO158" s="4">
        <f>$AO$4*'NIFTY MEMBS'!AP147</f>
        <v>24481.529488010365</v>
      </c>
      <c r="AP158" s="4">
        <f>$AP$4*'NIFTY MEMBS'!AQ147</f>
        <v>23039.042077746853</v>
      </c>
      <c r="AQ158" s="4">
        <f>$AQ$4*'NIFTY MEMBS'!AR147</f>
        <v>17181.089884672947</v>
      </c>
      <c r="AR158" s="4">
        <f>$AR$4*'NIFTY MEMBS'!AS147</f>
        <v>20333.529527172846</v>
      </c>
      <c r="AS158" s="4">
        <f>$AS$4*'NIFTY MEMBS'!AT147</f>
        <v>20348.320476549088</v>
      </c>
      <c r="AT158" s="4">
        <f>$AT$4*'NIFTY MEMBS'!AU147</f>
        <v>21614.445034519384</v>
      </c>
      <c r="AU158" s="4">
        <f>$AU$4*'NIFTY MEMBS'!AV147</f>
        <v>23322.829512115615</v>
      </c>
      <c r="AV158" s="4">
        <f>$AV$4*'NIFTY MEMBS'!AW147</f>
        <v>18558.071585098613</v>
      </c>
      <c r="AW158" s="4">
        <f>$AW$4*'NIFTY MEMBS'!AX147</f>
        <v>20364.931231852017</v>
      </c>
      <c r="AX158" s="4">
        <f>$AX$4*'NIFTY MEMBS'!AY147</f>
        <v>16482.360222818239</v>
      </c>
      <c r="AY158" s="4">
        <f t="shared" si="12"/>
        <v>1016382.1426396022</v>
      </c>
      <c r="AZ158" s="4">
        <f t="shared" si="13"/>
        <v>103.71246353465328</v>
      </c>
    </row>
    <row r="159" spans="1:52" ht="14.25" customHeight="1" x14ac:dyDescent="0.3">
      <c r="A159" s="2">
        <v>45870</v>
      </c>
      <c r="B159" s="4">
        <f>$B$4*'NIFTY MEMBS'!C148</f>
        <v>22824.155578300921</v>
      </c>
      <c r="C159" s="4">
        <f>$C$4*'NIFTY MEMBS'!D148</f>
        <v>22573.9864031053</v>
      </c>
      <c r="D159" s="4">
        <f>$D$4*'NIFTY MEMBS'!E148</f>
        <v>23618.47465062355</v>
      </c>
      <c r="E159" s="4">
        <f>$E$4*'NIFTY MEMBS'!F148</f>
        <v>14604.432880642926</v>
      </c>
      <c r="F159" s="4">
        <f>$F$4*'NIFTY MEMBS'!G148</f>
        <v>22928.368324699099</v>
      </c>
      <c r="G159" s="4">
        <f>$G$4*'NIFTY MEMBS'!H148</f>
        <v>20020.171457387794</v>
      </c>
      <c r="H159" s="4">
        <f>$H$4*'NIFTY MEMBS'!I148</f>
        <v>15613.280212483398</v>
      </c>
      <c r="I159" s="4">
        <f>$I$4*'NIFTY MEMBS'!J148</f>
        <v>21994.746134964043</v>
      </c>
      <c r="J159" s="4">
        <f>$J$4*'NIFTY MEMBS'!K148</f>
        <v>25250.529897769382</v>
      </c>
      <c r="K159" s="4">
        <f>$K$4*'NIFTY MEMBS'!L148</f>
        <v>18192.739504608799</v>
      </c>
      <c r="L159" s="4">
        <f>$L$4*'NIFTY MEMBS'!M148</f>
        <v>19562.644853442398</v>
      </c>
      <c r="M159" s="4">
        <f>$M$4*'NIFTY MEMBS'!N148</f>
        <v>21951.589447106166</v>
      </c>
      <c r="N159" s="4">
        <f>$N$4*'NIFTY MEMBS'!O148</f>
        <v>20501.622323166775</v>
      </c>
      <c r="O159" s="4">
        <f>$O$4*'NIFTY MEMBS'!P148</f>
        <v>22281.368821292774</v>
      </c>
      <c r="P159" s="4">
        <f>$P$4*'NIFTY MEMBS'!Q148</f>
        <v>15189.727764847406</v>
      </c>
      <c r="Q159" s="4">
        <f>$Q$4*'NIFTY MEMBS'!R148</f>
        <v>17245.958887801262</v>
      </c>
      <c r="R159" s="4">
        <f>$R$4*'NIFTY MEMBS'!S148</f>
        <v>21163.623656853324</v>
      </c>
      <c r="S159" s="4">
        <f>$S$4*'NIFTY MEMBS'!T148</f>
        <v>19824.594140697893</v>
      </c>
      <c r="T159" s="4">
        <f>$T$4*'NIFTY MEMBS'!U148</f>
        <v>24312.357269728494</v>
      </c>
      <c r="U159" s="4">
        <f>$U$4*'NIFTY MEMBS'!V148</f>
        <v>20382.009004717489</v>
      </c>
      <c r="V159" s="4">
        <f>$V$4*'NIFTY MEMBS'!W148</f>
        <v>19835.156601228831</v>
      </c>
      <c r="W159" s="4">
        <f>$W$4*'NIFTY MEMBS'!X148</f>
        <v>22043.399638336348</v>
      </c>
      <c r="X159" s="4">
        <f>$X$4*'NIFTY MEMBS'!Y148</f>
        <v>22107.163370804952</v>
      </c>
      <c r="Y159" s="4">
        <f>$Y$4*'NIFTY MEMBS'!Z148</f>
        <v>19986.495041147922</v>
      </c>
      <c r="Z159" s="4">
        <f>$Z$4*'NIFTY MEMBS'!AA148</f>
        <v>25668.594760122494</v>
      </c>
      <c r="AA159" s="4">
        <f>$AA$4*'NIFTY MEMBS'!AB148</f>
        <v>22702.52360704622</v>
      </c>
      <c r="AB159" s="4">
        <f>$AB$4*'NIFTY MEMBS'!AC148</f>
        <v>16167.166167166166</v>
      </c>
      <c r="AC159" s="4">
        <f>$AC$4*'NIFTY MEMBS'!AD148</f>
        <v>18766.108247422682</v>
      </c>
      <c r="AD159" s="4">
        <f>$AD$4*'NIFTY MEMBS'!AE148</f>
        <v>17319.986653319986</v>
      </c>
      <c r="AE159" s="4">
        <f>$AE$4*'NIFTY MEMBS'!AF148</f>
        <v>18407.308464570309</v>
      </c>
      <c r="AF159" s="4">
        <f>$AF$4*'NIFTY MEMBS'!AG148</f>
        <v>21096.478857961076</v>
      </c>
      <c r="AG159" s="4">
        <f>$AG$4*'NIFTY MEMBS'!AH148</f>
        <v>19280.538302277433</v>
      </c>
      <c r="AH159" s="4">
        <f>$AH$4*'NIFTY MEMBS'!AI148</f>
        <v>20988.917777654849</v>
      </c>
      <c r="AI159" s="4">
        <f>$AI$4*'NIFTY MEMBS'!AJ148</f>
        <v>22379.698698259468</v>
      </c>
      <c r="AJ159" s="4">
        <f>$AJ$4*'NIFTY MEMBS'!AK148</f>
        <v>21645.590408934146</v>
      </c>
      <c r="AK159" s="4">
        <f>$AK$4*'NIFTY MEMBS'!AL148</f>
        <v>22293.470917019837</v>
      </c>
      <c r="AL159" s="4">
        <f>$AL$4*'NIFTY MEMBS'!AM148</f>
        <v>22631.158782469854</v>
      </c>
      <c r="AM159" s="4">
        <f>$AM$4*'NIFTY MEMBS'!AN148</f>
        <v>14657.508082144297</v>
      </c>
      <c r="AN159" s="4">
        <f>$AN$4*'NIFTY MEMBS'!AO148</f>
        <v>25652.670665524132</v>
      </c>
      <c r="AO159" s="4">
        <f>$AO$4*'NIFTY MEMBS'!AP148</f>
        <v>24034.34867141931</v>
      </c>
      <c r="AP159" s="4">
        <f>$AP$4*'NIFTY MEMBS'!AQ148</f>
        <v>22681.507715658994</v>
      </c>
      <c r="AQ159" s="4">
        <f>$AQ$4*'NIFTY MEMBS'!AR148</f>
        <v>16888.810634738973</v>
      </c>
      <c r="AR159" s="4">
        <f>$AR$4*'NIFTY MEMBS'!AS148</f>
        <v>19656.006801386437</v>
      </c>
      <c r="AS159" s="4">
        <f>$AS$4*'NIFTY MEMBS'!AT148</f>
        <v>19950.743929494616</v>
      </c>
      <c r="AT159" s="4">
        <f>$AT$4*'NIFTY MEMBS'!AU148</f>
        <v>21043.975810734413</v>
      </c>
      <c r="AU159" s="4">
        <f>$AU$4*'NIFTY MEMBS'!AV148</f>
        <v>23261.979789199177</v>
      </c>
      <c r="AV159" s="4">
        <f>$AV$4*'NIFTY MEMBS'!AW148</f>
        <v>17831.99415631848</v>
      </c>
      <c r="AW159" s="4">
        <f>$AW$4*'NIFTY MEMBS'!AX148</f>
        <v>20608.218719753368</v>
      </c>
      <c r="AX159" s="4">
        <f>$AX$4*'NIFTY MEMBS'!AY148</f>
        <v>16168.764184031363</v>
      </c>
      <c r="AY159" s="4">
        <f t="shared" si="12"/>
        <v>1005792.6666703854</v>
      </c>
      <c r="AZ159" s="4">
        <f t="shared" si="13"/>
        <v>102.63190476228424</v>
      </c>
    </row>
    <row r="160" spans="1:52" ht="14.25" customHeight="1" x14ac:dyDescent="0.3">
      <c r="A160" s="2">
        <v>45873</v>
      </c>
      <c r="B160" s="4">
        <f>$B$4*'NIFTY MEMBS'!C149</f>
        <v>23115.660184237462</v>
      </c>
      <c r="C160" s="4">
        <f>$C$4*'NIFTY MEMBS'!D149</f>
        <v>22347.371491395366</v>
      </c>
      <c r="D160" s="4">
        <f>$D$4*'NIFTY MEMBS'!E149</f>
        <v>23996.99191577364</v>
      </c>
      <c r="E160" s="4">
        <f>$E$4*'NIFTY MEMBS'!F149</f>
        <v>14951.671144937933</v>
      </c>
      <c r="F160" s="4">
        <f>$F$4*'NIFTY MEMBS'!G149</f>
        <v>22797.491528064504</v>
      </c>
      <c r="G160" s="4">
        <f>$G$4*'NIFTY MEMBS'!H149</f>
        <v>20063.035804336861</v>
      </c>
      <c r="H160" s="4">
        <f>$H$4*'NIFTY MEMBS'!I149</f>
        <v>15729.083665338645</v>
      </c>
      <c r="I160" s="4">
        <f>$I$4*'NIFTY MEMBS'!J149</f>
        <v>21908.617199948323</v>
      </c>
      <c r="J160" s="4">
        <f>$J$4*'NIFTY MEMBS'!K149</f>
        <v>25530.258244055771</v>
      </c>
      <c r="K160" s="4">
        <f>$K$4*'NIFTY MEMBS'!L149</f>
        <v>18210.213621073784</v>
      </c>
      <c r="L160" s="4">
        <f>$L$4*'NIFTY MEMBS'!M149</f>
        <v>19801.49965916837</v>
      </c>
      <c r="M160" s="4">
        <f>$M$4*'NIFTY MEMBS'!N149</f>
        <v>22064.006138308221</v>
      </c>
      <c r="N160" s="4">
        <f>$N$4*'NIFTY MEMBS'!O149</f>
        <v>20767.034393251135</v>
      </c>
      <c r="O160" s="4">
        <f>$O$4*'NIFTY MEMBS'!P149</f>
        <v>22332.811451576825</v>
      </c>
      <c r="P160" s="4">
        <f>$P$4*'NIFTY MEMBS'!Q149</f>
        <v>15422.997463322787</v>
      </c>
      <c r="Q160" s="4">
        <f>$Q$4*'NIFTY MEMBS'!R149</f>
        <v>17371.888145189023</v>
      </c>
      <c r="R160" s="4">
        <f>$R$4*'NIFTY MEMBS'!S149</f>
        <v>21415.217961037826</v>
      </c>
      <c r="S160" s="4">
        <f>$S$4*'NIFTY MEMBS'!T149</f>
        <v>19940.28736704609</v>
      </c>
      <c r="T160" s="4">
        <f>$T$4*'NIFTY MEMBS'!U149</f>
        <v>24531.8447094646</v>
      </c>
      <c r="U160" s="4">
        <f>$U$4*'NIFTY MEMBS'!V149</f>
        <v>20629.715567712097</v>
      </c>
      <c r="V160" s="4">
        <f>$V$4*'NIFTY MEMBS'!W149</f>
        <v>19901.0939607373</v>
      </c>
      <c r="W160" s="4">
        <f>$W$4*'NIFTY MEMBS'!X149</f>
        <v>22079.566003616637</v>
      </c>
      <c r="X160" s="4">
        <f>$X$4*'NIFTY MEMBS'!Y149</f>
        <v>22793.140231394107</v>
      </c>
      <c r="Y160" s="4">
        <f>$Y$4*'NIFTY MEMBS'!Z149</f>
        <v>19821.059295209961</v>
      </c>
      <c r="Z160" s="4">
        <f>$Z$4*'NIFTY MEMBS'!AA149</f>
        <v>26509.016672337533</v>
      </c>
      <c r="AA160" s="4">
        <f>$AA$4*'NIFTY MEMBS'!AB149</f>
        <v>23323.209453862721</v>
      </c>
      <c r="AB160" s="4">
        <f>$AB$4*'NIFTY MEMBS'!AC149</f>
        <v>16386.946386946387</v>
      </c>
      <c r="AC160" s="4">
        <f>$AC$4*'NIFTY MEMBS'!AD149</f>
        <v>18553.4793814433</v>
      </c>
      <c r="AD160" s="4">
        <f>$AD$4*'NIFTY MEMBS'!AE149</f>
        <v>17446.780113446781</v>
      </c>
      <c r="AE160" s="4">
        <f>$AE$4*'NIFTY MEMBS'!AF149</f>
        <v>18734.518994800099</v>
      </c>
      <c r="AF160" s="4">
        <f>$AF$4*'NIFTY MEMBS'!AG149</f>
        <v>21259.627275291259</v>
      </c>
      <c r="AG160" s="4">
        <f>$AG$4*'NIFTY MEMBS'!AH149</f>
        <v>19394.409937888198</v>
      </c>
      <c r="AH160" s="4">
        <f>$AH$4*'NIFTY MEMBS'!AI149</f>
        <v>20997.21561468533</v>
      </c>
      <c r="AI160" s="4">
        <f>$AI$4*'NIFTY MEMBS'!AJ149</f>
        <v>23337.721222758519</v>
      </c>
      <c r="AJ160" s="4">
        <f>$AJ$4*'NIFTY MEMBS'!AK149</f>
        <v>21934.636229265892</v>
      </c>
      <c r="AK160" s="4">
        <f>$AK$4*'NIFTY MEMBS'!AL149</f>
        <v>22830.70245480417</v>
      </c>
      <c r="AL160" s="4">
        <f>$AL$4*'NIFTY MEMBS'!AM149</f>
        <v>23011.892821321104</v>
      </c>
      <c r="AM160" s="4">
        <f>$AM$4*'NIFTY MEMBS'!AN149</f>
        <v>14852.752880921895</v>
      </c>
      <c r="AN160" s="4">
        <f>$AN$4*'NIFTY MEMBS'!AO149</f>
        <v>26156.812339331616</v>
      </c>
      <c r="AO160" s="4">
        <f>$AO$4*'NIFTY MEMBS'!AP149</f>
        <v>23972.780298120539</v>
      </c>
      <c r="AP160" s="4">
        <f>$AP$4*'NIFTY MEMBS'!AQ149</f>
        <v>23195.884981870309</v>
      </c>
      <c r="AQ160" s="4">
        <f>$AQ$4*'NIFTY MEMBS'!AR149</f>
        <v>17313.730668779528</v>
      </c>
      <c r="AR160" s="4">
        <f>$AR$4*'NIFTY MEMBS'!AS149</f>
        <v>19816.885749787456</v>
      </c>
      <c r="AS160" s="4">
        <f>$AS$4*'NIFTY MEMBS'!AT149</f>
        <v>19832.692190266836</v>
      </c>
      <c r="AT160" s="4">
        <f>$AT$4*'NIFTY MEMBS'!AU149</f>
        <v>21410.58366025388</v>
      </c>
      <c r="AU160" s="4">
        <f>$AU$4*'NIFTY MEMBS'!AV149</f>
        <v>23309.790285776377</v>
      </c>
      <c r="AV160" s="4">
        <f>$AV$4*'NIFTY MEMBS'!AW149</f>
        <v>17896.274653031411</v>
      </c>
      <c r="AW160" s="4">
        <f>$AW$4*'NIFTY MEMBS'!AX149</f>
        <v>21680.30876958189</v>
      </c>
      <c r="AX160" s="4">
        <f>$AX$4*'NIFTY MEMBS'!AY149</f>
        <v>16588.611512275635</v>
      </c>
      <c r="AY160" s="4">
        <f t="shared" si="12"/>
        <v>1017269.8216950459</v>
      </c>
      <c r="AZ160" s="4">
        <f t="shared" si="13"/>
        <v>103.80304303010672</v>
      </c>
    </row>
    <row r="161" spans="1:52" ht="14.25" customHeight="1" x14ac:dyDescent="0.3">
      <c r="A161" s="2">
        <v>45874</v>
      </c>
      <c r="B161" s="4">
        <f>$B$4*'NIFTY MEMBS'!C150</f>
        <v>22791.402251791198</v>
      </c>
      <c r="C161" s="4">
        <f>$C$4*'NIFTY MEMBS'!D150</f>
        <v>22185.824227602145</v>
      </c>
      <c r="D161" s="4">
        <f>$D$4*'NIFTY MEMBS'!E150</f>
        <v>24212.571285329323</v>
      </c>
      <c r="E161" s="4">
        <f>$E$4*'NIFTY MEMBS'!F150</f>
        <v>14900.606694306314</v>
      </c>
      <c r="F161" s="4">
        <f>$F$4*'NIFTY MEMBS'!G150</f>
        <v>22504.576792739455</v>
      </c>
      <c r="G161" s="4">
        <f>$G$4*'NIFTY MEMBS'!H150</f>
        <v>20186.585980837113</v>
      </c>
      <c r="H161" s="4">
        <f>$H$4*'NIFTY MEMBS'!I150</f>
        <v>15514.475431606905</v>
      </c>
      <c r="I161" s="4">
        <f>$I$4*'NIFTY MEMBS'!J150</f>
        <v>21831.101158434176</v>
      </c>
      <c r="J161" s="4">
        <f>$J$4*'NIFTY MEMBS'!K150</f>
        <v>25720.588871425891</v>
      </c>
      <c r="K161" s="4">
        <f>$K$4*'NIFTY MEMBS'!L150</f>
        <v>18092.263334935127</v>
      </c>
      <c r="L161" s="4">
        <f>$L$4*'NIFTY MEMBS'!M150</f>
        <v>19918.745739604634</v>
      </c>
      <c r="M161" s="4">
        <f>$M$4*'NIFTY MEMBS'!N150</f>
        <v>22370.92154920907</v>
      </c>
      <c r="N161" s="4">
        <f>$N$4*'NIFTY MEMBS'!O150</f>
        <v>20844.905905256324</v>
      </c>
      <c r="O161" s="4">
        <f>$O$4*'NIFTY MEMBS'!P150</f>
        <v>22399.910534556024</v>
      </c>
      <c r="P161" s="4">
        <f>$P$4*'NIFTY MEMBS'!Q150</f>
        <v>15509.819817463846</v>
      </c>
      <c r="Q161" s="4">
        <f>$Q$4*'NIFTY MEMBS'!R150</f>
        <v>17271.356385089552</v>
      </c>
      <c r="R161" s="4">
        <f>$R$4*'NIFTY MEMBS'!S150</f>
        <v>21486.852450423692</v>
      </c>
      <c r="S161" s="4">
        <f>$S$4*'NIFTY MEMBS'!T150</f>
        <v>19981.339802201903</v>
      </c>
      <c r="T161" s="4">
        <f>$T$4*'NIFTY MEMBS'!U150</f>
        <v>24605.430093884799</v>
      </c>
      <c r="U161" s="4">
        <f>$U$4*'NIFTY MEMBS'!V150</f>
        <v>21010.187931219938</v>
      </c>
      <c r="V161" s="4">
        <f>$V$4*'NIFTY MEMBS'!W150</f>
        <v>19997.002847295073</v>
      </c>
      <c r="W161" s="4">
        <f>$W$4*'NIFTY MEMBS'!X150</f>
        <v>21855.334538878844</v>
      </c>
      <c r="X161" s="4">
        <f>$X$4*'NIFTY MEMBS'!Y150</f>
        <v>22287.68359727578</v>
      </c>
      <c r="Y161" s="4">
        <f>$Y$4*'NIFTY MEMBS'!Z150</f>
        <v>19791.517197721038</v>
      </c>
      <c r="Z161" s="4">
        <f>$Z$4*'NIFTY MEMBS'!AA150</f>
        <v>26311.670636270843</v>
      </c>
      <c r="AA161" s="4">
        <f>$AA$4*'NIFTY MEMBS'!AB150</f>
        <v>23267.988293113922</v>
      </c>
      <c r="AB161" s="4">
        <f>$AB$4*'NIFTY MEMBS'!AC150</f>
        <v>16377.622377622376</v>
      </c>
      <c r="AC161" s="4">
        <f>$AC$4*'NIFTY MEMBS'!AD150</f>
        <v>18427.835051546394</v>
      </c>
      <c r="AD161" s="4">
        <f>$AD$4*'NIFTY MEMBS'!AE150</f>
        <v>17473.473473473474</v>
      </c>
      <c r="AE161" s="4">
        <f>$AE$4*'NIFTY MEMBS'!AF150</f>
        <v>18832.910972421643</v>
      </c>
      <c r="AF161" s="4">
        <f>$AF$4*'NIFTY MEMBS'!AG150</f>
        <v>21146.8118803289</v>
      </c>
      <c r="AG161" s="4">
        <f>$AG$4*'NIFTY MEMBS'!AH150</f>
        <v>19642.857142857145</v>
      </c>
      <c r="AH161" s="4">
        <f>$AH$4*'NIFTY MEMBS'!AI150</f>
        <v>20904.095443565493</v>
      </c>
      <c r="AI161" s="4">
        <f>$AI$4*'NIFTY MEMBS'!AJ150</f>
        <v>23346.497001608892</v>
      </c>
      <c r="AJ161" s="4">
        <f>$AJ$4*'NIFTY MEMBS'!AK150</f>
        <v>21865.659385777635</v>
      </c>
      <c r="AK161" s="4">
        <f>$AK$4*'NIFTY MEMBS'!AL150</f>
        <v>22907.68380320619</v>
      </c>
      <c r="AL161" s="4">
        <f>$AL$4*'NIFTY MEMBS'!AM150</f>
        <v>23257.527685096102</v>
      </c>
      <c r="AM161" s="4">
        <f>$AM$4*'NIFTY MEMBS'!AN150</f>
        <v>15046.582862317047</v>
      </c>
      <c r="AN161" s="4">
        <f>$AN$4*'NIFTY MEMBS'!AO150</f>
        <v>26520.994001713792</v>
      </c>
      <c r="AO161" s="4">
        <f>$AO$4*'NIFTY MEMBS'!AP150</f>
        <v>23930.654569021382</v>
      </c>
      <c r="AP161" s="4">
        <f>$AP$4*'NIFTY MEMBS'!AQ150</f>
        <v>23175.647187789862</v>
      </c>
      <c r="AQ161" s="4">
        <f>$AQ$4*'NIFTY MEMBS'!AR150</f>
        <v>17435.807142647536</v>
      </c>
      <c r="AR161" s="4">
        <f>$AR$4*'NIFTY MEMBS'!AS150</f>
        <v>19616.76803348375</v>
      </c>
      <c r="AS161" s="4">
        <f>$AS$4*'NIFTY MEMBS'!AT150</f>
        <v>19740.421865353172</v>
      </c>
      <c r="AT161" s="4">
        <f>$AT$4*'NIFTY MEMBS'!AU150</f>
        <v>21588.748222637176</v>
      </c>
      <c r="AU161" s="4">
        <f>$AU$4*'NIFTY MEMBS'!AV150</f>
        <v>23135.933934586548</v>
      </c>
      <c r="AV161" s="4">
        <f>$AV$4*'NIFTY MEMBS'!AW150</f>
        <v>17747.260774287803</v>
      </c>
      <c r="AW161" s="4">
        <f>$AW$4*'NIFTY MEMBS'!AX150</f>
        <v>21732.407661882968</v>
      </c>
      <c r="AX161" s="4">
        <f>$AX$4*'NIFTY MEMBS'!AY150</f>
        <v>16900.144419228389</v>
      </c>
      <c r="AY161" s="4">
        <f t="shared" si="12"/>
        <v>1017605.008240927</v>
      </c>
      <c r="AZ161" s="4">
        <f t="shared" si="13"/>
        <v>103.8372457388701</v>
      </c>
    </row>
    <row r="162" spans="1:52" ht="14.25" customHeight="1" x14ac:dyDescent="0.3">
      <c r="A162" s="2">
        <v>45875</v>
      </c>
      <c r="B162" s="4">
        <f>$B$4*'NIFTY MEMBS'!C151</f>
        <v>22809.416581371544</v>
      </c>
      <c r="C162" s="4">
        <f>$C$4*'NIFTY MEMBS'!D151</f>
        <v>22272.207139491577</v>
      </c>
      <c r="D162" s="4">
        <f>$D$4*'NIFTY MEMBS'!E151</f>
        <v>24186.250548348686</v>
      </c>
      <c r="E162" s="4">
        <f>$E$4*'NIFTY MEMBS'!F151</f>
        <v>14746.927014310206</v>
      </c>
      <c r="F162" s="4">
        <f>$F$4*'NIFTY MEMBS'!G151</f>
        <v>22492.112335917107</v>
      </c>
      <c r="G162" s="4">
        <f>$G$4*'NIFTY MEMBS'!H151</f>
        <v>20301.311144730204</v>
      </c>
      <c r="H162" s="4">
        <f>$H$4*'NIFTY MEMBS'!I151</f>
        <v>15263.745019920318</v>
      </c>
      <c r="I162" s="4">
        <f>$I$4*'NIFTY MEMBS'!J151</f>
        <v>21838.852762585593</v>
      </c>
      <c r="J162" s="4">
        <f>$J$4*'NIFTY MEMBS'!K151</f>
        <v>25280.809770305539</v>
      </c>
      <c r="K162" s="4">
        <f>$K$4*'NIFTY MEMBS'!L151</f>
        <v>17998.339958935827</v>
      </c>
      <c r="L162" s="4">
        <f>$L$4*'NIFTY MEMBS'!M151</f>
        <v>19786.775732788003</v>
      </c>
      <c r="M162" s="4">
        <f>$M$4*'NIFTY MEMBS'!N151</f>
        <v>22347.72445419912</v>
      </c>
      <c r="N162" s="4">
        <f>$N$4*'NIFTY MEMBS'!O151</f>
        <v>20944.192083062946</v>
      </c>
      <c r="O162" s="4">
        <f>$O$4*'NIFTY MEMBS'!P151</f>
        <v>22393.200626258105</v>
      </c>
      <c r="P162" s="4">
        <f>$P$4*'NIFTY MEMBS'!Q151</f>
        <v>15305.839587855331</v>
      </c>
      <c r="Q162" s="4">
        <f>$Q$4*'NIFTY MEMBS'!R151</f>
        <v>16880.869864282122</v>
      </c>
      <c r="R162" s="4">
        <f>$R$4*'NIFTY MEMBS'!S151</f>
        <v>21361.055298331441</v>
      </c>
      <c r="S162" s="4">
        <f>$S$4*'NIFTY MEMBS'!T151</f>
        <v>19985.071841761524</v>
      </c>
      <c r="T162" s="4">
        <f>$T$4*'NIFTY MEMBS'!U151</f>
        <v>24410.048211113928</v>
      </c>
      <c r="U162" s="4">
        <f>$U$4*'NIFTY MEMBS'!V151</f>
        <v>21007.114648800653</v>
      </c>
      <c r="V162" s="4">
        <f>$V$4*'NIFTY MEMBS'!W151</f>
        <v>19907.088266147162</v>
      </c>
      <c r="W162" s="4">
        <f>$W$4*'NIFTY MEMBS'!X151</f>
        <v>21616.636528028936</v>
      </c>
      <c r="X162" s="4">
        <f>$X$4*'NIFTY MEMBS'!Y151</f>
        <v>22435.381964388278</v>
      </c>
      <c r="Y162" s="4">
        <f>$Y$4*'NIFTY MEMBS'!Z151</f>
        <v>19731.588942814942</v>
      </c>
      <c r="Z162" s="4">
        <f>$Z$4*'NIFTY MEMBS'!AA151</f>
        <v>26519.224225927188</v>
      </c>
      <c r="AA162" s="4">
        <f>$AA$4*'NIFTY MEMBS'!AB151</f>
        <v>23250.317521674304</v>
      </c>
      <c r="AB162" s="4">
        <f>$AB$4*'NIFTY MEMBS'!AC151</f>
        <v>15981.351981351982</v>
      </c>
      <c r="AC162" s="4">
        <f>$AC$4*'NIFTY MEMBS'!AD151</f>
        <v>18350.515463917527</v>
      </c>
      <c r="AD162" s="4">
        <f>$AD$4*'NIFTY MEMBS'!AE151</f>
        <v>17426.760093426761</v>
      </c>
      <c r="AE162" s="4">
        <f>$AE$4*'NIFTY MEMBS'!AF151</f>
        <v>18713.925325065356</v>
      </c>
      <c r="AF162" s="4">
        <f>$AF$4*'NIFTY MEMBS'!AG151</f>
        <v>21618.900917709845</v>
      </c>
      <c r="AG162" s="4">
        <f>$AG$4*'NIFTY MEMBS'!AH151</f>
        <v>19505.693581780539</v>
      </c>
      <c r="AH162" s="4">
        <f>$AH$4*'NIFTY MEMBS'!AI151</f>
        <v>20590.621600191778</v>
      </c>
      <c r="AI162" s="4">
        <f>$AI$4*'NIFTY MEMBS'!AJ151</f>
        <v>23206.084540002925</v>
      </c>
      <c r="AJ162" s="4">
        <f>$AJ$4*'NIFTY MEMBS'!AK151</f>
        <v>21451.798324848092</v>
      </c>
      <c r="AK162" s="4">
        <f>$AK$4*'NIFTY MEMBS'!AL151</f>
        <v>22650.533341522838</v>
      </c>
      <c r="AL162" s="4">
        <f>$AL$4*'NIFTY MEMBS'!AM151</f>
        <v>23204.306797944853</v>
      </c>
      <c r="AM162" s="4">
        <f>$AM$4*'NIFTY MEMBS'!AN151</f>
        <v>15156.938618147864</v>
      </c>
      <c r="AN162" s="4">
        <f>$AN$4*'NIFTY MEMBS'!AO151</f>
        <v>26482.433590402739</v>
      </c>
      <c r="AO162" s="4">
        <f>$AO$4*'NIFTY MEMBS'!AP151</f>
        <v>24385.936487362276</v>
      </c>
      <c r="AP162" s="4">
        <f>$AP$4*'NIFTY MEMBS'!AQ151</f>
        <v>23099.755459988191</v>
      </c>
      <c r="AQ162" s="4">
        <f>$AQ$4*'NIFTY MEMBS'!AR151</f>
        <v>17125.920708982598</v>
      </c>
      <c r="AR162" s="4">
        <f>$AR$4*'NIFTY MEMBS'!AS151</f>
        <v>19445.425413642013</v>
      </c>
      <c r="AS162" s="4">
        <f>$AS$4*'NIFTY MEMBS'!AT151</f>
        <v>19511.102969611853</v>
      </c>
      <c r="AT162" s="4">
        <f>$AT$4*'NIFTY MEMBS'!AU151</f>
        <v>21605.879430558645</v>
      </c>
      <c r="AU162" s="4">
        <f>$AU$4*'NIFTY MEMBS'!AV151</f>
        <v>22879.495816581548</v>
      </c>
      <c r="AV162" s="4">
        <f>$AV$4*'NIFTY MEMBS'!AW151</f>
        <v>17482.834185536889</v>
      </c>
      <c r="AW162" s="4">
        <f>$AW$4*'NIFTY MEMBS'!AX151</f>
        <v>21388.746161291474</v>
      </c>
      <c r="AX162" s="4">
        <f>$AX$4*'NIFTY MEMBS'!AY151</f>
        <v>16574.169589436766</v>
      </c>
      <c r="AY162" s="4">
        <f t="shared" si="12"/>
        <v>1012911.2324726557</v>
      </c>
      <c r="AZ162" s="4">
        <f t="shared" si="13"/>
        <v>103.358289027822</v>
      </c>
    </row>
    <row r="163" spans="1:52" ht="14.25" customHeight="1" x14ac:dyDescent="0.3">
      <c r="A163" s="2">
        <v>45876</v>
      </c>
      <c r="B163" s="4">
        <f>$B$4*'NIFTY MEMBS'!C152</f>
        <v>22753.735926305017</v>
      </c>
      <c r="C163" s="4">
        <f>$C$4*'NIFTY MEMBS'!D152</f>
        <v>22385.514595346544</v>
      </c>
      <c r="D163" s="4">
        <f>$D$4*'NIFTY MEMBS'!E152</f>
        <v>24097.261389985586</v>
      </c>
      <c r="E163" s="4">
        <f>$E$4*'NIFTY MEMBS'!F152</f>
        <v>14818.417245194471</v>
      </c>
      <c r="F163" s="4">
        <f>$F$4*'NIFTY MEMBS'!G152</f>
        <v>22440.696451524946</v>
      </c>
      <c r="G163" s="4">
        <f>$G$4*'NIFTY MEMBS'!H152</f>
        <v>20301.311144730204</v>
      </c>
      <c r="H163" s="4">
        <f>$H$4*'NIFTY MEMBS'!I152</f>
        <v>15265.869853917662</v>
      </c>
      <c r="I163" s="4">
        <f>$I$4*'NIFTY MEMBS'!J152</f>
        <v>21682.959390207143</v>
      </c>
      <c r="J163" s="4">
        <f>$J$4*'NIFTY MEMBS'!K152</f>
        <v>25351.462806223237</v>
      </c>
      <c r="K163" s="4">
        <f>$K$4*'NIFTY MEMBS'!L152</f>
        <v>18068.23642479577</v>
      </c>
      <c r="L163" s="4">
        <f>$L$4*'NIFTY MEMBS'!M152</f>
        <v>19858.759372869801</v>
      </c>
      <c r="M163" s="4">
        <f>$M$4*'NIFTY MEMBS'!N152</f>
        <v>22540.438781974073</v>
      </c>
      <c r="N163" s="4">
        <f>$N$4*'NIFTY MEMBS'!O152</f>
        <v>20837.767683322516</v>
      </c>
      <c r="O163" s="4">
        <f>$O$4*'NIFTY MEMBS'!P152</f>
        <v>22278.013867143811</v>
      </c>
      <c r="P163" s="4">
        <f>$P$4*'NIFTY MEMBS'!Q152</f>
        <v>15434.504040377624</v>
      </c>
      <c r="Q163" s="4">
        <f>$Q$4*'NIFTY MEMBS'!R152</f>
        <v>16914.73319399984</v>
      </c>
      <c r="R163" s="4">
        <f>$R$4*'NIFTY MEMBS'!S152</f>
        <v>21443.172883724994</v>
      </c>
      <c r="S163" s="4">
        <f>$S$4*'NIFTY MEMBS'!T152</f>
        <v>20082.104870311628</v>
      </c>
      <c r="T163" s="4">
        <f>$T$4*'NIFTY MEMBS'!U152</f>
        <v>24283.176858665312</v>
      </c>
      <c r="U163" s="4">
        <f>$U$4*'NIFTY MEMBS'!V152</f>
        <v>20994.821519123499</v>
      </c>
      <c r="V163" s="4">
        <f>$V$4*'NIFTY MEMBS'!W152</f>
        <v>19766.222089015435</v>
      </c>
      <c r="W163" s="4">
        <f>$W$4*'NIFTY MEMBS'!X152</f>
        <v>21826.401446654614</v>
      </c>
      <c r="X163" s="4">
        <f>$X$4*'NIFTY MEMBS'!Y152</f>
        <v>22079.264790350371</v>
      </c>
      <c r="Y163" s="4">
        <f>$Y$4*'NIFTY MEMBS'!Z152</f>
        <v>19745.09390166702</v>
      </c>
      <c r="Z163" s="4">
        <f>$Z$4*'NIFTY MEMBS'!AA152</f>
        <v>26386.526029261659</v>
      </c>
      <c r="AA163" s="4">
        <f>$AA$4*'NIFTY MEMBS'!AB152</f>
        <v>23519.796786128441</v>
      </c>
      <c r="AB163" s="4">
        <f>$AB$4*'NIFTY MEMBS'!AC152</f>
        <v>16138.528138528138</v>
      </c>
      <c r="AC163" s="4">
        <f>$AC$4*'NIFTY MEMBS'!AD152</f>
        <v>18398.84020618557</v>
      </c>
      <c r="AD163" s="4">
        <f>$AD$4*'NIFTY MEMBS'!AE152</f>
        <v>17257.257257257257</v>
      </c>
      <c r="AE163" s="4">
        <f>$AE$4*'NIFTY MEMBS'!AF152</f>
        <v>18829.478694132522</v>
      </c>
      <c r="AF163" s="4">
        <f>$AF$4*'NIFTY MEMBS'!AG152</f>
        <v>21751.675959473236</v>
      </c>
      <c r="AG163" s="4">
        <f>$AG$4*'NIFTY MEMBS'!AH152</f>
        <v>19645.44513457557</v>
      </c>
      <c r="AH163" s="4">
        <f>$AH$4*'NIFTY MEMBS'!AI152</f>
        <v>20602.607364791358</v>
      </c>
      <c r="AI163" s="4">
        <f>$AI$4*'NIFTY MEMBS'!AJ152</f>
        <v>23353.810150650868</v>
      </c>
      <c r="AJ163" s="4">
        <f>$AJ$4*'NIFTY MEMBS'!AK152</f>
        <v>21382.821481359832</v>
      </c>
      <c r="AK163" s="4">
        <f>$AK$4*'NIFTY MEMBS'!AL152</f>
        <v>22469.545277726589</v>
      </c>
      <c r="AL163" s="4">
        <f>$AL$4*'NIFTY MEMBS'!AM152</f>
        <v>23259.574642294228</v>
      </c>
      <c r="AM163" s="4">
        <f>$AM$4*'NIFTY MEMBS'!AN152</f>
        <v>15006.96797560855</v>
      </c>
      <c r="AN163" s="4">
        <f>$AN$4*'NIFTY MEMBS'!AO152</f>
        <v>26579.548700371317</v>
      </c>
      <c r="AO163" s="4">
        <f>$AO$4*'NIFTY MEMBS'!AP152</f>
        <v>24488.010369410236</v>
      </c>
      <c r="AP163" s="4">
        <f>$AP$4*'NIFTY MEMBS'!AQ152</f>
        <v>23165.528290749637</v>
      </c>
      <c r="AQ163" s="4">
        <f>$AQ$4*'NIFTY MEMBS'!AR152</f>
        <v>17395.897526190685</v>
      </c>
      <c r="AR163" s="4">
        <f>$AR$4*'NIFTY MEMBS'!AS152</f>
        <v>19501.667647635866</v>
      </c>
      <c r="AS163" s="4">
        <f>$AS$4*'NIFTY MEMBS'!AT152</f>
        <v>19458.183224440781</v>
      </c>
      <c r="AT163" s="4">
        <f>$AT$4*'NIFTY MEMBS'!AU152</f>
        <v>21494.526579069086</v>
      </c>
      <c r="AU163" s="4">
        <f>$AU$4*'NIFTY MEMBS'!AV152</f>
        <v>22879.495816581548</v>
      </c>
      <c r="AV163" s="4">
        <f>$AV$4*'NIFTY MEMBS'!AW152</f>
        <v>17542.731921110299</v>
      </c>
      <c r="AW163" s="4">
        <f>$AW$4*'NIFTY MEMBS'!AX152</f>
        <v>22276.81718785474</v>
      </c>
      <c r="AX163" s="4">
        <f>$AX$4*'NIFTY MEMBS'!AY152</f>
        <v>16656.694862801734</v>
      </c>
      <c r="AY163" s="4">
        <f t="shared" si="12"/>
        <v>1014691.9177516211</v>
      </c>
      <c r="AZ163" s="4">
        <f t="shared" si="13"/>
        <v>103.53999160730827</v>
      </c>
    </row>
    <row r="164" spans="1:52" ht="14.25" customHeight="1" x14ac:dyDescent="0.3">
      <c r="A164" s="2">
        <v>45877</v>
      </c>
      <c r="B164" s="4">
        <f>$B$4*'NIFTY MEMBS'!C153</f>
        <v>22400</v>
      </c>
      <c r="C164" s="4">
        <f>$C$4*'NIFTY MEMBS'!D153</f>
        <v>22144.315555655277</v>
      </c>
      <c r="D164" s="4">
        <f>$D$4*'NIFTY MEMBS'!E153</f>
        <v>23295.105596290028</v>
      </c>
      <c r="E164" s="4">
        <f>$E$4*'NIFTY MEMBS'!F153</f>
        <v>14766.866466461599</v>
      </c>
      <c r="F164" s="4">
        <f>$F$4*'NIFTY MEMBS'!G153</f>
        <v>22372.141939002064</v>
      </c>
      <c r="G164" s="4">
        <f>$G$4*'NIFTY MEMBS'!H153</f>
        <v>20279.878971255672</v>
      </c>
      <c r="H164" s="4">
        <f>$H$4*'NIFTY MEMBS'!I153</f>
        <v>15119.256308100928</v>
      </c>
      <c r="I164" s="4">
        <f>$I$4*'NIFTY MEMBS'!J153</f>
        <v>21520.175703027435</v>
      </c>
      <c r="J164" s="4">
        <f>$J$4*'NIFTY MEMBS'!K153</f>
        <v>25295.228757227516</v>
      </c>
      <c r="K164" s="4">
        <f>$K$4*'NIFTY MEMBS'!L153</f>
        <v>18107.553186841989</v>
      </c>
      <c r="L164" s="4">
        <f>$L$4*'NIFTY MEMBS'!M153</f>
        <v>19673.346966598499</v>
      </c>
      <c r="M164" s="4">
        <f>$M$4*'NIFTY MEMBS'!N153</f>
        <v>22465.494321172704</v>
      </c>
      <c r="N164" s="4">
        <f>$N$4*'NIFTY MEMBS'!O153</f>
        <v>20403.634003893574</v>
      </c>
      <c r="O164" s="4">
        <f>$O$4*'NIFTY MEMBS'!P153</f>
        <v>21837.396555580406</v>
      </c>
      <c r="P164" s="4">
        <f>$P$4*'NIFTY MEMBS'!Q153</f>
        <v>15436.596145296688</v>
      </c>
      <c r="Q164" s="4">
        <f>$Q$4*'NIFTY MEMBS'!R153</f>
        <v>16793.036852826794</v>
      </c>
      <c r="R164" s="4">
        <f>$R$4*'NIFTY MEMBS'!S153</f>
        <v>21240.499694243033</v>
      </c>
      <c r="S164" s="4">
        <f>$S$4*'NIFTY MEMBS'!T153</f>
        <v>19744.355290166077</v>
      </c>
      <c r="T164" s="4">
        <f>$T$4*'NIFTY MEMBS'!U153</f>
        <v>24349.149961938594</v>
      </c>
      <c r="U164" s="4">
        <f>$U$4*'NIFTY MEMBS'!V153</f>
        <v>21268.343654440127</v>
      </c>
      <c r="V164" s="4">
        <f>$V$4*'NIFTY MEMBS'!W153</f>
        <v>20065.937359508469</v>
      </c>
      <c r="W164" s="4">
        <f>$W$4*'NIFTY MEMBS'!X153</f>
        <v>21764.918625678118</v>
      </c>
      <c r="X164" s="4">
        <f>$X$4*'NIFTY MEMBS'!Y153</f>
        <v>21744.481824895378</v>
      </c>
      <c r="Y164" s="4">
        <f>$Y$4*'NIFTY MEMBS'!Z153</f>
        <v>19703.734965182528</v>
      </c>
      <c r="Z164" s="4">
        <f>$Z$4*'NIFTY MEMBS'!AA153</f>
        <v>26172.167403878877</v>
      </c>
      <c r="AA164" s="4">
        <f>$AA$4*'NIFTY MEMBS'!AB153</f>
        <v>23175.216743055938</v>
      </c>
      <c r="AB164" s="4">
        <f>$AB$4*'NIFTY MEMBS'!AC153</f>
        <v>15920.745920745921</v>
      </c>
      <c r="AC164" s="4">
        <f>$AC$4*'NIFTY MEMBS'!AD153</f>
        <v>18353.737113402065</v>
      </c>
      <c r="AD164" s="4">
        <f>$AD$4*'NIFTY MEMBS'!AE153</f>
        <v>16915.582248915583</v>
      </c>
      <c r="AE164" s="4">
        <f>$AE$4*'NIFTY MEMBS'!AF153</f>
        <v>18818.037766502108</v>
      </c>
      <c r="AF164" s="4">
        <f>$AF$4*'NIFTY MEMBS'!AG153</f>
        <v>21483.522443755013</v>
      </c>
      <c r="AG164" s="4">
        <f>$AG$4*'NIFTY MEMBS'!AH153</f>
        <v>19653.209109730848</v>
      </c>
      <c r="AH164" s="4">
        <f>$AH$4*'NIFTY MEMBS'!AI153</f>
        <v>20219.062897604694</v>
      </c>
      <c r="AI164" s="4">
        <f>$AI$4*'NIFTY MEMBS'!AJ153</f>
        <v>23102.237823606843</v>
      </c>
      <c r="AJ164" s="4">
        <f>$AJ$4*'NIFTY MEMBS'!AK153</f>
        <v>21097.060272622763</v>
      </c>
      <c r="AK164" s="4">
        <f>$AK$4*'NIFTY MEMBS'!AL153</f>
        <v>22042.872059455804</v>
      </c>
      <c r="AL164" s="4">
        <f>$AL$4*'NIFTY MEMBS'!AM153</f>
        <v>23183.837225963602</v>
      </c>
      <c r="AM164" s="4">
        <f>$AM$4*'NIFTY MEMBS'!AN153</f>
        <v>15045.1680449346</v>
      </c>
      <c r="AN164" s="4">
        <f>$AN$4*'NIFTY MEMBS'!AO153</f>
        <v>26186.803770351322</v>
      </c>
      <c r="AO164" s="4">
        <f>$AO$4*'NIFTY MEMBS'!AP153</f>
        <v>24677.576150356443</v>
      </c>
      <c r="AP164" s="4">
        <f>$AP$4*'NIFTY MEMBS'!AQ153</f>
        <v>22691.626612699212</v>
      </c>
      <c r="AQ164" s="4">
        <f>$AQ$4*'NIFTY MEMBS'!AR153</f>
        <v>17377.116530210995</v>
      </c>
      <c r="AR164" s="4">
        <f>$AR$4*'NIFTY MEMBS'!AS153</f>
        <v>19433.653783271206</v>
      </c>
      <c r="AS164" s="4">
        <f>$AS$4*'NIFTY MEMBS'!AT153</f>
        <v>19226.150495613765</v>
      </c>
      <c r="AT164" s="4">
        <f>$AT$4*'NIFTY MEMBS'!AU153</f>
        <v>20888.081818649029</v>
      </c>
      <c r="AU164" s="4">
        <f>$AU$4*'NIFTY MEMBS'!AV153</f>
        <v>22840.378137563839</v>
      </c>
      <c r="AV164" s="4">
        <f>$AV$4*'NIFTY MEMBS'!AW153</f>
        <v>17697.589481373267</v>
      </c>
      <c r="AW164" s="4">
        <f>$AW$4*'NIFTY MEMBS'!AX153</f>
        <v>21985.73255105333</v>
      </c>
      <c r="AX164" s="4">
        <f>$AX$4*'NIFTY MEMBS'!AY153</f>
        <v>16142.97503610481</v>
      </c>
      <c r="AY164" s="4">
        <f t="shared" si="12"/>
        <v>1006121.5901467056</v>
      </c>
      <c r="AZ164" s="4">
        <f t="shared" si="13"/>
        <v>102.66546838231689</v>
      </c>
    </row>
    <row r="165" spans="1:52" ht="14.25" customHeight="1" x14ac:dyDescent="0.3">
      <c r="A165" s="2">
        <v>45880</v>
      </c>
      <c r="B165" s="4">
        <f>$B$4*'NIFTY MEMBS'!C154</f>
        <v>22701.330603889459</v>
      </c>
      <c r="C165" s="4">
        <f>$C$4*'NIFTY MEMBS'!D154</f>
        <v>22387.758307343669</v>
      </c>
      <c r="D165" s="4">
        <f>$D$4*'NIFTY MEMBS'!E154</f>
        <v>23280.065175158237</v>
      </c>
      <c r="E165" s="4">
        <f>$E$4*'NIFTY MEMBS'!F154</f>
        <v>14788.264902916753</v>
      </c>
      <c r="F165" s="4">
        <f>$F$4*'NIFTY MEMBS'!G154</f>
        <v>22383.048338721612</v>
      </c>
      <c r="G165" s="4">
        <f>$G$4*'NIFTY MEMBS'!H154</f>
        <v>20762.733232476046</v>
      </c>
      <c r="H165" s="4">
        <f>$H$4*'NIFTY MEMBS'!I154</f>
        <v>15173.439575033201</v>
      </c>
      <c r="I165" s="4">
        <f>$I$4*'NIFTY MEMBS'!J154</f>
        <v>21690.710994358556</v>
      </c>
      <c r="J165" s="4">
        <f>$J$4*'NIFTY MEMBS'!K154</f>
        <v>25313.973440226087</v>
      </c>
      <c r="K165" s="4">
        <f>$K$4*'NIFTY MEMBS'!L154</f>
        <v>18210.213621073784</v>
      </c>
      <c r="L165" s="4">
        <f>$L$4*'NIFTY MEMBS'!M154</f>
        <v>20004.907975460123</v>
      </c>
      <c r="M165" s="4">
        <f>$M$4*'NIFTY MEMBS'!N154</f>
        <v>22477.985064639601</v>
      </c>
      <c r="N165" s="4">
        <f>$N$4*'NIFTY MEMBS'!O154</f>
        <v>20676.184295911742</v>
      </c>
      <c r="O165" s="4">
        <f>$O$4*'NIFTY MEMBS'!P154</f>
        <v>22096.846343099976</v>
      </c>
      <c r="P165" s="4">
        <f>$P$4*'NIFTY MEMBS'!Q154</f>
        <v>15565.26059781898</v>
      </c>
      <c r="Q165" s="4">
        <f>$Q$4*'NIFTY MEMBS'!R154</f>
        <v>17020.556099367706</v>
      </c>
      <c r="R165" s="4">
        <f>$R$4*'NIFTY MEMBS'!S154</f>
        <v>21673.800995894118</v>
      </c>
      <c r="S165" s="4">
        <f>$S$4*'NIFTY MEMBS'!T154</f>
        <v>20027.990296697146</v>
      </c>
      <c r="T165" s="4">
        <f>$T$4*'NIFTY MEMBS'!U154</f>
        <v>24394.823648820093</v>
      </c>
      <c r="U165" s="4">
        <f>$U$4*'NIFTY MEMBS'!V154</f>
        <v>21315.672203697162</v>
      </c>
      <c r="V165" s="4">
        <f>$V$4*'NIFTY MEMBS'!W154</f>
        <v>20149.857635246513</v>
      </c>
      <c r="W165" s="4">
        <f>$W$4*'NIFTY MEMBS'!X154</f>
        <v>22379.746835443038</v>
      </c>
      <c r="X165" s="4">
        <f>$X$4*'NIFTY MEMBS'!Y154</f>
        <v>21980.799212275375</v>
      </c>
      <c r="Y165" s="4">
        <f>$Y$4*'NIFTY MEMBS'!Z154</f>
        <v>19733.277062671448</v>
      </c>
      <c r="Z165" s="4">
        <f>$Z$4*'NIFTY MEMBS'!AA154</f>
        <v>26124.532153793811</v>
      </c>
      <c r="AA165" s="4">
        <f>$AA$4*'NIFTY MEMBS'!AB154</f>
        <v>23252.52636810426</v>
      </c>
      <c r="AB165" s="4">
        <f>$AB$4*'NIFTY MEMBS'!AC154</f>
        <v>16091.908091908092</v>
      </c>
      <c r="AC165" s="4">
        <f>$AC$4*'NIFTY MEMBS'!AD154</f>
        <v>18353.737113402065</v>
      </c>
      <c r="AD165" s="4">
        <f>$AD$4*'NIFTY MEMBS'!AE154</f>
        <v>17450.784117450785</v>
      </c>
      <c r="AE165" s="4">
        <f>$AE$4*'NIFTY MEMBS'!AF154</f>
        <v>18934.735228332313</v>
      </c>
      <c r="AF165" s="4">
        <f>$AF$4*'NIFTY MEMBS'!AG154</f>
        <v>21600.676892369771</v>
      </c>
      <c r="AG165" s="4">
        <f>$AG$4*'NIFTY MEMBS'!AH154</f>
        <v>19798.136645962735</v>
      </c>
      <c r="AH165" s="4">
        <f>$AH$4*'NIFTY MEMBS'!AI154</f>
        <v>20375.799819291551</v>
      </c>
      <c r="AI165" s="4">
        <f>$AI$4*'NIFTY MEMBS'!AJ154</f>
        <v>23185.607722685389</v>
      </c>
      <c r="AJ165" s="4">
        <f>$AJ$4*'NIFTY MEMBS'!AK154</f>
        <v>21530.629003120383</v>
      </c>
      <c r="AK165" s="4">
        <f>$AK$4*'NIFTY MEMBS'!AL154</f>
        <v>22594.025755993694</v>
      </c>
      <c r="AL165" s="4">
        <f>$AL$4*'NIFTY MEMBS'!AM154</f>
        <v>23218.635498331729</v>
      </c>
      <c r="AM165" s="4">
        <f>$AM$4*'NIFTY MEMBS'!AN154</f>
        <v>15403.116842693529</v>
      </c>
      <c r="AN165" s="4">
        <f>$AN$4*'NIFTY MEMBS'!AO154</f>
        <v>26435.304198800339</v>
      </c>
      <c r="AO165" s="4">
        <f>$AO$4*'NIFTY MEMBS'!AP154</f>
        <v>24781.27025275437</v>
      </c>
      <c r="AP165" s="4">
        <f>$AP$4*'NIFTY MEMBS'!AQ154</f>
        <v>22694.999578379287</v>
      </c>
      <c r="AQ165" s="4">
        <f>$AQ$4*'NIFTY MEMBS'!AR154</f>
        <v>17385.333215952109</v>
      </c>
      <c r="AR165" s="4">
        <f>$AR$4*'NIFTY MEMBS'!AS154</f>
        <v>19682.165979988229</v>
      </c>
      <c r="AS165" s="4">
        <f>$AS$4*'NIFTY MEMBS'!AT154</f>
        <v>19699.714369067729</v>
      </c>
      <c r="AT165" s="4">
        <f>$AT$4*'NIFTY MEMBS'!AU154</f>
        <v>21160.468024600414</v>
      </c>
      <c r="AU165" s="4">
        <f>$AU$4*'NIFTY MEMBS'!AV154</f>
        <v>23016.407693143537</v>
      </c>
      <c r="AV165" s="4">
        <f>$AV$4*'NIFTY MEMBS'!AW154</f>
        <v>17815.92403214025</v>
      </c>
      <c r="AW165" s="4">
        <f>$AW$4*'NIFTY MEMBS'!AX154</f>
        <v>21806.01527118907</v>
      </c>
      <c r="AX165" s="4">
        <f>$AX$4*'NIFTY MEMBS'!AY154</f>
        <v>16159.480090777803</v>
      </c>
      <c r="AY165" s="4">
        <f t="shared" si="12"/>
        <v>1014741.1804184738</v>
      </c>
      <c r="AZ165" s="4">
        <f t="shared" si="13"/>
        <v>103.54501841004836</v>
      </c>
    </row>
    <row r="166" spans="1:52" ht="14.25" customHeight="1" x14ac:dyDescent="0.3">
      <c r="A166" s="2">
        <v>45881</v>
      </c>
      <c r="B166" s="4">
        <f>$B$4*'NIFTY MEMBS'!C155</f>
        <v>22606.345957011261</v>
      </c>
      <c r="C166" s="4">
        <f>$C$4*'NIFTY MEMBS'!D155</f>
        <v>22099.441315712716</v>
      </c>
      <c r="D166" s="4">
        <f>$D$4*'NIFTY MEMBS'!E155</f>
        <v>23191.076016795134</v>
      </c>
      <c r="E166" s="4">
        <f>$E$4*'NIFTY MEMBS'!F155</f>
        <v>14762.003185449064</v>
      </c>
      <c r="F166" s="4">
        <f>$F$4*'NIFTY MEMBS'!G155</f>
        <v>22155.572001713863</v>
      </c>
      <c r="G166" s="4">
        <f>$G$4*'NIFTY MEMBS'!H155</f>
        <v>20690.87241553202</v>
      </c>
      <c r="H166" s="4">
        <f>$H$4*'NIFTY MEMBS'!I155</f>
        <v>15129.880478087647</v>
      </c>
      <c r="I166" s="4">
        <f>$I$4*'NIFTY MEMBS'!J155</f>
        <v>21392.704879204171</v>
      </c>
      <c r="J166" s="4">
        <f>$J$4*'NIFTY MEMBS'!K155</f>
        <v>24598.791688895937</v>
      </c>
      <c r="K166" s="4">
        <f>$K$4*'NIFTY MEMBS'!L155</f>
        <v>18188.370975492551</v>
      </c>
      <c r="L166" s="4">
        <f>$L$4*'NIFTY MEMBS'!M155</f>
        <v>20101.431492842534</v>
      </c>
      <c r="M166" s="4">
        <f>$M$4*'NIFTY MEMBS'!N155</f>
        <v>22911.592302133242</v>
      </c>
      <c r="N166" s="4">
        <f>$N$4*'NIFTY MEMBS'!O155</f>
        <v>21002.595717066837</v>
      </c>
      <c r="O166" s="4">
        <f>$O$4*'NIFTY MEMBS'!P155</f>
        <v>21907.850592708564</v>
      </c>
      <c r="P166" s="4">
        <f>$P$4*'NIFTY MEMBS'!Q155</f>
        <v>15681.372420826903</v>
      </c>
      <c r="Q166" s="4">
        <f>$Q$4*'NIFTY MEMBS'!R155</f>
        <v>17166.591708775362</v>
      </c>
      <c r="R166" s="4">
        <f>$R$4*'NIFTY MEMBS'!S155</f>
        <v>21750.677033283828</v>
      </c>
      <c r="S166" s="4">
        <f>$S$4*'NIFTY MEMBS'!T155</f>
        <v>19966.411643963427</v>
      </c>
      <c r="T166" s="4">
        <f>$T$4*'NIFTY MEMBS'!U155</f>
        <v>24207.054047196139</v>
      </c>
      <c r="U166" s="4">
        <f>$U$4*'NIFTY MEMBS'!V155</f>
        <v>21431.842279146244</v>
      </c>
      <c r="V166" s="4">
        <f>$V$4*'NIFTY MEMBS'!W155</f>
        <v>20386.632698936013</v>
      </c>
      <c r="W166" s="4">
        <f>$W$4*'NIFTY MEMBS'!X155</f>
        <v>22126.582278481012</v>
      </c>
      <c r="X166" s="4">
        <f>$X$4*'NIFTY MEMBS'!Y155</f>
        <v>21834.741938130792</v>
      </c>
      <c r="Y166" s="4">
        <f>$Y$4*'NIFTY MEMBS'!Z155</f>
        <v>19879.299430259551</v>
      </c>
      <c r="Z166" s="4">
        <f>$Z$4*'NIFTY MEMBS'!AA155</f>
        <v>25882.95338550528</v>
      </c>
      <c r="AA166" s="4">
        <f>$AA$4*'NIFTY MEMBS'!AB155</f>
        <v>23153.12827875642</v>
      </c>
      <c r="AB166" s="4">
        <f>$AB$4*'NIFTY MEMBS'!AC155</f>
        <v>16098.568098568097</v>
      </c>
      <c r="AC166" s="4">
        <f>$AC$4*'NIFTY MEMBS'!AD155</f>
        <v>18340.850515463917</v>
      </c>
      <c r="AD166" s="4">
        <f>$AD$4*'NIFTY MEMBS'!AE155</f>
        <v>17460.126793460127</v>
      </c>
      <c r="AE166" s="4">
        <f>$AE$4*'NIFTY MEMBS'!AF155</f>
        <v>18755.112664534841</v>
      </c>
      <c r="AF166" s="4">
        <f>$AF$4*'NIFTY MEMBS'!AG155</f>
        <v>21506.95333347797</v>
      </c>
      <c r="AG166" s="4">
        <f>$AG$4*'NIFTY MEMBS'!AH155</f>
        <v>19945.652173913044</v>
      </c>
      <c r="AH166" s="4">
        <f>$AH$4*'NIFTY MEMBS'!AI155</f>
        <v>20119.488853238923</v>
      </c>
      <c r="AI166" s="4">
        <f>$AI$4*'NIFTY MEMBS'!AJ155</f>
        <v>23425.479011262247</v>
      </c>
      <c r="AJ166" s="4">
        <f>$AJ$4*'NIFTY MEMBS'!AK155</f>
        <v>21481.359829200199</v>
      </c>
      <c r="AK166" s="4">
        <f>$AK$4*'NIFTY MEMBS'!AL155</f>
        <v>22442.519910734394</v>
      </c>
      <c r="AL166" s="4">
        <f>$AL$4*'NIFTY MEMBS'!AM155</f>
        <v>23163.367653982354</v>
      </c>
      <c r="AM166" s="4">
        <f>$AM$4*'NIFTY MEMBS'!AN155</f>
        <v>15182.405331031898</v>
      </c>
      <c r="AN166" s="4">
        <f>$AN$4*'NIFTY MEMBS'!AO155</f>
        <v>26249.642959154524</v>
      </c>
      <c r="AO166" s="4">
        <f>$AO$4*'NIFTY MEMBS'!AP155</f>
        <v>24828.25664290343</v>
      </c>
      <c r="AP166" s="4">
        <f>$AP$4*'NIFTY MEMBS'!AQ155</f>
        <v>22499.367568934984</v>
      </c>
      <c r="AQ166" s="4">
        <f>$AQ$4*'NIFTY MEMBS'!AR155</f>
        <v>17716.348270094197</v>
      </c>
      <c r="AR166" s="4">
        <f>$AR$4*'NIFTY MEMBS'!AS155</f>
        <v>19901.903080243279</v>
      </c>
      <c r="AS166" s="4">
        <f>$AS$4*'NIFTY MEMBS'!AT155</f>
        <v>19638.653124639568</v>
      </c>
      <c r="AT166" s="4">
        <f>$AT$4*'NIFTY MEMBS'!AU155</f>
        <v>20965.172254295649</v>
      </c>
      <c r="AU166" s="4">
        <f>$AU$4*'NIFTY MEMBS'!AV155</f>
        <v>22749.103553189176</v>
      </c>
      <c r="AV166" s="4">
        <f>$AV$4*'NIFTY MEMBS'!AW155</f>
        <v>17827.611395178963</v>
      </c>
      <c r="AW166" s="4">
        <f>$AW$4*'NIFTY MEMBS'!AX155</f>
        <v>22202.731607059635</v>
      </c>
      <c r="AX166" s="4">
        <f>$AX$4*'NIFTY MEMBS'!AY155</f>
        <v>16155.353827109553</v>
      </c>
      <c r="AY166" s="4">
        <f t="shared" si="12"/>
        <v>1012861.8446135777</v>
      </c>
      <c r="AZ166" s="4">
        <f t="shared" si="13"/>
        <v>103.35324945036508</v>
      </c>
    </row>
    <row r="167" spans="1:52" ht="14.25" customHeight="1" x14ac:dyDescent="0.3">
      <c r="A167" s="2">
        <v>45882</v>
      </c>
      <c r="B167" s="4">
        <f>$B$4*'NIFTY MEMBS'!C156</f>
        <v>22642.374616171954</v>
      </c>
      <c r="C167" s="4">
        <f>$C$4*'NIFTY MEMBS'!D156</f>
        <v>22216.114339563374</v>
      </c>
      <c r="D167" s="4">
        <f>$D$4*'NIFTY MEMBS'!E156</f>
        <v>23405.40201792317</v>
      </c>
      <c r="E167" s="4">
        <f>$E$4*'NIFTY MEMBS'!F156</f>
        <v>14765.893810259091</v>
      </c>
      <c r="F167" s="4">
        <f>$F$4*'NIFTY MEMBS'!G156</f>
        <v>22136.875316480346</v>
      </c>
      <c r="G167" s="4">
        <f>$G$4*'NIFTY MEMBS'!H156</f>
        <v>20722.390317700454</v>
      </c>
      <c r="H167" s="4">
        <f>$H$4*'NIFTY MEMBS'!I156</f>
        <v>15156.440903054447</v>
      </c>
      <c r="I167" s="4">
        <f>$I$4*'NIFTY MEMBS'!J156</f>
        <v>21490.030575771932</v>
      </c>
      <c r="J167" s="4">
        <f>$J$4*'NIFTY MEMBS'!K156</f>
        <v>24800.657505803643</v>
      </c>
      <c r="K167" s="4">
        <f>$K$4*'NIFTY MEMBS'!L156</f>
        <v>18090.079070377004</v>
      </c>
      <c r="L167" s="4">
        <f>$L$4*'NIFTY MEMBS'!M156</f>
        <v>20142.876618950238</v>
      </c>
      <c r="M167" s="4">
        <f>$M$4*'NIFTY MEMBS'!N156</f>
        <v>22900.885950590189</v>
      </c>
      <c r="N167" s="4">
        <f>$N$4*'NIFTY MEMBS'!O156</f>
        <v>21299.156391953275</v>
      </c>
      <c r="O167" s="4">
        <f>$O$4*'NIFTY MEMBS'!P156</f>
        <v>22228.807872959067</v>
      </c>
      <c r="P167" s="4">
        <f>$P$4*'NIFTY MEMBS'!Q156</f>
        <v>15702.293470017519</v>
      </c>
      <c r="Q167" s="4">
        <f>$Q$4*'NIFTY MEMBS'!R156</f>
        <v>17352.840022222808</v>
      </c>
      <c r="R167" s="4">
        <f>$R$4*'NIFTY MEMBS'!S156</f>
        <v>21666.812265222328</v>
      </c>
      <c r="S167" s="4">
        <f>$S$4*'NIFTY MEMBS'!T156</f>
        <v>19891.770852771042</v>
      </c>
      <c r="T167" s="4">
        <f>$T$4*'NIFTY MEMBS'!U156</f>
        <v>24288.251712763256</v>
      </c>
      <c r="U167" s="4">
        <f>$U$4*'NIFTY MEMBS'!V156</f>
        <v>21308.910982374728</v>
      </c>
      <c r="V167" s="4">
        <f>$V$4*'NIFTY MEMBS'!W156</f>
        <v>20377.64124082122</v>
      </c>
      <c r="W167" s="4">
        <f>$W$4*'NIFTY MEMBS'!X156</f>
        <v>22593.12839059675</v>
      </c>
      <c r="X167" s="4">
        <f>$X$4*'NIFTY MEMBS'!Y156</f>
        <v>21655.862804627879</v>
      </c>
      <c r="Y167" s="4">
        <f>$Y$4*'NIFTY MEMBS'!Z156</f>
        <v>20145.178307659844</v>
      </c>
      <c r="Z167" s="4">
        <f>$Z$4*'NIFTY MEMBS'!AA156</f>
        <v>26461.381422252471</v>
      </c>
      <c r="AA167" s="4">
        <f>$AA$4*'NIFTY MEMBS'!AB156</f>
        <v>23274.614832403779</v>
      </c>
      <c r="AB167" s="4">
        <f>$AB$4*'NIFTY MEMBS'!AC156</f>
        <v>16093.906093906093</v>
      </c>
      <c r="AC167" s="4">
        <f>$AC$4*'NIFTY MEMBS'!AD156</f>
        <v>18569.587628865982</v>
      </c>
      <c r="AD167" s="4">
        <f>$AD$4*'NIFTY MEMBS'!AE156</f>
        <v>17717.717717717718</v>
      </c>
      <c r="AE167" s="4">
        <f>$AE$4*'NIFTY MEMBS'!AF156</f>
        <v>18874.098311891128</v>
      </c>
      <c r="AF167" s="4">
        <f>$AF$4*'NIFTY MEMBS'!AG156</f>
        <v>21697.003883453017</v>
      </c>
      <c r="AG167" s="4">
        <f>$AG$4*'NIFTY MEMBS'!AH156</f>
        <v>19984.472049689444</v>
      </c>
      <c r="AH167" s="4">
        <f>$AH$4*'NIFTY MEMBS'!AI156</f>
        <v>20226.438752742903</v>
      </c>
      <c r="AI167" s="4">
        <f>$AI$4*'NIFTY MEMBS'!AJ156</f>
        <v>23428.40427087904</v>
      </c>
      <c r="AJ167" s="4">
        <f>$AJ$4*'NIFTY MEMBS'!AK156</f>
        <v>21717.851864017084</v>
      </c>
      <c r="AK167" s="4">
        <f>$AK$4*'NIFTY MEMBS'!AL156</f>
        <v>22487.562189054726</v>
      </c>
      <c r="AL167" s="4">
        <f>$AL$4*'NIFTY MEMBS'!AM156</f>
        <v>23394.673817370476</v>
      </c>
      <c r="AM167" s="4">
        <f>$AM$4*'NIFTY MEMBS'!AN156</f>
        <v>15275.783278273357</v>
      </c>
      <c r="AN167" s="4">
        <f>$AN$4*'NIFTY MEMBS'!AO156</f>
        <v>26282.490716938013</v>
      </c>
      <c r="AO167" s="4">
        <f>$AO$4*'NIFTY MEMBS'!AP156</f>
        <v>25165.262475696691</v>
      </c>
      <c r="AP167" s="4">
        <f>$AP$4*'NIFTY MEMBS'!AQ156</f>
        <v>23627.624588919804</v>
      </c>
      <c r="AQ167" s="4">
        <f>$AQ$4*'NIFTY MEMBS'!AR156</f>
        <v>17681.133902632275</v>
      </c>
      <c r="AR167" s="4">
        <f>$AR$4*'NIFTY MEMBS'!AS156</f>
        <v>20417.238898698582</v>
      </c>
      <c r="AS167" s="4">
        <f>$AS$4*'NIFTY MEMBS'!AT156</f>
        <v>21190.965649657715</v>
      </c>
      <c r="AT167" s="4">
        <f>$AT$4*'NIFTY MEMBS'!AU156</f>
        <v>21217.001010741264</v>
      </c>
      <c r="AU167" s="4">
        <f>$AU$4*'NIFTY MEMBS'!AV156</f>
        <v>22951.211561447351</v>
      </c>
      <c r="AV167" s="4">
        <f>$AV$4*'NIFTY MEMBS'!AW156</f>
        <v>18311.176040905772</v>
      </c>
      <c r="AW167" s="4">
        <f>$AW$4*'NIFTY MEMBS'!AX156</f>
        <v>22793.026395975477</v>
      </c>
      <c r="AX167" s="4">
        <f>$AX$4*'NIFTY MEMBS'!AY156</f>
        <v>15957.293171033631</v>
      </c>
      <c r="AY167" s="4">
        <f t="shared" si="12"/>
        <v>1021778.5958817994</v>
      </c>
      <c r="AZ167" s="4">
        <f t="shared" si="13"/>
        <v>104.26312202875503</v>
      </c>
    </row>
    <row r="168" spans="1:52" ht="14.25" customHeight="1" x14ac:dyDescent="0.3">
      <c r="A168" s="2">
        <v>45883</v>
      </c>
      <c r="B168" s="4">
        <f>$B$4*'NIFTY MEMBS'!C157</f>
        <v>22498.259979529168</v>
      </c>
      <c r="C168" s="4">
        <f>$C$4*'NIFTY MEMBS'!D157</f>
        <v>22337.274787408289</v>
      </c>
      <c r="D168" s="4">
        <f>$D$4*'NIFTY MEMBS'!E157</f>
        <v>23485.617597292723</v>
      </c>
      <c r="E168" s="4">
        <f>$E$4*'NIFTY MEMBS'!F157</f>
        <v>14698.294204184855</v>
      </c>
      <c r="F168" s="4">
        <f>$F$4*'NIFTY MEMBS'!G157</f>
        <v>22238.149028161879</v>
      </c>
      <c r="G168" s="4">
        <f>$G$4*'NIFTY MEMBS'!H157</f>
        <v>20840.897629853753</v>
      </c>
      <c r="H168" s="4">
        <f>$H$4*'NIFTY MEMBS'!I157</f>
        <v>15380.610889774236</v>
      </c>
      <c r="I168" s="4">
        <f>$I$4*'NIFTY MEMBS'!J157</f>
        <v>21365.14361999914</v>
      </c>
      <c r="J168" s="4">
        <f>$J$4*'NIFTY MEMBS'!K157</f>
        <v>24842.472567877383</v>
      </c>
      <c r="K168" s="4">
        <f>$K$4*'NIFTY MEMBS'!L157</f>
        <v>17974.31304879647</v>
      </c>
      <c r="L168" s="4">
        <f>$L$4*'NIFTY MEMBS'!M157</f>
        <v>20051.806407634627</v>
      </c>
      <c r="M168" s="4">
        <f>$M$4*'NIFTY MEMBS'!N157</f>
        <v>23082.893926822089</v>
      </c>
      <c r="N168" s="4">
        <f>$N$4*'NIFTY MEMBS'!O157</f>
        <v>21190.136275146007</v>
      </c>
      <c r="O168" s="4">
        <f>$O$4*'NIFTY MEMBS'!P157</f>
        <v>22122.567658242002</v>
      </c>
      <c r="P168" s="4">
        <f>$P$4*'NIFTY MEMBS'!Q157</f>
        <v>15584.089542090534</v>
      </c>
      <c r="Q168" s="4">
        <f>$Q$4*'NIFTY MEMBS'!R157</f>
        <v>17369.771687081669</v>
      </c>
      <c r="R168" s="4">
        <f>$R$4*'NIFTY MEMBS'!S157</f>
        <v>21520.0489211147</v>
      </c>
      <c r="S168" s="4">
        <f>$S$4*'NIFTY MEMBS'!T157</f>
        <v>19932.823287926854</v>
      </c>
      <c r="T168" s="4">
        <f>$T$4*'NIFTY MEMBS'!U157</f>
        <v>24424.004059883275</v>
      </c>
      <c r="U168" s="4">
        <f>$U$4*'NIFTY MEMBS'!V157</f>
        <v>21447.823347726542</v>
      </c>
      <c r="V168" s="4">
        <f>$V$4*'NIFTY MEMBS'!W157</f>
        <v>20341.675408362058</v>
      </c>
      <c r="W168" s="4">
        <f>$W$4*'NIFTY MEMBS'!X157</f>
        <v>23030.741410488245</v>
      </c>
      <c r="X168" s="4">
        <f>$X$4*'NIFTY MEMBS'!Y157</f>
        <v>21339.131861819969</v>
      </c>
      <c r="Y168" s="4">
        <f>$Y$4*'NIFTY MEMBS'!Z157</f>
        <v>19999.155940071745</v>
      </c>
      <c r="Z168" s="4">
        <f>$Z$4*'NIFTY MEMBS'!AA157</f>
        <v>26192.582511058186</v>
      </c>
      <c r="AA168" s="4">
        <f>$AA$4*'NIFTY MEMBS'!AB157</f>
        <v>23093.489425147716</v>
      </c>
      <c r="AB168" s="4">
        <f>$AB$4*'NIFTY MEMBS'!AC157</f>
        <v>16437.562437562436</v>
      </c>
      <c r="AC168" s="4">
        <f>$AC$4*'NIFTY MEMBS'!AD157</f>
        <v>18601.804123711339</v>
      </c>
      <c r="AD168" s="4">
        <f>$AD$4*'NIFTY MEMBS'!AE157</f>
        <v>17740.407073740407</v>
      </c>
      <c r="AE168" s="4">
        <f>$AE$4*'NIFTY MEMBS'!AF157</f>
        <v>18794.011818478244</v>
      </c>
      <c r="AF168" s="4">
        <f>$AF$4*'NIFTY MEMBS'!AG157</f>
        <v>21944.329941639724</v>
      </c>
      <c r="AG168" s="4">
        <f>$AG$4*'NIFTY MEMBS'!AH157</f>
        <v>19899.068322981366</v>
      </c>
      <c r="AH168" s="4">
        <f>$AH$4*'NIFTY MEMBS'!AI157</f>
        <v>20088.141468901555</v>
      </c>
      <c r="AI168" s="4">
        <f>$AI$4*'NIFTY MEMBS'!AJ157</f>
        <v>22714.640924382038</v>
      </c>
      <c r="AJ168" s="4">
        <f>$AJ$4*'NIFTY MEMBS'!AK157</f>
        <v>21507.636721957631</v>
      </c>
      <c r="AK168" s="4">
        <f>$AK$4*'NIFTY MEMBS'!AL157</f>
        <v>22643.162786888603</v>
      </c>
      <c r="AL168" s="4">
        <f>$AL$4*'NIFTY MEMBS'!AM157</f>
        <v>23597.322579984851</v>
      </c>
      <c r="AM168" s="4">
        <f>$AM$4*'NIFTY MEMBS'!AN157</f>
        <v>15196.553504856362</v>
      </c>
      <c r="AN168" s="4">
        <f>$AN$4*'NIFTY MEMBS'!AO157</f>
        <v>26286.775207083687</v>
      </c>
      <c r="AO168" s="4">
        <f>$AO$4*'NIFTY MEMBS'!AP157</f>
        <v>25558.976020738817</v>
      </c>
      <c r="AP168" s="4">
        <f>$AP$4*'NIFTY MEMBS'!AQ157</f>
        <v>23450.543890715908</v>
      </c>
      <c r="AQ168" s="4">
        <f>$AQ$4*'NIFTY MEMBS'!AR157</f>
        <v>17451.066701881035</v>
      </c>
      <c r="AR168" s="4">
        <f>$AR$4*'NIFTY MEMBS'!AS157</f>
        <v>20456.477666601269</v>
      </c>
      <c r="AS168" s="4">
        <f>$AS$4*'NIFTY MEMBS'!AT157</f>
        <v>21226.245479771766</v>
      </c>
      <c r="AT168" s="4">
        <f>$AT$4*'NIFTY MEMBS'!AU157</f>
        <v>21121.066246381029</v>
      </c>
      <c r="AU168" s="4">
        <f>$AU$4*'NIFTY MEMBS'!AV157</f>
        <v>22844.724546343587</v>
      </c>
      <c r="AV168" s="4">
        <f>$AV$4*'NIFTY MEMBS'!AW157</f>
        <v>18413.440467494522</v>
      </c>
      <c r="AW168" s="4">
        <f>$AW$4*'NIFTY MEMBS'!AX157</f>
        <v>22503.375673641069</v>
      </c>
      <c r="AX168" s="4">
        <f>$AX$4*'NIFTY MEMBS'!AY157</f>
        <v>15880.957293171035</v>
      </c>
      <c r="AY168" s="4">
        <f t="shared" si="12"/>
        <v>1020742.0659224023</v>
      </c>
      <c r="AZ168" s="4">
        <f t="shared" si="13"/>
        <v>104.15735366555126</v>
      </c>
    </row>
    <row r="169" spans="1:52" ht="14.25" customHeight="1" x14ac:dyDescent="0.3">
      <c r="A169" s="2">
        <v>45887</v>
      </c>
      <c r="B169" s="4">
        <f>$B$4*'NIFTY MEMBS'!C158</f>
        <v>22627.635619242577</v>
      </c>
      <c r="C169" s="4">
        <f>$C$4*'NIFTY MEMBS'!D158</f>
        <v>22477.506787228791</v>
      </c>
      <c r="D169" s="4">
        <f>$D$4*'NIFTY MEMBS'!E158</f>
        <v>23717.490756407846</v>
      </c>
      <c r="E169" s="4">
        <f>$E$4*'NIFTY MEMBS'!F158</f>
        <v>14644.311784945714</v>
      </c>
      <c r="F169" s="4">
        <f>$F$4*'NIFTY MEMBS'!G158</f>
        <v>22351.887196665753</v>
      </c>
      <c r="G169" s="4">
        <f>$G$4*'NIFTY MEMBS'!H158</f>
        <v>20868.633383761975</v>
      </c>
      <c r="H169" s="4">
        <f>$H$4*'NIFTY MEMBS'!I158</f>
        <v>15254.18326693227</v>
      </c>
      <c r="I169" s="4">
        <f>$I$4*'NIFTY MEMBS'!J158</f>
        <v>22118.771801386676</v>
      </c>
      <c r="J169" s="4">
        <f>$J$4*'NIFTY MEMBS'!K158</f>
        <v>26104.133923550533</v>
      </c>
      <c r="K169" s="4">
        <f>$K$4*'NIFTY MEMBS'!L158</f>
        <v>17749.333799309774</v>
      </c>
      <c r="L169" s="4">
        <f>$L$4*'NIFTY MEMBS'!M158</f>
        <v>19823.312883435581</v>
      </c>
      <c r="M169" s="4">
        <f>$M$4*'NIFTY MEMBS'!N158</f>
        <v>25102.825584611404</v>
      </c>
      <c r="N169" s="4">
        <f>$N$4*'NIFTY MEMBS'!O158</f>
        <v>21953.926022063595</v>
      </c>
      <c r="O169" s="4">
        <f>$O$4*'NIFTY MEMBS'!P158</f>
        <v>22382.017445761572</v>
      </c>
      <c r="P169" s="4">
        <f>$P$4*'NIFTY MEMBS'!Q158</f>
        <v>15533.879024033055</v>
      </c>
      <c r="Q169" s="4">
        <f>$Q$4*'NIFTY MEMBS'!R158</f>
        <v>17277.705759411623</v>
      </c>
      <c r="R169" s="4">
        <f>$R$4*'NIFTY MEMBS'!S158</f>
        <v>22302.786756355377</v>
      </c>
      <c r="S169" s="4">
        <f>$S$4*'NIFTY MEMBS'!T158</f>
        <v>20201.530136219444</v>
      </c>
      <c r="T169" s="4">
        <f>$T$4*'NIFTY MEMBS'!U158</f>
        <v>25291.804110631816</v>
      </c>
      <c r="U169" s="4">
        <f>$U$4*'NIFTY MEMBS'!V158</f>
        <v>21849.808688169403</v>
      </c>
      <c r="V169" s="4">
        <f>$V$4*'NIFTY MEMBS'!W158</f>
        <v>20143.863329836655</v>
      </c>
      <c r="W169" s="4">
        <f>$W$4*'NIFTY MEMBS'!X158</f>
        <v>22777.576853526221</v>
      </c>
      <c r="X169" s="4">
        <f>$X$4*'NIFTY MEMBS'!Y158</f>
        <v>21780.585870189545</v>
      </c>
      <c r="Y169" s="4">
        <f>$Y$4*'NIFTY MEMBS'!Z158</f>
        <v>20102.131251318846</v>
      </c>
      <c r="Z169" s="4">
        <f>$Z$4*'NIFTY MEMBS'!AA158</f>
        <v>26029.261653623686</v>
      </c>
      <c r="AA169" s="4">
        <f>$AA$4*'NIFTY MEMBS'!AB158</f>
        <v>23851.123750621238</v>
      </c>
      <c r="AB169" s="4">
        <f>$AB$4*'NIFTY MEMBS'!AC158</f>
        <v>16331.002331002332</v>
      </c>
      <c r="AC169" s="4">
        <f>$AC$4*'NIFTY MEMBS'!AD158</f>
        <v>18708.118556701033</v>
      </c>
      <c r="AD169" s="4">
        <f>$AD$4*'NIFTY MEMBS'!AE158</f>
        <v>18044.711378044711</v>
      </c>
      <c r="AE169" s="4">
        <f>$AE$4*'NIFTY MEMBS'!AF158</f>
        <v>19652.081390759162</v>
      </c>
      <c r="AF169" s="4">
        <f>$AF$4*'NIFTY MEMBS'!AG158</f>
        <v>22453.734840431302</v>
      </c>
      <c r="AG169" s="4">
        <f>$AG$4*'NIFTY MEMBS'!AH158</f>
        <v>20072.463768115944</v>
      </c>
      <c r="AH169" s="4">
        <f>$AH$4*'NIFTY MEMBS'!AI158</f>
        <v>21096.789659051097</v>
      </c>
      <c r="AI169" s="4">
        <f>$AI$4*'NIFTY MEMBS'!AJ158</f>
        <v>23103.70045341524</v>
      </c>
      <c r="AJ169" s="4">
        <f>$AJ$4*'NIFTY MEMBS'!AK158</f>
        <v>21635.736574150113</v>
      </c>
      <c r="AK169" s="4">
        <f>$AK$4*'NIFTY MEMBS'!AL158</f>
        <v>23306.51270396986</v>
      </c>
      <c r="AL169" s="4">
        <f>$AL$4*'NIFTY MEMBS'!AM158</f>
        <v>24203.221910629847</v>
      </c>
      <c r="AM169" s="4">
        <f>$AM$4*'NIFTY MEMBS'!AN158</f>
        <v>15616.75426744293</v>
      </c>
      <c r="AN169" s="4">
        <f>$AN$4*'NIFTY MEMBS'!AO158</f>
        <v>26606.683804627246</v>
      </c>
      <c r="AO169" s="4">
        <f>$AO$4*'NIFTY MEMBS'!AP158</f>
        <v>25631.885936487357</v>
      </c>
      <c r="AP169" s="4">
        <f>$AP$4*'NIFTY MEMBS'!AQ158</f>
        <v>24088.034404249935</v>
      </c>
      <c r="AQ169" s="4">
        <f>$AQ$4*'NIFTY MEMBS'!AR158</f>
        <v>17269.125803327759</v>
      </c>
      <c r="AR169" s="4">
        <f>$AR$4*'NIFTY MEMBS'!AS158</f>
        <v>20472.173173762345</v>
      </c>
      <c r="AS169" s="4">
        <f>$AS$4*'NIFTY MEMBS'!AT158</f>
        <v>21228.959312857463</v>
      </c>
      <c r="AT169" s="4">
        <f>$AT$4*'NIFTY MEMBS'!AU158</f>
        <v>21475.682250355469</v>
      </c>
      <c r="AU169" s="4">
        <f>$AU$4*'NIFTY MEMBS'!AV158</f>
        <v>23281.538628708029</v>
      </c>
      <c r="AV169" s="4">
        <f>$AV$4*'NIFTY MEMBS'!AW158</f>
        <v>18447.041636230828</v>
      </c>
      <c r="AW169" s="4">
        <f>$AW$4*'NIFTY MEMBS'!AX158</f>
        <v>23822.099011793944</v>
      </c>
      <c r="AX169" s="4">
        <f>$AX$4*'NIFTY MEMBS'!AY158</f>
        <v>16270.889209820509</v>
      </c>
      <c r="AY169" s="4">
        <f t="shared" si="12"/>
        <v>1037136.9684451757</v>
      </c>
      <c r="AZ169" s="4">
        <f t="shared" si="13"/>
        <v>105.83030290256895</v>
      </c>
    </row>
    <row r="170" spans="1:52" ht="14.25" customHeight="1" x14ac:dyDescent="0.3">
      <c r="A170" s="2">
        <v>45888</v>
      </c>
      <c r="B170" s="4">
        <f>$B$4*'NIFTY MEMBS'!C159</f>
        <v>23256.49948822927</v>
      </c>
      <c r="C170" s="4">
        <f>$C$4*'NIFTY MEMBS'!D159</f>
        <v>22337.274787408289</v>
      </c>
      <c r="D170" s="4">
        <f>$D$4*'NIFTY MEMBS'!E159</f>
        <v>23935.576862818827</v>
      </c>
      <c r="E170" s="4">
        <f>$E$4*'NIFTY MEMBS'!F159</f>
        <v>14668.628190008389</v>
      </c>
      <c r="F170" s="4">
        <f>$F$4*'NIFTY MEMBS'!G159</f>
        <v>22378.374167413232</v>
      </c>
      <c r="G170" s="4">
        <f>$G$4*'NIFTY MEMBS'!H159</f>
        <v>20937.972768532523</v>
      </c>
      <c r="H170" s="4">
        <f>$H$4*'NIFTY MEMBS'!I159</f>
        <v>15298.804780876493</v>
      </c>
      <c r="I170" s="4">
        <f>$I$4*'NIFTY MEMBS'!J159</f>
        <v>22434.864992894367</v>
      </c>
      <c r="J170" s="4">
        <f>$J$4*'NIFTY MEMBS'!K159</f>
        <v>26020.503799403054</v>
      </c>
      <c r="K170" s="4">
        <f>$K$4*'NIFTY MEMBS'!L159</f>
        <v>17871.652614564675</v>
      </c>
      <c r="L170" s="4">
        <f>$L$4*'NIFTY MEMBS'!M159</f>
        <v>19702.794819359235</v>
      </c>
      <c r="M170" s="4">
        <f>$M$4*'NIFTY MEMBS'!N159</f>
        <v>25427.584914750678</v>
      </c>
      <c r="N170" s="4">
        <f>$N$4*'NIFTY MEMBS'!O159</f>
        <v>21765.087605451004</v>
      </c>
      <c r="O170" s="4">
        <f>$O$4*'NIFTY MEMBS'!P159</f>
        <v>22700.738089912771</v>
      </c>
      <c r="P170" s="4">
        <f>$P$4*'NIFTY MEMBS'!Q159</f>
        <v>15440.780355134808</v>
      </c>
      <c r="Q170" s="4">
        <f>$Q$4*'NIFTY MEMBS'!R159</f>
        <v>17213.153787137224</v>
      </c>
      <c r="R170" s="4">
        <f>$R$4*'NIFTY MEMBS'!S159</f>
        <v>22474.010657814273</v>
      </c>
      <c r="S170" s="4">
        <f>$S$4*'NIFTY MEMBS'!T159</f>
        <v>20212.726254898305</v>
      </c>
      <c r="T170" s="4">
        <f>$T$4*'NIFTY MEMBS'!U159</f>
        <v>25021.568129916264</v>
      </c>
      <c r="U170" s="4">
        <f>$U$4*'NIFTY MEMBS'!V159</f>
        <v>21931.558000522458</v>
      </c>
      <c r="V170" s="4">
        <f>$V$4*'NIFTY MEMBS'!W159</f>
        <v>20083.920275738048</v>
      </c>
      <c r="W170" s="4">
        <f>$W$4*'NIFTY MEMBS'!X159</f>
        <v>23251.356238698012</v>
      </c>
      <c r="X170" s="4">
        <f>$X$4*'NIFTY MEMBS'!Y159</f>
        <v>22473.127102650364</v>
      </c>
      <c r="Y170" s="4">
        <f>$Y$4*'NIFTY MEMBS'!Z159</f>
        <v>20083.561932897235</v>
      </c>
      <c r="Z170" s="4">
        <f>$Z$4*'NIFTY MEMBS'!AA159</f>
        <v>25862.538278325967</v>
      </c>
      <c r="AA170" s="4">
        <f>$AA$4*'NIFTY MEMBS'!AB159</f>
        <v>23709.757579104313</v>
      </c>
      <c r="AB170" s="4">
        <f>$AB$4*'NIFTY MEMBS'!AC159</f>
        <v>16447.552447552447</v>
      </c>
      <c r="AC170" s="4">
        <f>$AC$4*'NIFTY MEMBS'!AD159</f>
        <v>18556.701030927838</v>
      </c>
      <c r="AD170" s="4">
        <f>$AD$4*'NIFTY MEMBS'!AE159</f>
        <v>18692.025358692026</v>
      </c>
      <c r="AE170" s="4">
        <f>$AE$4*'NIFTY MEMBS'!AF159</f>
        <v>20125.735794658231</v>
      </c>
      <c r="AF170" s="4">
        <f>$AF$4*'NIFTY MEMBS'!AG159</f>
        <v>22384.309981992927</v>
      </c>
      <c r="AG170" s="4">
        <f>$AG$4*'NIFTY MEMBS'!AH159</f>
        <v>19945.652173913044</v>
      </c>
      <c r="AH170" s="4">
        <f>$AH$4*'NIFTY MEMBS'!AI159</f>
        <v>21415.79539377847</v>
      </c>
      <c r="AI170" s="4">
        <f>$AI$4*'NIFTY MEMBS'!AJ159</f>
        <v>23289.454439081466</v>
      </c>
      <c r="AJ170" s="4">
        <f>$AJ$4*'NIFTY MEMBS'!AK159</f>
        <v>21763.83642634259</v>
      </c>
      <c r="AK170" s="4">
        <f>$AK$4*'NIFTY MEMBS'!AL159</f>
        <v>23162.377413344799</v>
      </c>
      <c r="AL170" s="4">
        <f>$AL$4*'NIFTY MEMBS'!AM159</f>
        <v>24311.710642130471</v>
      </c>
      <c r="AM170" s="4">
        <f>$AM$4*'NIFTY MEMBS'!AN159</f>
        <v>15551.672667850398</v>
      </c>
      <c r="AN170" s="4">
        <f>$AN$4*'NIFTY MEMBS'!AO159</f>
        <v>26479.577263638956</v>
      </c>
      <c r="AO170" s="4">
        <f>$AO$4*'NIFTY MEMBS'!AP159</f>
        <v>25720.998055735574</v>
      </c>
      <c r="AP170" s="4">
        <f>$AP$4*'NIFTY MEMBS'!AQ159</f>
        <v>23836.748461084408</v>
      </c>
      <c r="AQ170" s="4">
        <f>$AQ$4*'NIFTY MEMBS'!AR159</f>
        <v>17568.447926754117</v>
      </c>
      <c r="AR170" s="4">
        <f>$AR$4*'NIFTY MEMBS'!AS159</f>
        <v>20258.97586815774</v>
      </c>
      <c r="AS170" s="4">
        <f>$AS$4*'NIFTY MEMBS'!AT159</f>
        <v>21231.673145943158</v>
      </c>
      <c r="AT170" s="4">
        <f>$AT$4*'NIFTY MEMBS'!AU159</f>
        <v>21460.264163226148</v>
      </c>
      <c r="AU170" s="4">
        <f>$AU$4*'NIFTY MEMBS'!AV159</f>
        <v>23596.653265239594</v>
      </c>
      <c r="AV170" s="4">
        <f>$AV$4*'NIFTY MEMBS'!AW159</f>
        <v>18176.771365960558</v>
      </c>
      <c r="AW170" s="4">
        <f>$AW$4*'NIFTY MEMBS'!AX159</f>
        <v>24463.536750032858</v>
      </c>
      <c r="AX170" s="4">
        <f>$AX$4*'NIFTY MEMBS'!AY159</f>
        <v>16205.900557045597</v>
      </c>
      <c r="AY170" s="4">
        <f t="shared" si="12"/>
        <v>1041140.7870675435</v>
      </c>
      <c r="AZ170" s="4">
        <f t="shared" si="13"/>
        <v>106.23885582321873</v>
      </c>
    </row>
    <row r="171" spans="1:52" ht="14.25" customHeight="1" x14ac:dyDescent="0.3">
      <c r="A171" s="2">
        <v>45889</v>
      </c>
      <c r="B171" s="4">
        <f>$B$4*'NIFTY MEMBS'!C160</f>
        <v>23140.225179119752</v>
      </c>
      <c r="C171" s="4">
        <f>$C$4*'NIFTY MEMBS'!D160</f>
        <v>22304.740963449934</v>
      </c>
      <c r="D171" s="4">
        <f>$D$4*'NIFTY MEMBS'!E160</f>
        <v>24169.956758789245</v>
      </c>
      <c r="E171" s="4">
        <f>$E$4*'NIFTY MEMBS'!F160</f>
        <v>15069.362545441281</v>
      </c>
      <c r="F171" s="4">
        <f>$F$4*'NIFTY MEMBS'!G160</f>
        <v>22289.564912554044</v>
      </c>
      <c r="G171" s="4">
        <f>$G$4*'NIFTY MEMBS'!H160</f>
        <v>20901.412002017147</v>
      </c>
      <c r="H171" s="4">
        <f>$H$4*'NIFTY MEMBS'!I160</f>
        <v>15895.883134130147</v>
      </c>
      <c r="I171" s="4">
        <f>$I$4*'NIFTY MEMBS'!J160</f>
        <v>22994.703070496536</v>
      </c>
      <c r="J171" s="4">
        <f>$J$4*'NIFTY MEMBS'!K160</f>
        <v>25602.353178665664</v>
      </c>
      <c r="K171" s="4">
        <f>$K$4*'NIFTY MEMBS'!L160</f>
        <v>17738.412476519155</v>
      </c>
      <c r="L171" s="4">
        <f>$L$4*'NIFTY MEMBS'!M160</f>
        <v>19589.911383776416</v>
      </c>
      <c r="M171" s="4">
        <f>$M$4*'NIFTY MEMBS'!N160</f>
        <v>25375.837548959254</v>
      </c>
      <c r="N171" s="4">
        <f>$N$4*'NIFTY MEMBS'!O160</f>
        <v>22035.042180402335</v>
      </c>
      <c r="O171" s="4">
        <f>$O$4*'NIFTY MEMBS'!P160</f>
        <v>22562.066651755758</v>
      </c>
      <c r="P171" s="4">
        <f>$P$4*'NIFTY MEMBS'!Q160</f>
        <v>15648.944794581448</v>
      </c>
      <c r="Q171" s="4">
        <f>$Q$4*'NIFTY MEMBS'!R160</f>
        <v>17281.938675626337</v>
      </c>
      <c r="R171" s="4">
        <f>$R$4*'NIFTY MEMBS'!S160</f>
        <v>22493.2296671617</v>
      </c>
      <c r="S171" s="4">
        <f>$S$4*'NIFTY MEMBS'!T160</f>
        <v>20156.745661504014</v>
      </c>
      <c r="T171" s="4">
        <f>$T$4*'NIFTY MEMBS'!U160</f>
        <v>24847.754377061658</v>
      </c>
      <c r="U171" s="4">
        <f>$U$4*'NIFTY MEMBS'!V160</f>
        <v>22096.900594680148</v>
      </c>
      <c r="V171" s="4">
        <f>$V$4*'NIFTY MEMBS'!W160</f>
        <v>20500.524501723365</v>
      </c>
      <c r="W171" s="4">
        <f>$W$4*'NIFTY MEMBS'!X160</f>
        <v>23620.253164556965</v>
      </c>
      <c r="X171" s="4">
        <f>$X$4*'NIFTY MEMBS'!Y160</f>
        <v>22492.820218265359</v>
      </c>
      <c r="Y171" s="4">
        <f>$Y$4*'NIFTY MEMBS'!Z160</f>
        <v>20082.717872968984</v>
      </c>
      <c r="Z171" s="4">
        <f>$Z$4*'NIFTY MEMBS'!AA160</f>
        <v>25304.525348758085</v>
      </c>
      <c r="AA171" s="4">
        <f>$AA$4*'NIFTY MEMBS'!AB160</f>
        <v>23912.97145065989</v>
      </c>
      <c r="AB171" s="4">
        <f>$AB$4*'NIFTY MEMBS'!AC160</f>
        <v>16705.960705960704</v>
      </c>
      <c r="AC171" s="4">
        <f>$AC$4*'NIFTY MEMBS'!AD160</f>
        <v>18582.474226804123</v>
      </c>
      <c r="AD171" s="4">
        <f>$AD$4*'NIFTY MEMBS'!AE160</f>
        <v>18407.741074407742</v>
      </c>
      <c r="AE171" s="4">
        <f>$AE$4*'NIFTY MEMBS'!AF160</f>
        <v>20198.957731492868</v>
      </c>
      <c r="AF171" s="4">
        <f>$AF$4*'NIFTY MEMBS'!AG160</f>
        <v>22303.603584058314</v>
      </c>
      <c r="AG171" s="4">
        <f>$AG$4*'NIFTY MEMBS'!AH160</f>
        <v>19912.0082815735</v>
      </c>
      <c r="AH171" s="4">
        <f>$AH$4*'NIFTY MEMBS'!AI160</f>
        <v>21948.700927513786</v>
      </c>
      <c r="AI171" s="4">
        <f>$AI$4*'NIFTY MEMBS'!AJ160</f>
        <v>23682.901857539851</v>
      </c>
      <c r="AJ171" s="4">
        <f>$AJ$4*'NIFTY MEMBS'!AK160</f>
        <v>21576.613565445889</v>
      </c>
      <c r="AK171" s="4">
        <f>$AK$4*'NIFTY MEMBS'!AL160</f>
        <v>23462.113301803736</v>
      </c>
      <c r="AL171" s="4">
        <f>$AL$4*'NIFTY MEMBS'!AM160</f>
        <v>24307.616727734221</v>
      </c>
      <c r="AM171" s="4">
        <f>$AM$4*'NIFTY MEMBS'!AN160</f>
        <v>15429.998372960012</v>
      </c>
      <c r="AN171" s="4">
        <f>$AN$4*'NIFTY MEMBS'!AO160</f>
        <v>26542.416452442158</v>
      </c>
      <c r="AO171" s="4">
        <f>$AO$4*'NIFTY MEMBS'!AP160</f>
        <v>25811.730395333758</v>
      </c>
      <c r="AP171" s="4">
        <f>$AP$4*'NIFTY MEMBS'!AQ160</f>
        <v>23639.429968800065</v>
      </c>
      <c r="AQ171" s="4">
        <f>$AQ$4*'NIFTY MEMBS'!AR160</f>
        <v>17890.072482906358</v>
      </c>
      <c r="AR171" s="4">
        <f>$AR$4*'NIFTY MEMBS'!AS160</f>
        <v>20222.353018115231</v>
      </c>
      <c r="AS171" s="4">
        <f>$AS$4*'NIFTY MEMBS'!AT160</f>
        <v>21393.146214542074</v>
      </c>
      <c r="AT171" s="4">
        <f>$AT$4*'NIFTY MEMBS'!AU160</f>
        <v>21115.926884004588</v>
      </c>
      <c r="AU171" s="4">
        <f>$AU$4*'NIFTY MEMBS'!AV160</f>
        <v>24020.428121264806</v>
      </c>
      <c r="AV171" s="4">
        <f>$AV$4*'NIFTY MEMBS'!AW160</f>
        <v>18194.30241051863</v>
      </c>
      <c r="AW171" s="4">
        <f>$AW$4*'NIFTY MEMBS'!AX160</f>
        <v>24548.61567507498</v>
      </c>
      <c r="AX171" s="4">
        <f>$AX$4*'NIFTY MEMBS'!AY160</f>
        <v>16055.291933154531</v>
      </c>
      <c r="AY171" s="4">
        <f t="shared" si="12"/>
        <v>1044061.2022270767</v>
      </c>
      <c r="AZ171" s="4">
        <f t="shared" si="13"/>
        <v>106.53685737010987</v>
      </c>
    </row>
    <row r="172" spans="1:52" ht="14.25" customHeight="1" x14ac:dyDescent="0.3">
      <c r="A172" s="2">
        <v>45890</v>
      </c>
      <c r="B172" s="4">
        <f>$B$4*'NIFTY MEMBS'!C161</f>
        <v>23333.469805527122</v>
      </c>
      <c r="C172" s="4">
        <f>$C$4*'NIFTY MEMBS'!D161</f>
        <v>22338.396643406853</v>
      </c>
      <c r="D172" s="4">
        <f>$D$4*'NIFTY MEMBS'!E161</f>
        <v>24188.757285203985</v>
      </c>
      <c r="E172" s="4">
        <f>$E$4*'NIFTY MEMBS'!F161</f>
        <v>15088.815669491421</v>
      </c>
      <c r="F172" s="4">
        <f>$F$4*'NIFTY MEMBS'!G161</f>
        <v>22529.505706384138</v>
      </c>
      <c r="G172" s="4">
        <f>$G$4*'NIFTY MEMBS'!H161</f>
        <v>20819.465456379221</v>
      </c>
      <c r="H172" s="4">
        <f>$H$4*'NIFTY MEMBS'!I161</f>
        <v>15898.007968127491</v>
      </c>
      <c r="I172" s="4">
        <f>$I$4*'NIFTY MEMBS'!J161</f>
        <v>22806.941992162268</v>
      </c>
      <c r="J172" s="4">
        <f>$J$4*'NIFTY MEMBS'!K161</f>
        <v>25827.289374648539</v>
      </c>
      <c r="K172" s="4">
        <f>$K$4*'NIFTY MEMBS'!L161</f>
        <v>17716.569830937922</v>
      </c>
      <c r="L172" s="4">
        <f>$L$4*'NIFTY MEMBS'!M161</f>
        <v>19700.613496932514</v>
      </c>
      <c r="M172" s="4">
        <f>$M$4*'NIFTY MEMBS'!N161</f>
        <v>25481.116672465942</v>
      </c>
      <c r="N172" s="4">
        <f>$N$4*'NIFTY MEMBS'!O161</f>
        <v>21902.011680726799</v>
      </c>
      <c r="O172" s="4">
        <f>$O$4*'NIFTY MEMBS'!P161</f>
        <v>22565.421605904718</v>
      </c>
      <c r="P172" s="4">
        <f>$P$4*'NIFTY MEMBS'!Q161</f>
        <v>15622.793483093177</v>
      </c>
      <c r="Q172" s="4">
        <f>$Q$4*'NIFTY MEMBS'!R161</f>
        <v>1068.8113442154554</v>
      </c>
      <c r="R172" s="4">
        <f>$R$4*'NIFTY MEMBS'!S161</f>
        <v>22486.24093648991</v>
      </c>
      <c r="S172" s="4">
        <f>$S$4*'NIFTY MEMBS'!T161</f>
        <v>20132.487404366489</v>
      </c>
      <c r="T172" s="4">
        <f>$T$4*'NIFTY MEMBS'!U161</f>
        <v>25120.527784826183</v>
      </c>
      <c r="U172" s="4">
        <f>$U$4*'NIFTY MEMBS'!V161</f>
        <v>22227.822425741815</v>
      </c>
      <c r="V172" s="4">
        <f>$V$4*'NIFTY MEMBS'!W161</f>
        <v>20308.706728607824</v>
      </c>
      <c r="W172" s="4">
        <f>$W$4*'NIFTY MEMBS'!X161</f>
        <v>23276.672694394216</v>
      </c>
      <c r="X172" s="4">
        <f>$X$4*'NIFTY MEMBS'!Y161</f>
        <v>22348.404037088698</v>
      </c>
      <c r="Y172" s="4">
        <f>$Y$4*'NIFTY MEMBS'!Z161</f>
        <v>20113.104030386159</v>
      </c>
      <c r="Z172" s="4">
        <f>$Z$4*'NIFTY MEMBS'!AA161</f>
        <v>25464.443688329367</v>
      </c>
      <c r="AA172" s="4">
        <f>$AA$4*'NIFTY MEMBS'!AB161</f>
        <v>23674.41603622508</v>
      </c>
      <c r="AB172" s="4">
        <f>$AB$4*'NIFTY MEMBS'!AC161</f>
        <v>16644.022644022643</v>
      </c>
      <c r="AC172" s="4">
        <f>$AC$4*'NIFTY MEMBS'!AD161</f>
        <v>18298.969072164949</v>
      </c>
      <c r="AD172" s="4">
        <f>$AD$4*'NIFTY MEMBS'!AE161</f>
        <v>18295.628962295628</v>
      </c>
      <c r="AE172" s="4">
        <f>$AE$4*'NIFTY MEMBS'!AF161</f>
        <v>19871.747201263079</v>
      </c>
      <c r="AF172" s="4">
        <f>$AF$4*'NIFTY MEMBS'!AG161</f>
        <v>22273.230208491525</v>
      </c>
      <c r="AG172" s="4">
        <f>$AG$4*'NIFTY MEMBS'!AH161</f>
        <v>19572.981366459626</v>
      </c>
      <c r="AH172" s="4">
        <f>$AH$4*'NIFTY MEMBS'!AI161</f>
        <v>21747.708874997701</v>
      </c>
      <c r="AI172" s="4">
        <f>$AI$4*'NIFTY MEMBS'!AJ161</f>
        <v>23622.93403539564</v>
      </c>
      <c r="AJ172" s="4">
        <f>$AJ$4*'NIFTY MEMBS'!AK161</f>
        <v>21274.429298735427</v>
      </c>
      <c r="AK172" s="4">
        <f>$AK$4*'NIFTY MEMBS'!AL161</f>
        <v>23595.602235734903</v>
      </c>
      <c r="AL172" s="4">
        <f>$AL$4*'NIFTY MEMBS'!AM161</f>
        <v>24461.138517593594</v>
      </c>
      <c r="AM172" s="4">
        <f>$AM$4*'NIFTY MEMBS'!AN161</f>
        <v>15428.583555577565</v>
      </c>
      <c r="AN172" s="4">
        <f>$AN$4*'NIFTY MEMBS'!AO161</f>
        <v>26810.911168237642</v>
      </c>
      <c r="AO172" s="4">
        <f>$AO$4*'NIFTY MEMBS'!AP161</f>
        <v>25776.085547634477</v>
      </c>
      <c r="AP172" s="4">
        <f>$AP$4*'NIFTY MEMBS'!AQ161</f>
        <v>23856.986255164851</v>
      </c>
      <c r="AQ172" s="4">
        <f>$AQ$4*'NIFTY MEMBS'!AR161</f>
        <v>17857.205739941895</v>
      </c>
      <c r="AR172" s="4">
        <f>$AR$4*'NIFTY MEMBS'!AS161</f>
        <v>20833.169838467071</v>
      </c>
      <c r="AS172" s="4">
        <f>$AS$4*'NIFTY MEMBS'!AT161</f>
        <v>21511.197953769853</v>
      </c>
      <c r="AT172" s="4">
        <f>$AT$4*'NIFTY MEMBS'!AU161</f>
        <v>21235.845339454881</v>
      </c>
      <c r="AU172" s="4">
        <f>$AU$4*'NIFTY MEMBS'!AV161</f>
        <v>23646.636966206672</v>
      </c>
      <c r="AV172" s="4">
        <f>$AV$4*'NIFTY MEMBS'!AW161</f>
        <v>18650.109569028486</v>
      </c>
      <c r="AW172" s="4">
        <f>$AW$4*'NIFTY MEMBS'!AX161</f>
        <v>24362.684765853715</v>
      </c>
      <c r="AX172" s="4">
        <f>$AX$4*'NIFTY MEMBS'!AY161</f>
        <v>15833.50526098618</v>
      </c>
      <c r="AY172" s="4">
        <f t="shared" si="12"/>
        <v>1027502.1281595412</v>
      </c>
      <c r="AZ172" s="4">
        <f t="shared" si="13"/>
        <v>104.84715593464706</v>
      </c>
    </row>
    <row r="173" spans="1:52" ht="14.25" customHeight="1" x14ac:dyDescent="0.3">
      <c r="A173" s="2">
        <v>45891</v>
      </c>
      <c r="B173" s="4">
        <f>$B$4*'NIFTY MEMBS'!C162</f>
        <v>23077.993858751281</v>
      </c>
      <c r="C173" s="4">
        <f>$C$4*'NIFTY MEMBS'!D162</f>
        <v>22039.982947788823</v>
      </c>
      <c r="D173" s="4">
        <f>$D$4*'NIFTY MEMBS'!E162</f>
        <v>24231.371811744062</v>
      </c>
      <c r="E173" s="4">
        <f>$E$4*'NIFTY MEMBS'!F162</f>
        <v>14852.460212282216</v>
      </c>
      <c r="F173" s="4">
        <f>$F$4*'NIFTY MEMBS'!G162</f>
        <v>22379.932224516029</v>
      </c>
      <c r="G173" s="4">
        <f>$G$4*'NIFTY MEMBS'!H162</f>
        <v>20581.190115985879</v>
      </c>
      <c r="H173" s="4">
        <f>$H$4*'NIFTY MEMBS'!I162</f>
        <v>15803.452855245683</v>
      </c>
      <c r="I173" s="4">
        <f>$I$4*'NIFTY MEMBS'!J162</f>
        <v>22651.048619783818</v>
      </c>
      <c r="J173" s="4">
        <f>$J$4*'NIFTY MEMBS'!K162</f>
        <v>25795.567603420182</v>
      </c>
      <c r="K173" s="4">
        <f>$K$4*'NIFTY MEMBS'!L162</f>
        <v>17399.851470010046</v>
      </c>
      <c r="L173" s="4">
        <f>$L$4*'NIFTY MEMBS'!M162</f>
        <v>19608.997955010225</v>
      </c>
      <c r="M173" s="4">
        <f>$M$4*'NIFTY MEMBS'!N162</f>
        <v>25604.23971521105</v>
      </c>
      <c r="N173" s="4">
        <f>$N$4*'NIFTY MEMBS'!O162</f>
        <v>22083.062946138871</v>
      </c>
      <c r="O173" s="4">
        <f>$O$4*'NIFTY MEMBS'!P162</f>
        <v>22216.506374412878</v>
      </c>
      <c r="P173" s="4">
        <f>$P$4*'NIFTY MEMBS'!Q162</f>
        <v>15338.267214100786</v>
      </c>
      <c r="Q173" s="4">
        <f>$Q$4*'NIFTY MEMBS'!R162</f>
        <v>17374.00460329638</v>
      </c>
      <c r="R173" s="4">
        <f>$R$4*'NIFTY MEMBS'!S162</f>
        <v>21995.28260679654</v>
      </c>
      <c r="S173" s="4">
        <f>$S$4*'NIFTY MEMBS'!T162</f>
        <v>19983.205821981715</v>
      </c>
      <c r="T173" s="4">
        <f>$T$4*'NIFTY MEMBS'!U162</f>
        <v>24941.639177873636</v>
      </c>
      <c r="U173" s="4">
        <f>$U$4*'NIFTY MEMBS'!V162</f>
        <v>22256.711280483123</v>
      </c>
      <c r="V173" s="4">
        <f>$V$4*'NIFTY MEMBS'!W162</f>
        <v>20200.809231230331</v>
      </c>
      <c r="W173" s="4">
        <f>$W$4*'NIFTY MEMBS'!X162</f>
        <v>23081.374321880656</v>
      </c>
      <c r="X173" s="4">
        <f>$X$4*'NIFTY MEMBS'!Y162</f>
        <v>22010.338885697871</v>
      </c>
      <c r="Y173" s="4">
        <f>$Y$4*'NIFTY MEMBS'!Z162</f>
        <v>19944.292044735175</v>
      </c>
      <c r="Z173" s="4">
        <f>$Z$4*'NIFTY MEMBS'!AA162</f>
        <v>25508.676420551212</v>
      </c>
      <c r="AA173" s="4">
        <f>$AA$4*'NIFTY MEMBS'!AB162</f>
        <v>23294.494450273341</v>
      </c>
      <c r="AB173" s="4">
        <f>$AB$4*'NIFTY MEMBS'!AC162</f>
        <v>16559.440559440558</v>
      </c>
      <c r="AC173" s="4">
        <f>$AC$4*'NIFTY MEMBS'!AD162</f>
        <v>18257.087628865982</v>
      </c>
      <c r="AD173" s="4">
        <f>$AD$4*'NIFTY MEMBS'!AE162</f>
        <v>18159.492826159491</v>
      </c>
      <c r="AE173" s="4">
        <f>$AE$4*'NIFTY MEMBS'!AF162</f>
        <v>19860.306273632668</v>
      </c>
      <c r="AF173" s="4">
        <f>$AF$4*'NIFTY MEMBS'!AG162</f>
        <v>21734.319744863642</v>
      </c>
      <c r="AG173" s="4">
        <f>$AG$4*'NIFTY MEMBS'!AH162</f>
        <v>19381.469979296067</v>
      </c>
      <c r="AH173" s="4">
        <f>$AH$4*'NIFTY MEMBS'!AI162</f>
        <v>21443.454850546739</v>
      </c>
      <c r="AI173" s="4">
        <f>$AI$4*'NIFTY MEMBS'!AJ162</f>
        <v>23189.995612110575</v>
      </c>
      <c r="AJ173" s="4">
        <f>$AJ$4*'NIFTY MEMBS'!AK162</f>
        <v>21060.929545081297</v>
      </c>
      <c r="AK173" s="4">
        <f>$AK$4*'NIFTY MEMBS'!AL162</f>
        <v>23043.629588682103</v>
      </c>
      <c r="AL173" s="4">
        <f>$AL$4*'NIFTY MEMBS'!AM162</f>
        <v>24254.395840582973</v>
      </c>
      <c r="AM173" s="4">
        <f>$AM$4*'NIFTY MEMBS'!AN162</f>
        <v>15330.961156188765</v>
      </c>
      <c r="AN173" s="4">
        <f>$AN$4*'NIFTY MEMBS'!AO162</f>
        <v>26549.557269351611</v>
      </c>
      <c r="AO173" s="4">
        <f>$AO$4*'NIFTY MEMBS'!AP162</f>
        <v>25558.976020738817</v>
      </c>
      <c r="AP173" s="4">
        <f>$AP$4*'NIFTY MEMBS'!AQ162</f>
        <v>23752.424319082551</v>
      </c>
      <c r="AQ173" s="4">
        <f>$AQ$4*'NIFTY MEMBS'!AR162</f>
        <v>17665.874343398773</v>
      </c>
      <c r="AR173" s="4">
        <f>$AR$4*'NIFTY MEMBS'!AS162</f>
        <v>20833.169838467071</v>
      </c>
      <c r="AS173" s="4">
        <f>$AS$4*'NIFTY MEMBS'!AT162</f>
        <v>21500.342621427069</v>
      </c>
      <c r="AT173" s="4">
        <f>$AT$4*'NIFTY MEMBS'!AU162</f>
        <v>21100.508796875267</v>
      </c>
      <c r="AU173" s="4">
        <f>$AU$4*'NIFTY MEMBS'!AV162</f>
        <v>23559.708790611756</v>
      </c>
      <c r="AV173" s="4">
        <f>$AV$4*'NIFTY MEMBS'!AW162</f>
        <v>18664.71877282688</v>
      </c>
      <c r="AW173" s="4">
        <f>$AW$4*'NIFTY MEMBS'!AX162</f>
        <v>23888.537048765036</v>
      </c>
      <c r="AX173" s="4">
        <f>$AX$4*'NIFTY MEMBS'!AY162</f>
        <v>15681.86507117805</v>
      </c>
      <c r="AY173" s="4">
        <f t="shared" si="12"/>
        <v>1035285.9212673752</v>
      </c>
      <c r="AZ173" s="4">
        <f t="shared" si="13"/>
        <v>105.64142053748726</v>
      </c>
    </row>
    <row r="174" spans="1:52" ht="14.25" customHeight="1" x14ac:dyDescent="0.3">
      <c r="A174" s="2">
        <v>45894</v>
      </c>
      <c r="B174" s="4">
        <f>$B$4*'NIFTY MEMBS'!C163</f>
        <v>23133.674513817808</v>
      </c>
      <c r="C174" s="4">
        <f>$C$4*'NIFTY MEMBS'!D163</f>
        <v>22034.373667796001</v>
      </c>
      <c r="D174" s="4">
        <f>$D$4*'NIFTY MEMBS'!E163</f>
        <v>24198.784232625181</v>
      </c>
      <c r="E174" s="4">
        <f>$E$4*'NIFTY MEMBS'!F163</f>
        <v>15273.620347967757</v>
      </c>
      <c r="F174" s="4">
        <f>$F$4*'NIFTY MEMBS'!G163</f>
        <v>22330.074397226657</v>
      </c>
      <c r="G174" s="4">
        <f>$G$4*'NIFTY MEMBS'!H163</f>
        <v>20586.232980332828</v>
      </c>
      <c r="H174" s="4">
        <f>$H$4*'NIFTY MEMBS'!I163</f>
        <v>16277.290836653385</v>
      </c>
      <c r="I174" s="4">
        <f>$I$4*'NIFTY MEMBS'!J163</f>
        <v>22665.69053873649</v>
      </c>
      <c r="J174" s="4">
        <f>$J$4*'NIFTY MEMBS'!K163</f>
        <v>25977.246838637115</v>
      </c>
      <c r="K174" s="4">
        <f>$K$4*'NIFTY MEMBS'!L163</f>
        <v>17445.721025730636</v>
      </c>
      <c r="L174" s="4">
        <f>$L$4*'NIFTY MEMBS'!M163</f>
        <v>19648.807089297887</v>
      </c>
      <c r="M174" s="4">
        <f>$M$4*'NIFTY MEMBS'!N163</f>
        <v>25788.032083366794</v>
      </c>
      <c r="N174" s="4">
        <f>$N$4*'NIFTY MEMBS'!O163</f>
        <v>22056.456846203764</v>
      </c>
      <c r="O174" s="4">
        <f>$O$4*'NIFTY MEMBS'!P163</f>
        <v>22179.60187877432</v>
      </c>
      <c r="P174" s="4">
        <f>$P$4*'NIFTY MEMBS'!Q163</f>
        <v>15734.721096262978</v>
      </c>
      <c r="Q174" s="4">
        <f>$Q$4*'NIFTY MEMBS'!R163</f>
        <v>17531.680732294506</v>
      </c>
      <c r="R174" s="4">
        <f>$R$4*'NIFTY MEMBS'!S163</f>
        <v>22024.984712151654</v>
      </c>
      <c r="S174" s="4">
        <f>$S$4*'NIFTY MEMBS'!T163</f>
        <v>19966.411643963427</v>
      </c>
      <c r="T174" s="4">
        <f>$T$4*'NIFTY MEMBS'!U163</f>
        <v>24914.996193859424</v>
      </c>
      <c r="U174" s="4">
        <f>$U$4*'NIFTY MEMBS'!V163</f>
        <v>22443.566851575826</v>
      </c>
      <c r="V174" s="4">
        <f>$V$4*'NIFTY MEMBS'!W163</f>
        <v>20251.760827214148</v>
      </c>
      <c r="W174" s="4">
        <f>$W$4*'NIFTY MEMBS'!X163</f>
        <v>23092.224231464741</v>
      </c>
      <c r="X174" s="4">
        <f>$X$4*'NIFTY MEMBS'!Y163</f>
        <v>21997.21014195454</v>
      </c>
      <c r="Y174" s="4">
        <f>$Y$4*'NIFTY MEMBS'!Z163</f>
        <v>19983.962861363158</v>
      </c>
      <c r="Z174" s="4">
        <f>$Z$4*'NIFTY MEMBS'!AA163</f>
        <v>25318.135420210961</v>
      </c>
      <c r="AA174" s="4">
        <f>$AA$4*'NIFTY MEMBS'!AB163</f>
        <v>23365.177536031806</v>
      </c>
      <c r="AB174" s="4">
        <f>$AB$4*'NIFTY MEMBS'!AC163</f>
        <v>16905.760905760904</v>
      </c>
      <c r="AC174" s="4">
        <f>$AC$4*'NIFTY MEMBS'!AD163</f>
        <v>18308.634020618556</v>
      </c>
      <c r="AD174" s="4">
        <f>$AD$4*'NIFTY MEMBS'!AE163</f>
        <v>18332.999666332998</v>
      </c>
      <c r="AE174" s="4">
        <f>$AE$4*'NIFTY MEMBS'!AF163</f>
        <v>20022.767445984522</v>
      </c>
      <c r="AF174" s="4">
        <f>$AF$4*'NIFTY MEMBS'!AG163</f>
        <v>21633.653700128001</v>
      </c>
      <c r="AG174" s="4">
        <f>$AG$4*'NIFTY MEMBS'!AH163</f>
        <v>19668.737060041407</v>
      </c>
      <c r="AH174" s="4">
        <f>$AH$4*'NIFTY MEMBS'!AI163</f>
        <v>21260.902435876164</v>
      </c>
      <c r="AI174" s="4">
        <f>$AI$4*'NIFTY MEMBS'!AJ163</f>
        <v>23347.959631417285</v>
      </c>
      <c r="AJ174" s="4">
        <f>$AJ$4*'NIFTY MEMBS'!AK163</f>
        <v>21001.806536377077</v>
      </c>
      <c r="AK174" s="4">
        <f>$AK$4*'NIFTY MEMBS'!AL163</f>
        <v>23023.974776324139</v>
      </c>
      <c r="AL174" s="4">
        <f>$AL$4*'NIFTY MEMBS'!AM163</f>
        <v>24524.594190735468</v>
      </c>
      <c r="AM174" s="4">
        <f>$AM$4*'NIFTY MEMBS'!AN163</f>
        <v>15345.109330013229</v>
      </c>
      <c r="AN174" s="4">
        <f>$AN$4*'NIFTY MEMBS'!AO163</f>
        <v>26375.321336760921</v>
      </c>
      <c r="AO174" s="4">
        <f>$AO$4*'NIFTY MEMBS'!AP163</f>
        <v>25502.268308489951</v>
      </c>
      <c r="AP174" s="4">
        <f>$AP$4*'NIFTY MEMBS'!AQ163</f>
        <v>24145.374820811197</v>
      </c>
      <c r="AQ174" s="4">
        <f>$AQ$4*'NIFTY MEMBS'!AR163</f>
        <v>17925.286850368284</v>
      </c>
      <c r="AR174" s="4">
        <f>$AR$4*'NIFTY MEMBS'!AS163</f>
        <v>20943.038388594599</v>
      </c>
      <c r="AS174" s="4">
        <f>$AS$4*'NIFTY MEMBS'!AT163</f>
        <v>21306.303555799801</v>
      </c>
      <c r="AT174" s="4">
        <f>$AT$4*'NIFTY MEMBS'!AU163</f>
        <v>21271.820876089972</v>
      </c>
      <c r="AU174" s="4">
        <f>$AU$4*'NIFTY MEMBS'!AV163</f>
        <v>23505.378680864935</v>
      </c>
      <c r="AV174" s="4">
        <f>$AV$4*'NIFTY MEMBS'!AW163</f>
        <v>18756.75675675676</v>
      </c>
      <c r="AW174" s="4">
        <f>$AW$4*'NIFTY MEMBS'!AX163</f>
        <v>24203.520260016488</v>
      </c>
      <c r="AX174" s="4">
        <f>$AX$4*'NIFTY MEMBS'!AY163</f>
        <v>15903.651743346401</v>
      </c>
      <c r="AY174" s="4">
        <f t="shared" si="12"/>
        <v>1039436.0608030226</v>
      </c>
      <c r="AZ174" s="4">
        <f t="shared" si="13"/>
        <v>106.06490416357373</v>
      </c>
    </row>
    <row r="175" spans="1:52" ht="14.25" customHeight="1" x14ac:dyDescent="0.3">
      <c r="A175" s="2">
        <v>45895</v>
      </c>
      <c r="B175" s="4">
        <f>$B$4*'NIFTY MEMBS'!C164</f>
        <v>22680.040941658139</v>
      </c>
      <c r="C175" s="4">
        <f>$C$4*'NIFTY MEMBS'!D164</f>
        <v>21840.292580044428</v>
      </c>
      <c r="D175" s="4">
        <f>$D$4*'NIFTY MEMBS'!E164</f>
        <v>23872.908441436361</v>
      </c>
      <c r="E175" s="4">
        <f>$E$4*'NIFTY MEMBS'!F164</f>
        <v>15354.350812775838</v>
      </c>
      <c r="F175" s="4">
        <f>$F$4*'NIFTY MEMBS'!G164</f>
        <v>22071.436918163046</v>
      </c>
      <c r="G175" s="4">
        <f>$G$4*'NIFTY MEMBS'!H164</f>
        <v>20369.389813414018</v>
      </c>
      <c r="H175" s="4">
        <f>$H$4*'NIFTY MEMBS'!I164</f>
        <v>16250.730411686585</v>
      </c>
      <c r="I175" s="4">
        <f>$I$4*'NIFTY MEMBS'!J164</f>
        <v>23191.077042332374</v>
      </c>
      <c r="J175" s="4">
        <f>$J$4*'NIFTY MEMBS'!K164</f>
        <v>25269.274580767957</v>
      </c>
      <c r="K175" s="4">
        <f>$K$4*'NIFTY MEMBS'!L164</f>
        <v>17620.462190380498</v>
      </c>
      <c r="L175" s="4">
        <f>$L$4*'NIFTY MEMBS'!M164</f>
        <v>19311.792774369464</v>
      </c>
      <c r="M175" s="4">
        <f>$M$4*'NIFTY MEMBS'!N164</f>
        <v>26255.542767413437</v>
      </c>
      <c r="N175" s="4">
        <f>$N$4*'NIFTY MEMBS'!O164</f>
        <v>21614.536015574304</v>
      </c>
      <c r="O175" s="4">
        <f>$O$4*'NIFTY MEMBS'!P164</f>
        <v>21982.777902035337</v>
      </c>
      <c r="P175" s="4">
        <f>$P$4*'NIFTY MEMBS'!Q164</f>
        <v>15615.47111587646</v>
      </c>
      <c r="Q175" s="4">
        <f>$Q$4*'NIFTY MEMBS'!R164</f>
        <v>16934.839546019735</v>
      </c>
      <c r="R175" s="4">
        <f>$R$4*'NIFTY MEMBS'!S164</f>
        <v>22031.973442823448</v>
      </c>
      <c r="S175" s="4">
        <f>$S$4*'NIFTY MEMBS'!T164</f>
        <v>19595.073707781303</v>
      </c>
      <c r="T175" s="4">
        <f>$T$4*'NIFTY MEMBS'!U164</f>
        <v>24412.585638162902</v>
      </c>
      <c r="U175" s="4">
        <f>$U$4*'NIFTY MEMBS'!V164</f>
        <v>22090.754029841573</v>
      </c>
      <c r="V175" s="4">
        <f>$V$4*'NIFTY MEMBS'!W164</f>
        <v>19973.025625655628</v>
      </c>
      <c r="W175" s="4">
        <f>$W$4*'NIFTY MEMBS'!X164</f>
        <v>22994.575045207956</v>
      </c>
      <c r="X175" s="4">
        <f>$X$4*'NIFTY MEMBS'!Y164</f>
        <v>21586.936899975382</v>
      </c>
      <c r="Y175" s="4">
        <f>$Y$4*'NIFTY MEMBS'!Z164</f>
        <v>19767.039459801646</v>
      </c>
      <c r="Z175" s="4">
        <f>$Z$4*'NIFTY MEMBS'!AA164</f>
        <v>24896.223205171831</v>
      </c>
      <c r="AA175" s="4">
        <f>$AA$4*'NIFTY MEMBS'!AB164</f>
        <v>23128.830968026945</v>
      </c>
      <c r="AB175" s="4">
        <f>$AB$4*'NIFTY MEMBS'!AC164</f>
        <v>16785.214785214786</v>
      </c>
      <c r="AC175" s="4">
        <f>$AC$4*'NIFTY MEMBS'!AD164</f>
        <v>18034.793814432989</v>
      </c>
      <c r="AD175" s="4">
        <f>$AD$4*'NIFTY MEMBS'!AE164</f>
        <v>18195.528862195526</v>
      </c>
      <c r="AE175" s="4">
        <f>$AE$4*'NIFTY MEMBS'!AF164</f>
        <v>19887.764499945657</v>
      </c>
      <c r="AF175" s="4">
        <f>$AF$4*'NIFTY MEMBS'!AG164</f>
        <v>21533.855466122837</v>
      </c>
      <c r="AG175" s="4">
        <f>$AG$4*'NIFTY MEMBS'!AH164</f>
        <v>19277.950310559005</v>
      </c>
      <c r="AH175" s="4">
        <f>$AH$4*'NIFTY MEMBS'!AI164</f>
        <v>21430.54710405488</v>
      </c>
      <c r="AI175" s="4">
        <f>$AI$4*'NIFTY MEMBS'!AJ164</f>
        <v>22675.149919555359</v>
      </c>
      <c r="AJ175" s="4">
        <f>$AJ$4*'NIFTY MEMBS'!AK164</f>
        <v>20742.32222039744</v>
      </c>
      <c r="AK175" s="4">
        <f>$AK$4*'NIFTY MEMBS'!AL164</f>
        <v>22899.494298057038</v>
      </c>
      <c r="AL175" s="4">
        <f>$AL$4*'NIFTY MEMBS'!AM164</f>
        <v>25181.667451333589</v>
      </c>
      <c r="AM175" s="4">
        <f>$AM$4*'NIFTY MEMBS'!AN164</f>
        <v>14982.916080106961</v>
      </c>
      <c r="AN175" s="4">
        <f>$AN$4*'NIFTY MEMBS'!AO164</f>
        <v>25944.015995429872</v>
      </c>
      <c r="AO175" s="4">
        <f>$AO$4*'NIFTY MEMBS'!AP164</f>
        <v>25165.262475696691</v>
      </c>
      <c r="AP175" s="4">
        <f>$AP$4*'NIFTY MEMBS'!AQ164</f>
        <v>23803.018804283667</v>
      </c>
      <c r="AQ175" s="4">
        <f>$AQ$4*'NIFTY MEMBS'!AR164</f>
        <v>17633.00760043431</v>
      </c>
      <c r="AR175" s="4">
        <f>$AR$4*'NIFTY MEMBS'!AS164</f>
        <v>20663.135177555425</v>
      </c>
      <c r="AS175" s="4">
        <f>$AS$4*'NIFTY MEMBS'!AT164</f>
        <v>21150.258153372277</v>
      </c>
      <c r="AT175" s="4">
        <f>$AT$4*'NIFTY MEMBS'!AU164</f>
        <v>20375.858701797064</v>
      </c>
      <c r="AU175" s="4">
        <f>$AU$4*'NIFTY MEMBS'!AV164</f>
        <v>23468.4342062371</v>
      </c>
      <c r="AV175" s="4">
        <f>$AV$4*'NIFTY MEMBS'!AW164</f>
        <v>18454.346238130023</v>
      </c>
      <c r="AW175" s="4">
        <f>$AW$4*'NIFTY MEMBS'!AX164</f>
        <v>24249.405522960551</v>
      </c>
      <c r="AX175" s="4">
        <f>$AX$4*'NIFTY MEMBS'!AY164</f>
        <v>15605.529193315453</v>
      </c>
      <c r="AY175" s="4">
        <f t="shared" si="12"/>
        <v>1028851.4187575852</v>
      </c>
      <c r="AZ175" s="4">
        <f t="shared" si="13"/>
        <v>104.98483864873319</v>
      </c>
    </row>
    <row r="176" spans="1:52" ht="14.25" customHeight="1" x14ac:dyDescent="0.3">
      <c r="A176" s="2">
        <v>45897</v>
      </c>
      <c r="B176" s="4">
        <f>$B$4*'NIFTY MEMBS'!C165</f>
        <v>22696.417604913</v>
      </c>
      <c r="C176" s="4">
        <f>$C$4*'NIFTY MEMBS'!D165</f>
        <v>21490.27350849245</v>
      </c>
      <c r="D176" s="4">
        <f>$D$4*'NIFTY MEMBS'!E165</f>
        <v>23577.113492511122</v>
      </c>
      <c r="E176" s="4">
        <f>$E$4*'NIFTY MEMBS'!F165</f>
        <v>15045.53246847986</v>
      </c>
      <c r="F176" s="4">
        <f>$F$4*'NIFTY MEMBS'!G165</f>
        <v>21798.776925174305</v>
      </c>
      <c r="G176" s="4">
        <f>$G$4*'NIFTY MEMBS'!H165</f>
        <v>20220.625315179022</v>
      </c>
      <c r="H176" s="4">
        <f>$H$4*'NIFTY MEMBS'!I165</f>
        <v>15937.317397078352</v>
      </c>
      <c r="I176" s="4">
        <f>$I$4*'NIFTY MEMBS'!J165</f>
        <v>22862.064510572331</v>
      </c>
      <c r="J176" s="4">
        <f>$J$4*'NIFTY MEMBS'!K165</f>
        <v>25286.577365074329</v>
      </c>
      <c r="K176" s="4">
        <f>$K$4*'NIFTY MEMBS'!L165</f>
        <v>17513.433227032456</v>
      </c>
      <c r="L176" s="4">
        <f>$L$4*'NIFTY MEMBS'!M165</f>
        <v>19414.314928425356</v>
      </c>
      <c r="M176" s="4">
        <f>$M$4*'NIFTY MEMBS'!N165</f>
        <v>26323.349660519438</v>
      </c>
      <c r="N176" s="4">
        <f>$N$4*'NIFTY MEMBS'!O165</f>
        <v>21384.16612589228</v>
      </c>
      <c r="O176" s="4">
        <f>$O$4*'NIFTY MEMBS'!P165</f>
        <v>21747.931111608141</v>
      </c>
      <c r="P176" s="4">
        <f>$P$4*'NIFTY MEMBS'!Q165</f>
        <v>15165.668558278197</v>
      </c>
      <c r="Q176" s="4">
        <f>$Q$4*'NIFTY MEMBS'!R165</f>
        <v>16780.338104182651</v>
      </c>
      <c r="R176" s="4">
        <f>$R$4*'NIFTY MEMBS'!S165</f>
        <v>21876.474185376079</v>
      </c>
      <c r="S176" s="4">
        <f>$S$4*'NIFTY MEMBS'!T165</f>
        <v>19628.662063817879</v>
      </c>
      <c r="T176" s="4">
        <f>$T$4*'NIFTY MEMBS'!U165</f>
        <v>24328.850545546811</v>
      </c>
      <c r="U176" s="4">
        <f>$U$4*'NIFTY MEMBS'!V165</f>
        <v>22359.358913287339</v>
      </c>
      <c r="V176" s="4">
        <f>$V$4*'NIFTY MEMBS'!W165</f>
        <v>19829.162295818973</v>
      </c>
      <c r="W176" s="4">
        <f>$W$4*'NIFTY MEMBS'!X165</f>
        <v>22820.97649186257</v>
      </c>
      <c r="X176" s="4">
        <f>$X$4*'NIFTY MEMBS'!Y165</f>
        <v>21586.936899975382</v>
      </c>
      <c r="Y176" s="4">
        <f>$Y$4*'NIFTY MEMBS'!Z165</f>
        <v>19699.514665541254</v>
      </c>
      <c r="Z176" s="4">
        <f>$Z$4*'NIFTY MEMBS'!AA165</f>
        <v>24760.12249064308</v>
      </c>
      <c r="AA176" s="4">
        <f>$AA$4*'NIFTY MEMBS'!AB165</f>
        <v>22879.231321442374</v>
      </c>
      <c r="AB176" s="4">
        <f>$AB$4*'NIFTY MEMBS'!AC165</f>
        <v>16693.306693306695</v>
      </c>
      <c r="AC176" s="4">
        <f>$AC$4*'NIFTY MEMBS'!AD165</f>
        <v>17683.634020618556</v>
      </c>
      <c r="AD176" s="4">
        <f>$AD$4*'NIFTY MEMBS'!AE165</f>
        <v>18030.03003003003</v>
      </c>
      <c r="AE176" s="4">
        <f>$AE$4*'NIFTY MEMBS'!AF165</f>
        <v>19883.188128893493</v>
      </c>
      <c r="AF176" s="4">
        <f>$AF$4*'NIFTY MEMBS'!AG165</f>
        <v>21599.809081639294</v>
      </c>
      <c r="AG176" s="4">
        <f>$AG$4*'NIFTY MEMBS'!AH165</f>
        <v>19373.706004140789</v>
      </c>
      <c r="AH176" s="4">
        <f>$AH$4*'NIFTY MEMBS'!AI165</f>
        <v>21434.235031623983</v>
      </c>
      <c r="AI176" s="4">
        <f>$AI$4*'NIFTY MEMBS'!AJ165</f>
        <v>22470.38174637999</v>
      </c>
      <c r="AJ176" s="4">
        <f>$AJ$4*'NIFTY MEMBS'!AK165</f>
        <v>20371.161110198722</v>
      </c>
      <c r="AK176" s="4">
        <f>$AK$4*'NIFTY MEMBS'!AL165</f>
        <v>22802.039186782138</v>
      </c>
      <c r="AL176" s="4">
        <f>$AL$4*'NIFTY MEMBS'!AM165</f>
        <v>25107.976992201089</v>
      </c>
      <c r="AM176" s="4">
        <f>$AM$4*'NIFTY MEMBS'!AN165</f>
        <v>14814.552811595844</v>
      </c>
      <c r="AN176" s="4">
        <f>$AN$4*'NIFTY MEMBS'!AO165</f>
        <v>25946.872322193656</v>
      </c>
      <c r="AO176" s="4">
        <f>$AO$4*'NIFTY MEMBS'!AP165</f>
        <v>25124.756966947501</v>
      </c>
      <c r="AP176" s="4">
        <f>$AP$4*'NIFTY MEMBS'!AQ165</f>
        <v>23657.981280040472</v>
      </c>
      <c r="AQ176" s="4">
        <f>$AQ$4*'NIFTY MEMBS'!AR165</f>
        <v>17555.535992018074</v>
      </c>
      <c r="AR176" s="4">
        <f>$AR$4*'NIFTY MEMBS'!AS165</f>
        <v>20669.674972205874</v>
      </c>
      <c r="AS176" s="4">
        <f>$AS$4*'NIFTY MEMBS'!AT165</f>
        <v>20972.502086259185</v>
      </c>
      <c r="AT176" s="4">
        <f>$AT$4*'NIFTY MEMBS'!AU165</f>
        <v>19586.110016617269</v>
      </c>
      <c r="AU176" s="4">
        <f>$AU$4*'NIFTY MEMBS'!AV165</f>
        <v>23088.123438009348</v>
      </c>
      <c r="AV176" s="4">
        <f>$AV$4*'NIFTY MEMBS'!AW165</f>
        <v>18404.674945215487</v>
      </c>
      <c r="AW176" s="4">
        <f>$AW$4*'NIFTY MEMBS'!AX165</f>
        <v>24336.874305447676</v>
      </c>
      <c r="AX176" s="4">
        <f>$AX$4*'NIFTY MEMBS'!AY165</f>
        <v>15403.342273571283</v>
      </c>
      <c r="AY176" s="4">
        <f t="shared" si="12"/>
        <v>1022023.6596126612</v>
      </c>
      <c r="AZ176" s="4">
        <f t="shared" si="13"/>
        <v>104.28812853190421</v>
      </c>
    </row>
    <row r="177" spans="1:66" ht="14.25" customHeight="1" x14ac:dyDescent="0.3">
      <c r="A177" s="2">
        <v>45898</v>
      </c>
      <c r="B177" s="4">
        <f>$B$4*'NIFTY MEMBS'!C166</f>
        <v>22226.407369498465</v>
      </c>
      <c r="C177" s="4">
        <f>$C$4*'NIFTY MEMBS'!D166</f>
        <v>21351.163364670512</v>
      </c>
      <c r="D177" s="4">
        <f>$D$4*'NIFTY MEMBS'!E166</f>
        <v>23673.622861440119</v>
      </c>
      <c r="E177" s="4">
        <f>$E$4*'NIFTY MEMBS'!F166</f>
        <v>15001.762939367043</v>
      </c>
      <c r="F177" s="4">
        <f>$F$4*'NIFTY MEMBS'!G166</f>
        <v>21778.522182837998</v>
      </c>
      <c r="G177" s="4">
        <f>$G$4*'NIFTY MEMBS'!H166</f>
        <v>20234.49319213313</v>
      </c>
      <c r="H177" s="4">
        <f>$H$4*'NIFTY MEMBS'!I166</f>
        <v>15613.280212483398</v>
      </c>
      <c r="I177" s="4">
        <f>$I$4*'NIFTY MEMBS'!J166</f>
        <v>22908.57413548082</v>
      </c>
      <c r="J177" s="4">
        <f>$J$4*'NIFTY MEMBS'!K166</f>
        <v>25315.415338918287</v>
      </c>
      <c r="K177" s="4">
        <f>$K$4*'NIFTY MEMBS'!L166</f>
        <v>17900.048053820279</v>
      </c>
      <c r="L177" s="4">
        <f>$L$4*'NIFTY MEMBS'!M166</f>
        <v>19637.355146557598</v>
      </c>
      <c r="M177" s="4">
        <f>$M$4*'NIFTY MEMBS'!N166</f>
        <v>26392.940945549282</v>
      </c>
      <c r="N177" s="4">
        <f>$N$4*'NIFTY MEMBS'!O166</f>
        <v>20762.491888384164</v>
      </c>
      <c r="O177" s="4">
        <f>$O$4*'NIFTY MEMBS'!P166</f>
        <v>21922.388727354057</v>
      </c>
      <c r="P177" s="4">
        <f>$P$4*'NIFTY MEMBS'!Q166</f>
        <v>15217.971181254739</v>
      </c>
      <c r="Q177" s="4">
        <f>$Q$4*'NIFTY MEMBS'!R166</f>
        <v>16873.462260906374</v>
      </c>
      <c r="R177" s="4">
        <f>$R$4*'NIFTY MEMBS'!S166</f>
        <v>22084.388922861883</v>
      </c>
      <c r="S177" s="4">
        <f>$S$4*'NIFTY MEMBS'!T166</f>
        <v>19503.638738570629</v>
      </c>
      <c r="T177" s="4">
        <f>$T$4*'NIFTY MEMBS'!U166</f>
        <v>24276.83329104288</v>
      </c>
      <c r="U177" s="4">
        <f>$U$4*'NIFTY MEMBS'!V166</f>
        <v>22304.654486224015</v>
      </c>
      <c r="V177" s="4">
        <f>$V$4*'NIFTY MEMBS'!W166</f>
        <v>19634.347369998501</v>
      </c>
      <c r="W177" s="4">
        <f>$W$4*'NIFTY MEMBS'!X166</f>
        <v>22708.860759493673</v>
      </c>
      <c r="X177" s="4">
        <f>$X$4*'NIFTY MEMBS'!Y166</f>
        <v>21544.268482809548</v>
      </c>
      <c r="Y177" s="4">
        <f>$Y$4*'NIFTY MEMBS'!Z166</f>
        <v>19726.524583245413</v>
      </c>
      <c r="Z177" s="4">
        <f>$Z$4*'NIFTY MEMBS'!AA166</f>
        <v>25137.801973460362</v>
      </c>
      <c r="AA177" s="4">
        <f>$AA$4*'NIFTY MEMBS'!AB166</f>
        <v>22676.017449886793</v>
      </c>
      <c r="AB177" s="4">
        <f>$AB$4*'NIFTY MEMBS'!AC166</f>
        <v>16610.722610722609</v>
      </c>
      <c r="AC177" s="4">
        <f>$AC$4*'NIFTY MEMBS'!AD166</f>
        <v>17735.180412371137</v>
      </c>
      <c r="AD177" s="4">
        <f>$AD$4*'NIFTY MEMBS'!AE166</f>
        <v>17857.857857857856</v>
      </c>
      <c r="AE177" s="4">
        <f>$AE$4*'NIFTY MEMBS'!AF166</f>
        <v>19750.47336838071</v>
      </c>
      <c r="AF177" s="4">
        <f>$AF$4*'NIFTY MEMBS'!AG166</f>
        <v>21856.681057861279</v>
      </c>
      <c r="AG177" s="4">
        <f>$AG$4*'NIFTY MEMBS'!AH166</f>
        <v>19399.585921325051</v>
      </c>
      <c r="AH177" s="4">
        <f>$AH$4*'NIFTY MEMBS'!AI166</f>
        <v>21319.909276981805</v>
      </c>
      <c r="AI177" s="4">
        <f>$AI$4*'NIFTY MEMBS'!AJ166</f>
        <v>22594.705280093604</v>
      </c>
      <c r="AJ177" s="4">
        <f>$AJ$4*'NIFTY MEMBS'!AK166</f>
        <v>20476.268681228448</v>
      </c>
      <c r="AK177" s="4">
        <f>$AK$4*'NIFTY MEMBS'!AL166</f>
        <v>22730.79049198452</v>
      </c>
      <c r="AL177" s="4">
        <f>$AL$4*'NIFTY MEMBS'!AM166</f>
        <v>24985.15956031359</v>
      </c>
      <c r="AM177" s="4">
        <f>$AM$4*'NIFTY MEMBS'!AN166</f>
        <v>14991.404984401639</v>
      </c>
      <c r="AN177" s="4">
        <f>$AN$4*'NIFTY MEMBS'!AO166</f>
        <v>25785.489860039987</v>
      </c>
      <c r="AO177" s="4">
        <f>$AO$4*'NIFTY MEMBS'!AP166</f>
        <v>25017.822423849637</v>
      </c>
      <c r="AP177" s="4">
        <f>$AP$4*'NIFTY MEMBS'!AQ166</f>
        <v>23743.991904882369</v>
      </c>
      <c r="AQ177" s="4">
        <f>$AQ$4*'NIFTY MEMBS'!AR166</f>
        <v>17388.854652698301</v>
      </c>
      <c r="AR177" s="4">
        <f>$AR$4*'NIFTY MEMBS'!AS166</f>
        <v>20788.699234844029</v>
      </c>
      <c r="AS177" s="4">
        <f>$AS$4*'NIFTY MEMBS'!AT166</f>
        <v>20652.26978214705</v>
      </c>
      <c r="AT177" s="4">
        <f>$AT$4*'NIFTY MEMBS'!AU166</f>
        <v>19880.766792866561</v>
      </c>
      <c r="AU177" s="4">
        <f>$AU$4*'NIFTY MEMBS'!AV166</f>
        <v>23153.319569705534</v>
      </c>
      <c r="AV177" s="4">
        <f>$AV$4*'NIFTY MEMBS'!AW166</f>
        <v>18409.057706355004</v>
      </c>
      <c r="AW177" s="4">
        <f>$AW$4*'NIFTY MEMBS'!AX166</f>
        <v>24317.755445887651</v>
      </c>
      <c r="AX177" s="4">
        <f>$AX$4*'NIFTY MEMBS'!AY166</f>
        <v>15256.859913348464</v>
      </c>
      <c r="AY177" s="4">
        <f t="shared" si="12"/>
        <v>1021110.8626483966</v>
      </c>
      <c r="AZ177" s="4">
        <f t="shared" si="13"/>
        <v>104.19498598453028</v>
      </c>
    </row>
    <row r="178" spans="1:66" ht="14.25" customHeight="1" x14ac:dyDescent="0.3">
      <c r="A178" s="2">
        <v>45901</v>
      </c>
      <c r="B178" s="4">
        <f>$B$4*'NIFTY MEMBS'!C167</f>
        <v>22172.364380757423</v>
      </c>
      <c r="C178" s="4">
        <f>$C$4*'NIFTY MEMBS'!D167</f>
        <v>21328.726244699232</v>
      </c>
      <c r="D178" s="4">
        <f>$D$4*'NIFTY MEMBS'!E167</f>
        <v>23821.520335902736</v>
      </c>
      <c r="E178" s="4">
        <f>$E$4*'NIFTY MEMBS'!F167</f>
        <v>15137.448479616773</v>
      </c>
      <c r="F178" s="4">
        <f>$F$4*'NIFTY MEMBS'!G167</f>
        <v>21984.185720406651</v>
      </c>
      <c r="G178" s="4">
        <f>$G$4*'NIFTY MEMBS'!H167</f>
        <v>20324.004034291476</v>
      </c>
      <c r="H178" s="4">
        <f>$H$4*'NIFTY MEMBS'!I167</f>
        <v>15929.880478087649</v>
      </c>
      <c r="I178" s="4">
        <f>$I$4*'NIFTY MEMBS'!J167</f>
        <v>22819.861332414628</v>
      </c>
      <c r="J178" s="4">
        <f>$J$4*'NIFTY MEMBS'!K167</f>
        <v>25647.052038123802</v>
      </c>
      <c r="K178" s="4">
        <f>$K$4*'NIFTY MEMBS'!L167</f>
        <v>17729.675418286664</v>
      </c>
      <c r="L178" s="4">
        <f>$L$4*'NIFTY MEMBS'!M167</f>
        <v>19623.176550783912</v>
      </c>
      <c r="M178" s="4">
        <f>$M$4*'NIFTY MEMBS'!N167</f>
        <v>26564.24257023813</v>
      </c>
      <c r="N178" s="4">
        <f>$N$4*'NIFTY MEMBS'!O167</f>
        <v>21514.600908500972</v>
      </c>
      <c r="O178" s="4">
        <f>$O$4*'NIFTY MEMBS'!P167</f>
        <v>22015.209125475281</v>
      </c>
      <c r="P178" s="4">
        <f>$P$4*'NIFTY MEMBS'!Q167</f>
        <v>15360.234315750935</v>
      </c>
      <c r="Q178" s="4">
        <f>$Q$4*'NIFTY MEMBS'!R167</f>
        <v>16543.294796158625</v>
      </c>
      <c r="R178" s="4">
        <f>$R$4*'NIFTY MEMBS'!S167</f>
        <v>22409.364899100201</v>
      </c>
      <c r="S178" s="4">
        <f>$S$4*'NIFTY MEMBS'!T167</f>
        <v>19807.799962679605</v>
      </c>
      <c r="T178" s="4">
        <f>$T$4*'NIFTY MEMBS'!U167</f>
        <v>24657.44734838873</v>
      </c>
      <c r="U178" s="4">
        <f>$U$4*'NIFTY MEMBS'!V167</f>
        <v>22241.959524870537</v>
      </c>
      <c r="V178" s="4">
        <f>$V$4*'NIFTY MEMBS'!W167</f>
        <v>19823.167990409111</v>
      </c>
      <c r="W178" s="4">
        <f>$W$4*'NIFTY MEMBS'!X167</f>
        <v>23226.039783001812</v>
      </c>
      <c r="X178" s="4">
        <f>$X$4*'NIFTY MEMBS'!Y167</f>
        <v>21913.51440059079</v>
      </c>
      <c r="Y178" s="4">
        <f>$Y$4*'NIFTY MEMBS'!Z167</f>
        <v>20149.398607301118</v>
      </c>
      <c r="Z178" s="4">
        <f>$Z$4*'NIFTY MEMBS'!AA167</f>
        <v>25444.028581150054</v>
      </c>
      <c r="AA178" s="4">
        <f>$AA$4*'NIFTY MEMBS'!AB167</f>
        <v>22872.604782152521</v>
      </c>
      <c r="AB178" s="4">
        <f>$AB$4*'NIFTY MEMBS'!AC167</f>
        <v>16673.992673992674</v>
      </c>
      <c r="AC178" s="4">
        <f>$AC$4*'NIFTY MEMBS'!AD167</f>
        <v>18031.572164948455</v>
      </c>
      <c r="AD178" s="4">
        <f>$AD$4*'NIFTY MEMBS'!AE167</f>
        <v>18422.42242242242</v>
      </c>
      <c r="AE178" s="4">
        <f>$AE$4*'NIFTY MEMBS'!AF167</f>
        <v>20518.159612381372</v>
      </c>
      <c r="AF178" s="4">
        <f>$AF$4*'NIFTY MEMBS'!AG167</f>
        <v>22304.471394788794</v>
      </c>
      <c r="AG178" s="4">
        <f>$AG$4*'NIFTY MEMBS'!AH167</f>
        <v>19560.041407867495</v>
      </c>
      <c r="AH178" s="4">
        <f>$AH$4*'NIFTY MEMBS'!AI167</f>
        <v>21655.510685770136</v>
      </c>
      <c r="AI178" s="4">
        <f>$AI$4*'NIFTY MEMBS'!AJ167</f>
        <v>22841.889717712442</v>
      </c>
      <c r="AJ178" s="4">
        <f>$AJ$4*'NIFTY MEMBS'!AK167</f>
        <v>20630.645426178358</v>
      </c>
      <c r="AK178" s="4">
        <f>$AK$4*'NIFTY MEMBS'!AL167</f>
        <v>22962.553487705503</v>
      </c>
      <c r="AL178" s="4">
        <f>$AL$4*'NIFTY MEMBS'!AM167</f>
        <v>25709.782408449835</v>
      </c>
      <c r="AM178" s="4">
        <f>$AM$4*'NIFTY MEMBS'!AN167</f>
        <v>15421.509468665332</v>
      </c>
      <c r="AN178" s="4">
        <f>$AN$4*'NIFTY MEMBS'!AO167</f>
        <v>25846.900885461291</v>
      </c>
      <c r="AO178" s="4">
        <f>$AO$4*'NIFTY MEMBS'!AP167</f>
        <v>25333.765392093319</v>
      </c>
      <c r="AP178" s="4">
        <f>$AP$4*'NIFTY MEMBS'!AQ167</f>
        <v>24271.861033813981</v>
      </c>
      <c r="AQ178" s="4">
        <f>$AQ$4*'NIFTY MEMBS'!AR167</f>
        <v>17671.743404642428</v>
      </c>
      <c r="AR178" s="4">
        <f>$AR$4*'NIFTY MEMBS'!AS167</f>
        <v>20759.924138382055</v>
      </c>
      <c r="AS178" s="4">
        <f>$AS$4*'NIFTY MEMBS'!AT167</f>
        <v>20819.170516917355</v>
      </c>
      <c r="AT178" s="4">
        <f>$AT$4*'NIFTY MEMBS'!AU167</f>
        <v>20166.857965155123</v>
      </c>
      <c r="AU178" s="4">
        <f>$AU$4*'NIFTY MEMBS'!AV167</f>
        <v>23377.15962186244</v>
      </c>
      <c r="AV178" s="4">
        <f>$AV$4*'NIFTY MEMBS'!AW167</f>
        <v>18698.319941563186</v>
      </c>
      <c r="AW178" s="4">
        <f>$AW$4*'NIFTY MEMBS'!AX167</f>
        <v>25064.824883195717</v>
      </c>
      <c r="AX178" s="4">
        <f>$AX$4*'NIFTY MEMBS'!AY167</f>
        <v>15532.288013204046</v>
      </c>
      <c r="AY178" s="4">
        <f t="shared" si="12"/>
        <v>1033336.1692763133</v>
      </c>
      <c r="AZ178" s="4">
        <f t="shared" si="13"/>
        <v>105.44246625268502</v>
      </c>
    </row>
    <row r="179" spans="1:66" ht="14.25" customHeight="1" x14ac:dyDescent="0.3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spans="1:66" ht="14.25" customHeight="1" x14ac:dyDescent="0.3">
      <c r="A180" s="11"/>
      <c r="AZ180" t="s">
        <v>84</v>
      </c>
    </row>
    <row r="181" spans="1:66" ht="14.25" customHeight="1" x14ac:dyDescent="0.3">
      <c r="A181" s="13" t="s">
        <v>0</v>
      </c>
      <c r="B181" s="13" t="s">
        <v>7</v>
      </c>
      <c r="C181" s="13" t="s">
        <v>8</v>
      </c>
      <c r="D181" s="13" t="s">
        <v>9</v>
      </c>
      <c r="E181" s="13" t="s">
        <v>10</v>
      </c>
      <c r="F181" s="13" t="s">
        <v>11</v>
      </c>
      <c r="G181" s="13" t="s">
        <v>12</v>
      </c>
      <c r="H181" s="13" t="s">
        <v>13</v>
      </c>
      <c r="I181" s="13" t="s">
        <v>14</v>
      </c>
      <c r="J181" s="13" t="s">
        <v>15</v>
      </c>
      <c r="K181" s="13" t="s">
        <v>16</v>
      </c>
      <c r="L181" s="13" t="s">
        <v>17</v>
      </c>
      <c r="M181" s="13" t="s">
        <v>18</v>
      </c>
      <c r="N181" s="13" t="s">
        <v>19</v>
      </c>
      <c r="O181" s="13" t="s">
        <v>20</v>
      </c>
      <c r="P181" s="13" t="s">
        <v>21</v>
      </c>
      <c r="Q181" s="13" t="s">
        <v>22</v>
      </c>
      <c r="R181" s="13" t="s">
        <v>23</v>
      </c>
      <c r="S181" s="13" t="s">
        <v>24</v>
      </c>
      <c r="T181" s="13" t="s">
        <v>25</v>
      </c>
      <c r="U181" s="13" t="s">
        <v>26</v>
      </c>
      <c r="V181" s="13" t="s">
        <v>27</v>
      </c>
      <c r="W181" s="13" t="s">
        <v>28</v>
      </c>
      <c r="X181" s="13" t="s">
        <v>29</v>
      </c>
      <c r="Y181" s="13" t="s">
        <v>30</v>
      </c>
      <c r="Z181" s="13" t="s">
        <v>31</v>
      </c>
      <c r="AA181" s="13" t="s">
        <v>32</v>
      </c>
      <c r="AB181" s="13" t="s">
        <v>33</v>
      </c>
      <c r="AC181" s="13" t="s">
        <v>34</v>
      </c>
      <c r="AD181" s="13" t="s">
        <v>35</v>
      </c>
      <c r="AE181" s="13" t="s">
        <v>36</v>
      </c>
      <c r="AF181" s="13" t="s">
        <v>37</v>
      </c>
      <c r="AG181" s="13" t="s">
        <v>38</v>
      </c>
      <c r="AH181" s="13" t="s">
        <v>39</v>
      </c>
      <c r="AI181" s="13" t="s">
        <v>40</v>
      </c>
      <c r="AJ181" s="13" t="s">
        <v>41</v>
      </c>
      <c r="AK181" s="13" t="s">
        <v>42</v>
      </c>
      <c r="AL181" s="13" t="s">
        <v>43</v>
      </c>
      <c r="AM181" s="13" t="s">
        <v>44</v>
      </c>
      <c r="AN181" s="13" t="s">
        <v>45</v>
      </c>
      <c r="AO181" s="13" t="s">
        <v>46</v>
      </c>
      <c r="AP181" s="13" t="s">
        <v>47</v>
      </c>
      <c r="AQ181" s="13" t="s">
        <v>48</v>
      </c>
      <c r="AR181" s="13" t="s">
        <v>49</v>
      </c>
      <c r="AS181" s="13" t="s">
        <v>50</v>
      </c>
      <c r="AT181" s="13" t="s">
        <v>51</v>
      </c>
      <c r="AU181" s="13" t="s">
        <v>52</v>
      </c>
      <c r="AV181" s="13" t="s">
        <v>53</v>
      </c>
      <c r="AW181" s="13" t="s">
        <v>54</v>
      </c>
      <c r="AX181" s="13" t="s">
        <v>55</v>
      </c>
      <c r="AZ181" t="s">
        <v>84</v>
      </c>
    </row>
    <row r="182" spans="1:66" ht="14.25" customHeight="1" x14ac:dyDescent="0.3">
      <c r="A182" s="2">
        <v>45658</v>
      </c>
      <c r="B182">
        <f>B13/$B$13*100</f>
        <v>100</v>
      </c>
      <c r="C182">
        <f>C13/$C$13*100</f>
        <v>100</v>
      </c>
      <c r="D182">
        <f>D13/$D$13*100</f>
        <v>100</v>
      </c>
      <c r="E182">
        <f>E13/$E$13*100</f>
        <v>100</v>
      </c>
      <c r="F182">
        <f>F13/$F$13*100</f>
        <v>100</v>
      </c>
      <c r="G182">
        <f>G13/$G$13*100</f>
        <v>100</v>
      </c>
      <c r="H182">
        <f>H13/$H$13*100</f>
        <v>100</v>
      </c>
      <c r="I182">
        <f>I13/$I$13*100</f>
        <v>100</v>
      </c>
      <c r="J182">
        <f>J13/$J$13*100</f>
        <v>100</v>
      </c>
      <c r="K182">
        <f>K13/$K$13*100</f>
        <v>100</v>
      </c>
      <c r="L182">
        <f>L13/$L$13*100</f>
        <v>100</v>
      </c>
      <c r="M182">
        <f>M13/$M$13*100</f>
        <v>100</v>
      </c>
      <c r="N182">
        <f>N13/$N$13*100</f>
        <v>100</v>
      </c>
      <c r="O182">
        <f>O13/$O$13*100</f>
        <v>100</v>
      </c>
      <c r="P182">
        <f>P13/$P$13*100</f>
        <v>100</v>
      </c>
      <c r="Q182">
        <f>Q13/$Q$13*100</f>
        <v>100</v>
      </c>
      <c r="R182">
        <f>R13/$R$13*100</f>
        <v>100</v>
      </c>
      <c r="S182">
        <f>S13/$S$13*100</f>
        <v>100</v>
      </c>
      <c r="T182">
        <f>T13/$T$13*100</f>
        <v>100</v>
      </c>
      <c r="U182">
        <f>U13/$U$13*100</f>
        <v>100</v>
      </c>
      <c r="V182">
        <f>V13/$V$13*100</f>
        <v>100</v>
      </c>
      <c r="W182">
        <f>W13/$W$13*100</f>
        <v>100</v>
      </c>
      <c r="X182">
        <f>X13/$X$13*100</f>
        <v>100</v>
      </c>
      <c r="Y182">
        <f>Y13/$Y$13*100</f>
        <v>100</v>
      </c>
      <c r="Z182">
        <f>Z13/$Z$13*100</f>
        <v>100</v>
      </c>
      <c r="AA182">
        <f>AA13/$AA$13*100</f>
        <v>100</v>
      </c>
      <c r="AB182">
        <f>AB13/$AB$13*100</f>
        <v>100</v>
      </c>
      <c r="AC182">
        <f>AC13/AC$13*100</f>
        <v>100</v>
      </c>
      <c r="AD182">
        <f>AD13/$AD$13*100</f>
        <v>100</v>
      </c>
      <c r="AE182">
        <f>AE13/$AE$13*100</f>
        <v>100</v>
      </c>
      <c r="AF182">
        <f>AF13/$AF$13*100</f>
        <v>100</v>
      </c>
      <c r="AG182">
        <f>AG13/$AG$13*100</f>
        <v>100</v>
      </c>
      <c r="AH182">
        <f>AH13/$AH$13*100</f>
        <v>100</v>
      </c>
      <c r="AI182">
        <f>AI13/$AI$13*100</f>
        <v>100</v>
      </c>
      <c r="AJ182">
        <f>AJ13/$AJ$13*100</f>
        <v>100</v>
      </c>
      <c r="AK182">
        <f>AK13/$AK$13*100</f>
        <v>100</v>
      </c>
      <c r="AL182">
        <f>AL13/$AL$13*100</f>
        <v>100</v>
      </c>
      <c r="AM182">
        <f>AM13/$AM$13*100</f>
        <v>100</v>
      </c>
      <c r="AN182">
        <f>AN13/$AN$13*100</f>
        <v>100</v>
      </c>
      <c r="AO182">
        <f>AO13/$AO$13*100</f>
        <v>100</v>
      </c>
      <c r="AP182">
        <f>AP13/$AP$13*100</f>
        <v>100</v>
      </c>
      <c r="AQ182">
        <f>AQ13/$AQ$13*100</f>
        <v>100</v>
      </c>
      <c r="AR182">
        <f>AR13/$AR$13*100</f>
        <v>100</v>
      </c>
      <c r="AS182">
        <f>AS13/$AS$13*100</f>
        <v>100</v>
      </c>
      <c r="AT182">
        <f>AT13/$AT$13*100</f>
        <v>100</v>
      </c>
      <c r="AU182">
        <f>AU13/$AU$13*100</f>
        <v>100</v>
      </c>
      <c r="AV182">
        <f>AV13/$AV$13*100</f>
        <v>100</v>
      </c>
      <c r="AW182">
        <f>AW13/$AW$13*100</f>
        <v>100</v>
      </c>
      <c r="AX182">
        <f>AX13/$AX$13*100</f>
        <v>100</v>
      </c>
      <c r="AY182">
        <f t="shared" ref="AY182" si="14">AY13/$B$13*100</f>
        <v>4900</v>
      </c>
    </row>
    <row r="183" spans="1:66" ht="14.25" customHeight="1" x14ac:dyDescent="0.3">
      <c r="A183" s="2">
        <v>45659</v>
      </c>
      <c r="B183" s="4">
        <f t="shared" ref="B183:B246" si="15">B14/$B$13*100</f>
        <v>101.68270214943705</v>
      </c>
      <c r="C183" s="4">
        <f t="shared" ref="C183:C246" si="16">C14/$C$13*100</f>
        <v>100.61702079921022</v>
      </c>
      <c r="D183" s="4">
        <f t="shared" ref="D183:D246" si="17">D14/$D$13*100</f>
        <v>100.87735789935452</v>
      </c>
      <c r="E183" s="4">
        <f t="shared" ref="E183:E246" si="18">E14/$E$13*100</f>
        <v>101.53922844046737</v>
      </c>
      <c r="F183" s="4">
        <f t="shared" ref="F183:F246" si="19">F14/$F$13*100</f>
        <v>100.54142484322048</v>
      </c>
      <c r="G183" s="4">
        <f t="shared" ref="G183:G246" si="20">G14/$G$13*100</f>
        <v>101.00857286938979</v>
      </c>
      <c r="H183" s="4">
        <f t="shared" ref="H183:H246" si="21">H14/$H$13*100</f>
        <v>104.00265604249668</v>
      </c>
      <c r="I183" s="4">
        <f t="shared" ref="I183:I246" si="22">I14/$I$13*100</f>
        <v>102.06278799362647</v>
      </c>
      <c r="J183" s="4">
        <f t="shared" ref="J183:J246" si="23">J14/$J$13*100</f>
        <v>106.54477816388621</v>
      </c>
      <c r="K183" s="4">
        <f t="shared" ref="K183:K246" si="24">K14/$K$13*100</f>
        <v>101.05499978157353</v>
      </c>
      <c r="L183" s="4">
        <f t="shared" ref="L183:L246" si="25">L14/$L$13*100</f>
        <v>101.2542603953647</v>
      </c>
      <c r="M183" s="4">
        <f t="shared" ref="M183:M246" si="26">M14/$M$13*100</f>
        <v>105.64760043896042</v>
      </c>
      <c r="N183" s="4">
        <f t="shared" ref="N183:N246" si="27">N14/$N$13*100</f>
        <v>104.18883841661257</v>
      </c>
      <c r="O183" s="4">
        <f t="shared" ref="O183:O246" si="28">O14/$O$13*100</f>
        <v>102.72590024602997</v>
      </c>
      <c r="P183" s="4">
        <f t="shared" ref="P183:P246" si="29">P14/$P$13*100</f>
        <v>103.15123303433667</v>
      </c>
      <c r="Q183" s="4">
        <f t="shared" ref="Q183:Q246" si="30">Q14/$Q$13*100</f>
        <v>99.367708140426984</v>
      </c>
      <c r="R183" s="4">
        <f t="shared" ref="R183:R246" si="31">R14/$R$13*100</f>
        <v>103.06368480824671</v>
      </c>
      <c r="S183" s="4">
        <f t="shared" ref="S183:S246" si="32">S14/$S$13*100</f>
        <v>101.38085463705914</v>
      </c>
      <c r="T183" s="4">
        <f t="shared" ref="T183:T246" si="33">T14/$T$13*100</f>
        <v>107.88188277087033</v>
      </c>
      <c r="U183" s="4">
        <f t="shared" ref="U183:U246" si="34">U14/$U$13*100</f>
        <v>104.152004548458</v>
      </c>
      <c r="V183" s="4">
        <f t="shared" ref="V183:V246" si="35">V14/$V$13*100</f>
        <v>101.30376142664468</v>
      </c>
      <c r="W183" s="4">
        <f t="shared" ref="W183:W246" si="36">W14/$W$13*100</f>
        <v>102.92947558770345</v>
      </c>
      <c r="X183" s="4">
        <f t="shared" ref="X183:X246" si="37">X14/$X$13*100</f>
        <v>100.59899893328956</v>
      </c>
      <c r="Y183" s="4">
        <f t="shared" ref="Y183:Y246" si="38">Y14/$Y$13*100</f>
        <v>103.84891327284238</v>
      </c>
      <c r="Z183" s="4">
        <f t="shared" ref="Z183:Z246" si="39">Z14/$Z$13*100</f>
        <v>100.98673018033347</v>
      </c>
      <c r="AA183" s="4">
        <f t="shared" ref="AA183:AA246" si="40">AA14/$AA$13*100</f>
        <v>100.77861836655806</v>
      </c>
      <c r="AB183" s="4">
        <f t="shared" ref="AB183:AB246" si="41">AB14/$AB$13*100</f>
        <v>101.16550116550118</v>
      </c>
      <c r="AC183" s="4">
        <f t="shared" ref="AC183:AC246" si="42">AC14/AC$13*100</f>
        <v>101.53028350515463</v>
      </c>
      <c r="AD183" s="4">
        <f t="shared" ref="AD183:AD246" si="43">AD14/$AD$13*100</f>
        <v>102.10877544210877</v>
      </c>
      <c r="AE183" s="4">
        <f t="shared" ref="AE183:AE246" si="44">AE14/$AE$13*100</f>
        <v>103.87790242032824</v>
      </c>
      <c r="AF183" s="4">
        <f t="shared" ref="AF183:AF246" si="45">AF14/$AF$13*100</f>
        <v>101.67487470982579</v>
      </c>
      <c r="AG183" s="4">
        <f t="shared" ref="AG183:AG246" si="46">AG14/$AG$13*100</f>
        <v>101.69513457556936</v>
      </c>
      <c r="AH183" s="4">
        <f t="shared" ref="AH183:AH246" si="47">AH14/$AH$13*100</f>
        <v>101.42722796924268</v>
      </c>
      <c r="AI183" s="4">
        <f t="shared" ref="AI183:AI246" si="48">AI14/$AI$13*100</f>
        <v>101.05309346204476</v>
      </c>
      <c r="AJ183" s="4">
        <f t="shared" ref="AJ183:AJ246" si="49">AJ14/$AJ$13*100</f>
        <v>100.08211528986696</v>
      </c>
      <c r="AK183" s="4">
        <f t="shared" ref="AK183:AK246" si="50">AK14/$AK$13*100</f>
        <v>104.16845812091802</v>
      </c>
      <c r="AL183" s="4">
        <f t="shared" ref="AL183:AL246" si="51">AL14/$AL$13*100</f>
        <v>108.65453503367245</v>
      </c>
      <c r="AM183" s="4">
        <f t="shared" ref="AM183:AM246" si="52">AM14/$AM$13*100</f>
        <v>103.57878056889807</v>
      </c>
      <c r="AN183" s="4">
        <f t="shared" ref="AN183:AN246" si="53">AN14/$AN$13*100</f>
        <v>101.56026849471577</v>
      </c>
      <c r="AO183" s="4">
        <f t="shared" ref="AO183:AO246" si="54">AO14/$AO$13*100</f>
        <v>100.47796500324044</v>
      </c>
      <c r="AP183" s="4">
        <f t="shared" ref="AP183:AP246" si="55">AP14/$AP$13*100</f>
        <v>101.02032211822242</v>
      </c>
      <c r="AQ183" s="4">
        <f t="shared" ref="AQ183:AQ246" si="56">AQ14/$AQ$13*100</f>
        <v>101.3557531472841</v>
      </c>
      <c r="AR183" s="4">
        <f t="shared" ref="AR183:AR246" si="57">AR14/$AR$13*100</f>
        <v>100.57550192923944</v>
      </c>
      <c r="AS183" s="4">
        <f t="shared" ref="AS183:AS246" si="58">AS14/$AS$13*100</f>
        <v>100.70559660228096</v>
      </c>
      <c r="AT183" s="4">
        <f t="shared" ref="AT183:AT246" si="59">AT14/$AT$13*100</f>
        <v>104.84470560019186</v>
      </c>
      <c r="AU183" s="4">
        <f t="shared" ref="AU183:AU246" si="60">AU14/$AU$13*100</f>
        <v>101.01597305226558</v>
      </c>
      <c r="AV183" s="4">
        <f t="shared" ref="AV183:AV246" si="61">AV14/$AV$13*100</f>
        <v>100.44192841490141</v>
      </c>
      <c r="AW183" s="4">
        <f t="shared" ref="AW183:AW246" si="62">AW14/$AW$13*100</f>
        <v>103.03870374132183</v>
      </c>
      <c r="AX183" s="4">
        <f t="shared" ref="AX183:AX246" si="63">AX14/$AX$13*100</f>
        <v>102.26428718795133</v>
      </c>
    </row>
    <row r="184" spans="1:66" ht="14.25" customHeight="1" x14ac:dyDescent="0.3">
      <c r="A184" s="2">
        <v>45660</v>
      </c>
      <c r="B184" s="4">
        <f t="shared" si="15"/>
        <v>102.44831115660185</v>
      </c>
      <c r="C184" s="4">
        <f t="shared" si="16"/>
        <v>98.117525634409574</v>
      </c>
      <c r="D184" s="4">
        <f t="shared" si="17"/>
        <v>100.19740552735475</v>
      </c>
      <c r="E184" s="4">
        <f t="shared" si="18"/>
        <v>99.694829116463396</v>
      </c>
      <c r="F184" s="4">
        <f t="shared" si="19"/>
        <v>98.551006894402676</v>
      </c>
      <c r="G184" s="4">
        <f t="shared" si="20"/>
        <v>100.02521432173472</v>
      </c>
      <c r="H184" s="4">
        <f t="shared" si="21"/>
        <v>102.98804780876493</v>
      </c>
      <c r="I184" s="4">
        <f t="shared" si="22"/>
        <v>103.62387494078638</v>
      </c>
      <c r="J184" s="4">
        <f t="shared" si="23"/>
        <v>106.80431992848183</v>
      </c>
      <c r="K184" s="4">
        <f t="shared" si="24"/>
        <v>99.515093268096621</v>
      </c>
      <c r="L184" s="4">
        <f t="shared" si="25"/>
        <v>99.792774369461483</v>
      </c>
      <c r="M184" s="4">
        <f t="shared" si="26"/>
        <v>106.47689658556607</v>
      </c>
      <c r="N184" s="4">
        <f t="shared" si="27"/>
        <v>103.52206359506815</v>
      </c>
      <c r="O184" s="4">
        <f t="shared" si="28"/>
        <v>102.80977409975395</v>
      </c>
      <c r="P184" s="4">
        <f t="shared" si="29"/>
        <v>101.814901017286</v>
      </c>
      <c r="Q184" s="4">
        <f t="shared" si="30"/>
        <v>97.867668456837478</v>
      </c>
      <c r="R184" s="4">
        <f t="shared" si="31"/>
        <v>102.96147462217174</v>
      </c>
      <c r="S184" s="4">
        <f t="shared" si="32"/>
        <v>101.22224295577536</v>
      </c>
      <c r="T184" s="4">
        <f t="shared" si="33"/>
        <v>107.91042882517125</v>
      </c>
      <c r="U184" s="4">
        <f t="shared" si="34"/>
        <v>106.07895262535152</v>
      </c>
      <c r="V184" s="4">
        <f t="shared" si="35"/>
        <v>101.85823467705681</v>
      </c>
      <c r="W184" s="4">
        <f t="shared" si="36"/>
        <v>98.679927667269467</v>
      </c>
      <c r="X184" s="4">
        <f t="shared" si="37"/>
        <v>98.428653483219819</v>
      </c>
      <c r="Y184" s="4">
        <f t="shared" si="38"/>
        <v>109.25933741295633</v>
      </c>
      <c r="Z184" s="4">
        <f t="shared" si="39"/>
        <v>99.336509016672352</v>
      </c>
      <c r="AA184" s="4">
        <f t="shared" si="40"/>
        <v>101.06024628637694</v>
      </c>
      <c r="AB184" s="4">
        <f t="shared" si="41"/>
        <v>98.051948051948031</v>
      </c>
      <c r="AC184" s="4">
        <f t="shared" si="42"/>
        <v>101.8202319587629</v>
      </c>
      <c r="AD184" s="4">
        <f t="shared" si="43"/>
        <v>105.49215882549214</v>
      </c>
      <c r="AE184" s="4">
        <f t="shared" si="44"/>
        <v>102.57592485598734</v>
      </c>
      <c r="AF184" s="4">
        <f t="shared" si="45"/>
        <v>101.35812379320069</v>
      </c>
      <c r="AG184" s="4">
        <f t="shared" si="46"/>
        <v>101.87629399585923</v>
      </c>
      <c r="AH184" s="4">
        <f t="shared" si="47"/>
        <v>102.92544854419062</v>
      </c>
      <c r="AI184" s="4">
        <f t="shared" si="48"/>
        <v>101.18473014480035</v>
      </c>
      <c r="AJ184" s="4">
        <f t="shared" si="49"/>
        <v>100.98538347840366</v>
      </c>
      <c r="AK184" s="4">
        <f t="shared" si="50"/>
        <v>102.77828962184961</v>
      </c>
      <c r="AL184" s="4">
        <f t="shared" si="51"/>
        <v>108.70877939942274</v>
      </c>
      <c r="AM184" s="4">
        <f t="shared" si="52"/>
        <v>103.3906098570327</v>
      </c>
      <c r="AN184" s="4">
        <f t="shared" si="53"/>
        <v>103.37760639817193</v>
      </c>
      <c r="AO184" s="4">
        <f t="shared" si="54"/>
        <v>100.9397278029812</v>
      </c>
      <c r="AP184" s="4">
        <f t="shared" si="55"/>
        <v>99.696433088793313</v>
      </c>
      <c r="AQ184" s="4">
        <f t="shared" si="56"/>
        <v>99.154855180913813</v>
      </c>
      <c r="AR184" s="4">
        <f t="shared" si="57"/>
        <v>98.832646654895029</v>
      </c>
      <c r="AS184" s="4">
        <f t="shared" si="58"/>
        <v>99.032518504949351</v>
      </c>
      <c r="AT184" s="4">
        <f t="shared" si="59"/>
        <v>104.44383533482946</v>
      </c>
      <c r="AU184" s="4">
        <f t="shared" si="60"/>
        <v>102.08084320330329</v>
      </c>
      <c r="AV184" s="4">
        <f t="shared" si="61"/>
        <v>98.805697589481383</v>
      </c>
      <c r="AW184" s="4">
        <f t="shared" si="62"/>
        <v>101.40404124893949</v>
      </c>
      <c r="AX184" s="4">
        <f t="shared" si="63"/>
        <v>102.93996286362699</v>
      </c>
    </row>
    <row r="185" spans="1:66" ht="14.25" customHeight="1" x14ac:dyDescent="0.3">
      <c r="A185" s="2">
        <v>45663</v>
      </c>
      <c r="B185" s="4">
        <f t="shared" si="15"/>
        <v>99.733879222108499</v>
      </c>
      <c r="C185" s="4">
        <f t="shared" si="16"/>
        <v>95.946734277188185</v>
      </c>
      <c r="D185" s="4">
        <f t="shared" si="17"/>
        <v>99.545653944977133</v>
      </c>
      <c r="E185" s="4">
        <f t="shared" si="18"/>
        <v>99.575678731656311</v>
      </c>
      <c r="F185" s="4">
        <f t="shared" si="19"/>
        <v>98.476999182020009</v>
      </c>
      <c r="G185" s="4">
        <f t="shared" si="20"/>
        <v>97.881996974281378</v>
      </c>
      <c r="H185" s="4">
        <f t="shared" si="21"/>
        <v>102.9402390438247</v>
      </c>
      <c r="I185" s="4">
        <f t="shared" si="22"/>
        <v>102.3297876921752</v>
      </c>
      <c r="J185" s="4">
        <f t="shared" si="23"/>
        <v>105.96946058569922</v>
      </c>
      <c r="K185" s="4">
        <f t="shared" si="24"/>
        <v>96.686470665326979</v>
      </c>
      <c r="L185" s="4">
        <f t="shared" si="25"/>
        <v>98.246762099522826</v>
      </c>
      <c r="M185" s="4">
        <f t="shared" si="26"/>
        <v>104.883434597575</v>
      </c>
      <c r="N185" s="4">
        <f t="shared" si="27"/>
        <v>100.76898118105126</v>
      </c>
      <c r="O185" s="4">
        <f t="shared" si="28"/>
        <v>99.510735853276671</v>
      </c>
      <c r="P185" s="4">
        <f t="shared" si="29"/>
        <v>102.14963780433588</v>
      </c>
      <c r="Q185" s="4">
        <f t="shared" si="30"/>
        <v>97.748617688298637</v>
      </c>
      <c r="R185" s="4">
        <f t="shared" si="31"/>
        <v>100.49445269502925</v>
      </c>
      <c r="S185" s="4">
        <f t="shared" si="32"/>
        <v>99.21627169247995</v>
      </c>
      <c r="T185" s="4">
        <f t="shared" si="33"/>
        <v>106.86374016747018</v>
      </c>
      <c r="U185" s="4">
        <f t="shared" si="34"/>
        <v>106.655193078968</v>
      </c>
      <c r="V185" s="4">
        <f t="shared" si="35"/>
        <v>98.156751086467864</v>
      </c>
      <c r="W185" s="4">
        <f t="shared" si="36"/>
        <v>95.786618444846312</v>
      </c>
      <c r="X185" s="4">
        <f t="shared" si="37"/>
        <v>95.433658816771967</v>
      </c>
      <c r="Y185" s="4">
        <f t="shared" si="38"/>
        <v>107.34754167545897</v>
      </c>
      <c r="Z185" s="4">
        <f t="shared" si="39"/>
        <v>96.002041510717945</v>
      </c>
      <c r="AA185" s="4">
        <f t="shared" si="40"/>
        <v>99.49748743718591</v>
      </c>
      <c r="AB185" s="4">
        <f t="shared" si="41"/>
        <v>98.001998001998004</v>
      </c>
      <c r="AC185" s="4">
        <f t="shared" si="42"/>
        <v>98.582474226804123</v>
      </c>
      <c r="AD185" s="4">
        <f t="shared" si="43"/>
        <v>103.60360360360362</v>
      </c>
      <c r="AE185" s="4">
        <f t="shared" si="44"/>
        <v>100.95302927161336</v>
      </c>
      <c r="AF185" s="4">
        <f t="shared" si="45"/>
        <v>98.372854880350587</v>
      </c>
      <c r="AG185" s="4">
        <f t="shared" si="46"/>
        <v>98.020186335403722</v>
      </c>
      <c r="AH185" s="4">
        <f t="shared" si="47"/>
        <v>100.72652173111322</v>
      </c>
      <c r="AI185" s="4">
        <f t="shared" si="48"/>
        <v>96.66520403685827</v>
      </c>
      <c r="AJ185" s="4">
        <f t="shared" si="49"/>
        <v>97.454426014123811</v>
      </c>
      <c r="AK185" s="4">
        <f t="shared" si="50"/>
        <v>100.75343447372191</v>
      </c>
      <c r="AL185" s="4">
        <f t="shared" si="51"/>
        <v>107.46729985875993</v>
      </c>
      <c r="AM185" s="4">
        <f t="shared" si="52"/>
        <v>99.013872284434896</v>
      </c>
      <c r="AN185" s="4">
        <f t="shared" si="53"/>
        <v>102.44572979148813</v>
      </c>
      <c r="AO185" s="4">
        <f t="shared" si="54"/>
        <v>98.177252106286474</v>
      </c>
      <c r="AP185" s="4">
        <f t="shared" si="55"/>
        <v>96.820979846530065</v>
      </c>
      <c r="AQ185" s="4">
        <f t="shared" si="56"/>
        <v>98.969979751738705</v>
      </c>
      <c r="AR185" s="4">
        <f t="shared" si="57"/>
        <v>97.534497416781122</v>
      </c>
      <c r="AS185" s="4">
        <f t="shared" si="58"/>
        <v>100.80736534299457</v>
      </c>
      <c r="AT185" s="4">
        <f t="shared" si="59"/>
        <v>101.7439569664057</v>
      </c>
      <c r="AU185" s="4">
        <f t="shared" si="60"/>
        <v>102.89036183853091</v>
      </c>
      <c r="AV185" s="4">
        <f t="shared" si="61"/>
        <v>98.637691745799856</v>
      </c>
      <c r="AW185" s="4">
        <f t="shared" si="62"/>
        <v>100.44092869860313</v>
      </c>
      <c r="AX185" s="4">
        <f t="shared" si="63"/>
        <v>100.06705178460903</v>
      </c>
    </row>
    <row r="186" spans="1:66" ht="14.25" customHeight="1" x14ac:dyDescent="0.3">
      <c r="A186" s="2">
        <v>45664</v>
      </c>
      <c r="B186" s="4">
        <f t="shared" si="15"/>
        <v>101.60491299897645</v>
      </c>
      <c r="C186" s="4">
        <f t="shared" si="16"/>
        <v>96.109403396979971</v>
      </c>
      <c r="D186" s="4">
        <f t="shared" si="17"/>
        <v>99.696058156295038</v>
      </c>
      <c r="E186" s="4">
        <f t="shared" si="18"/>
        <v>97.953774513975858</v>
      </c>
      <c r="F186" s="4">
        <f t="shared" si="19"/>
        <v>99.657227437385572</v>
      </c>
      <c r="G186" s="4">
        <f t="shared" si="20"/>
        <v>98.178265254664637</v>
      </c>
      <c r="H186" s="4">
        <f t="shared" si="21"/>
        <v>102.56839309428949</v>
      </c>
      <c r="I186" s="4">
        <f t="shared" si="22"/>
        <v>102.95852891778996</v>
      </c>
      <c r="J186" s="4">
        <f t="shared" si="23"/>
        <v>106.03722982423254</v>
      </c>
      <c r="K186" s="4">
        <f t="shared" si="24"/>
        <v>96.347909658817883</v>
      </c>
      <c r="L186" s="4">
        <f t="shared" si="25"/>
        <v>99.340149965916851</v>
      </c>
      <c r="M186" s="4">
        <f t="shared" si="26"/>
        <v>104.57696528465512</v>
      </c>
      <c r="N186" s="4">
        <f t="shared" si="27"/>
        <v>100.87118754055808</v>
      </c>
      <c r="O186" s="4">
        <f t="shared" si="28"/>
        <v>99.085774994408411</v>
      </c>
      <c r="P186" s="4">
        <f t="shared" si="29"/>
        <v>100.20659536075736</v>
      </c>
      <c r="Q186" s="4">
        <f t="shared" si="30"/>
        <v>98.066086404402228</v>
      </c>
      <c r="R186" s="4">
        <f t="shared" si="31"/>
        <v>101.49864593343231</v>
      </c>
      <c r="S186" s="4">
        <f t="shared" si="32"/>
        <v>99.598805747340919</v>
      </c>
      <c r="T186" s="4">
        <f t="shared" si="33"/>
        <v>106.74638416645521</v>
      </c>
      <c r="U186" s="4">
        <f t="shared" si="34"/>
        <v>107.7216220784609</v>
      </c>
      <c r="V186" s="4">
        <f t="shared" si="35"/>
        <v>98.486437884010186</v>
      </c>
      <c r="W186" s="4">
        <f t="shared" si="36"/>
        <v>91.301989150090407</v>
      </c>
      <c r="X186" s="4">
        <f t="shared" si="37"/>
        <v>96.332157216706321</v>
      </c>
      <c r="Y186" s="4">
        <f t="shared" si="38"/>
        <v>111.20067524794261</v>
      </c>
      <c r="Z186" s="4">
        <f t="shared" si="39"/>
        <v>97.65226267437906</v>
      </c>
      <c r="AA186" s="4">
        <f t="shared" si="40"/>
        <v>100.70130874150975</v>
      </c>
      <c r="AB186" s="4">
        <f t="shared" si="41"/>
        <v>97.918747918747911</v>
      </c>
      <c r="AC186" s="4">
        <f t="shared" si="42"/>
        <v>98.276417525773212</v>
      </c>
      <c r="AD186" s="4">
        <f t="shared" si="43"/>
        <v>105.87253920587251</v>
      </c>
      <c r="AE186" s="4">
        <f t="shared" si="44"/>
        <v>100.79800470222126</v>
      </c>
      <c r="AF186" s="4">
        <f t="shared" si="45"/>
        <v>99.477144034885995</v>
      </c>
      <c r="AG186" s="4">
        <f t="shared" si="46"/>
        <v>98.291925465838531</v>
      </c>
      <c r="AH186" s="4">
        <f t="shared" si="47"/>
        <v>102.00070070623812</v>
      </c>
      <c r="AI186" s="4">
        <f t="shared" si="48"/>
        <v>97.542781921895568</v>
      </c>
      <c r="AJ186" s="4">
        <f t="shared" si="49"/>
        <v>98.259155854820165</v>
      </c>
      <c r="AK186" s="4">
        <f t="shared" si="50"/>
        <v>101.02778289621848</v>
      </c>
      <c r="AL186" s="4">
        <f t="shared" si="51"/>
        <v>105.97711501852496</v>
      </c>
      <c r="AM186" s="4">
        <f t="shared" si="52"/>
        <v>97.258791321510188</v>
      </c>
      <c r="AN186" s="4">
        <f t="shared" si="53"/>
        <v>105.523421879463</v>
      </c>
      <c r="AO186" s="4">
        <f t="shared" si="54"/>
        <v>100.42935839274141</v>
      </c>
      <c r="AP186" s="4">
        <f t="shared" si="55"/>
        <v>98.574922000168641</v>
      </c>
      <c r="AQ186" s="4">
        <f t="shared" si="56"/>
        <v>98.080816973325128</v>
      </c>
      <c r="AR186" s="4">
        <f t="shared" si="57"/>
        <v>97.930154993133229</v>
      </c>
      <c r="AS186" s="4">
        <f t="shared" si="58"/>
        <v>100.91049100025103</v>
      </c>
      <c r="AT186" s="4">
        <f t="shared" si="59"/>
        <v>101.3619310297569</v>
      </c>
      <c r="AU186" s="4">
        <f t="shared" si="60"/>
        <v>103.77050961642942</v>
      </c>
      <c r="AV186" s="4">
        <f t="shared" si="61"/>
        <v>98.725346968590216</v>
      </c>
      <c r="AW186" s="4">
        <f t="shared" si="62"/>
        <v>99.46706178976423</v>
      </c>
      <c r="AX186" s="4">
        <f t="shared" si="63"/>
        <v>101.46482360222819</v>
      </c>
    </row>
    <row r="187" spans="1:66" ht="14.25" customHeight="1" x14ac:dyDescent="0.3">
      <c r="A187" s="2">
        <v>45665</v>
      </c>
      <c r="B187" s="4">
        <f t="shared" si="15"/>
        <v>103.62333674513818</v>
      </c>
      <c r="C187" s="4">
        <f t="shared" si="16"/>
        <v>95.038030918351325</v>
      </c>
      <c r="D187" s="4">
        <f t="shared" si="17"/>
        <v>100.21933947483863</v>
      </c>
      <c r="E187" s="4">
        <f t="shared" si="18"/>
        <v>99.901518559496168</v>
      </c>
      <c r="F187" s="4">
        <f t="shared" si="19"/>
        <v>98.449733182721133</v>
      </c>
      <c r="G187" s="4">
        <f t="shared" si="20"/>
        <v>97.220121028744316</v>
      </c>
      <c r="H187" s="4">
        <f t="shared" si="21"/>
        <v>102.69057104913676</v>
      </c>
      <c r="I187" s="4">
        <f t="shared" si="22"/>
        <v>103.39778648637012</v>
      </c>
      <c r="J187" s="4">
        <f t="shared" si="23"/>
        <v>106.05741640592331</v>
      </c>
      <c r="K187" s="4">
        <f t="shared" si="24"/>
        <v>98.193613210432048</v>
      </c>
      <c r="L187" s="4">
        <f t="shared" si="25"/>
        <v>98.059986366734833</v>
      </c>
      <c r="M187" s="4">
        <f t="shared" si="26"/>
        <v>105.47540661830965</v>
      </c>
      <c r="N187" s="4">
        <f t="shared" si="27"/>
        <v>100.13303049967553</v>
      </c>
      <c r="O187" s="4">
        <f t="shared" si="28"/>
        <v>98.895660925967334</v>
      </c>
      <c r="P187" s="4">
        <f t="shared" si="29"/>
        <v>101.0617432464238</v>
      </c>
      <c r="Q187" s="4">
        <f t="shared" si="30"/>
        <v>97.23802216989867</v>
      </c>
      <c r="R187" s="4">
        <f t="shared" si="31"/>
        <v>99.620424565388291</v>
      </c>
      <c r="S187" s="4">
        <f t="shared" si="32"/>
        <v>100.29389811532003</v>
      </c>
      <c r="T187" s="4">
        <f t="shared" si="33"/>
        <v>107.65034255265161</v>
      </c>
      <c r="U187" s="4">
        <f t="shared" si="34"/>
        <v>107.0746961292008</v>
      </c>
      <c r="V187" s="4">
        <f t="shared" si="35"/>
        <v>97.527349018432488</v>
      </c>
      <c r="W187" s="4">
        <f t="shared" si="36"/>
        <v>90.433996383363478</v>
      </c>
      <c r="X187" s="4">
        <f t="shared" si="37"/>
        <v>94.551571346516766</v>
      </c>
      <c r="Y187" s="4">
        <f t="shared" si="38"/>
        <v>114.50939016670183</v>
      </c>
      <c r="Z187" s="4">
        <f t="shared" si="39"/>
        <v>95.985028921401863</v>
      </c>
      <c r="AA187" s="4">
        <f t="shared" si="40"/>
        <v>99.652106687282554</v>
      </c>
      <c r="AB187" s="4">
        <f t="shared" si="41"/>
        <v>99.08424908424908</v>
      </c>
      <c r="AC187" s="4">
        <f t="shared" si="42"/>
        <v>98.791881443298962</v>
      </c>
      <c r="AD187" s="4">
        <f t="shared" si="43"/>
        <v>106.09943276609943</v>
      </c>
      <c r="AE187" s="4">
        <f t="shared" si="44"/>
        <v>98.87535681393048</v>
      </c>
      <c r="AF187" s="4">
        <f t="shared" si="45"/>
        <v>101.28869893476234</v>
      </c>
      <c r="AG187" s="4">
        <f t="shared" si="46"/>
        <v>98.434265010351979</v>
      </c>
      <c r="AH187" s="4">
        <f t="shared" si="47"/>
        <v>102.33538013313421</v>
      </c>
      <c r="AI187" s="4">
        <f t="shared" si="48"/>
        <v>97.001608892789207</v>
      </c>
      <c r="AJ187" s="4">
        <f t="shared" si="49"/>
        <v>98.078502217112842</v>
      </c>
      <c r="AK187" s="4">
        <f t="shared" si="50"/>
        <v>99.737935835227148</v>
      </c>
      <c r="AL187" s="4">
        <f t="shared" si="51"/>
        <v>105.68849405358934</v>
      </c>
      <c r="AM187" s="4">
        <f t="shared" si="52"/>
        <v>94.780031267464153</v>
      </c>
      <c r="AN187" s="4">
        <f t="shared" si="53"/>
        <v>104.48086261068266</v>
      </c>
      <c r="AO187" s="4">
        <f t="shared" si="54"/>
        <v>100.12961762799742</v>
      </c>
      <c r="AP187" s="4">
        <f t="shared" si="55"/>
        <v>98.937515810776603</v>
      </c>
      <c r="AQ187" s="4">
        <f t="shared" si="56"/>
        <v>97.646506441294719</v>
      </c>
      <c r="AR187" s="4">
        <f t="shared" si="57"/>
        <v>97.7633902295468</v>
      </c>
      <c r="AS187" s="4">
        <f t="shared" si="58"/>
        <v>96.91979944773496</v>
      </c>
      <c r="AT187" s="4">
        <f t="shared" si="59"/>
        <v>99.318177924725475</v>
      </c>
      <c r="AU187" s="4">
        <f t="shared" si="60"/>
        <v>104.48766706508748</v>
      </c>
      <c r="AV187" s="4">
        <f t="shared" si="61"/>
        <v>100.12783053323592</v>
      </c>
      <c r="AW187" s="4">
        <f t="shared" si="62"/>
        <v>98.894690931685929</v>
      </c>
      <c r="AX187" s="4">
        <f t="shared" si="63"/>
        <v>101.20177429337735</v>
      </c>
    </row>
    <row r="188" spans="1:66" ht="14.25" customHeight="1" x14ac:dyDescent="0.3">
      <c r="A188" s="2">
        <v>45666</v>
      </c>
      <c r="B188" s="4">
        <f t="shared" si="15"/>
        <v>102.74309109518936</v>
      </c>
      <c r="C188" s="4">
        <f t="shared" si="16"/>
        <v>93.551571720254003</v>
      </c>
      <c r="D188" s="4">
        <f t="shared" si="17"/>
        <v>100.71128658269097</v>
      </c>
      <c r="E188" s="4">
        <f t="shared" si="18"/>
        <v>98.210312587387079</v>
      </c>
      <c r="F188" s="4">
        <f t="shared" si="19"/>
        <v>98.34456432828263</v>
      </c>
      <c r="G188" s="4">
        <f t="shared" si="20"/>
        <v>95.871154815935441</v>
      </c>
      <c r="H188" s="4">
        <f t="shared" si="21"/>
        <v>101.84860557768923</v>
      </c>
      <c r="I188" s="4">
        <f t="shared" si="22"/>
        <v>104.87920416864047</v>
      </c>
      <c r="J188" s="4">
        <f t="shared" si="23"/>
        <v>104.93273542600896</v>
      </c>
      <c r="K188" s="4">
        <f t="shared" si="24"/>
        <v>98.313747761128838</v>
      </c>
      <c r="L188" s="4">
        <f t="shared" si="25"/>
        <v>96.193592365371515</v>
      </c>
      <c r="M188" s="4">
        <f t="shared" si="26"/>
        <v>104.74871300732494</v>
      </c>
      <c r="N188" s="4">
        <f t="shared" si="27"/>
        <v>101.44386761842958</v>
      </c>
      <c r="O188" s="4">
        <f t="shared" si="28"/>
        <v>100.10064862446879</v>
      </c>
      <c r="P188" s="4">
        <f t="shared" si="29"/>
        <v>101.19511493501399</v>
      </c>
      <c r="Q188" s="4">
        <f t="shared" si="30"/>
        <v>96.634831609301813</v>
      </c>
      <c r="R188" s="4">
        <f t="shared" si="31"/>
        <v>98.364637022800721</v>
      </c>
      <c r="S188" s="4">
        <f t="shared" si="32"/>
        <v>99.062325060645648</v>
      </c>
      <c r="T188" s="4">
        <f t="shared" si="33"/>
        <v>107.22532352194874</v>
      </c>
      <c r="U188" s="4">
        <f t="shared" si="34"/>
        <v>107.16689460177943</v>
      </c>
      <c r="V188" s="4">
        <f t="shared" si="35"/>
        <v>96.013786902442675</v>
      </c>
      <c r="W188" s="4">
        <f t="shared" si="36"/>
        <v>88.734177215189874</v>
      </c>
      <c r="X188" s="4">
        <f t="shared" si="37"/>
        <v>92.914581111019942</v>
      </c>
      <c r="Y188" s="4">
        <f t="shared" si="38"/>
        <v>111.06984595906309</v>
      </c>
      <c r="Z188" s="4">
        <f t="shared" si="39"/>
        <v>95.69581490302825</v>
      </c>
      <c r="AA188" s="4">
        <f t="shared" si="40"/>
        <v>98.398586338284844</v>
      </c>
      <c r="AB188" s="4">
        <f t="shared" si="41"/>
        <v>97.335997335997348</v>
      </c>
      <c r="AC188" s="4">
        <f t="shared" si="42"/>
        <v>98.340850515463913</v>
      </c>
      <c r="AD188" s="4">
        <f t="shared" si="43"/>
        <v>104.11745078411745</v>
      </c>
      <c r="AE188" s="4">
        <f t="shared" si="44"/>
        <v>101.09032040317831</v>
      </c>
      <c r="AF188" s="4">
        <f t="shared" si="45"/>
        <v>101.97643893866746</v>
      </c>
      <c r="AG188" s="4">
        <f t="shared" si="46"/>
        <v>96.325051759834366</v>
      </c>
      <c r="AH188" s="4">
        <f t="shared" si="47"/>
        <v>104.00232339436855</v>
      </c>
      <c r="AI188" s="4">
        <f t="shared" si="48"/>
        <v>95.019745502413329</v>
      </c>
      <c r="AJ188" s="4">
        <f t="shared" si="49"/>
        <v>95.007390376088026</v>
      </c>
      <c r="AK188" s="4">
        <f t="shared" si="50"/>
        <v>98.699916057572224</v>
      </c>
      <c r="AL188" s="4">
        <f t="shared" si="51"/>
        <v>105.2115530264262</v>
      </c>
      <c r="AM188" s="4">
        <f t="shared" si="52"/>
        <v>93.684962613450665</v>
      </c>
      <c r="AN188" s="4">
        <f t="shared" si="53"/>
        <v>104.85932590688374</v>
      </c>
      <c r="AO188" s="4">
        <f t="shared" si="54"/>
        <v>99.189889825016223</v>
      </c>
      <c r="AP188" s="4">
        <f t="shared" si="55"/>
        <v>99.376001349186254</v>
      </c>
      <c r="AQ188" s="4">
        <f t="shared" si="56"/>
        <v>96.416938110749186</v>
      </c>
      <c r="AR188" s="4">
        <f t="shared" si="57"/>
        <v>97.32522398796678</v>
      </c>
      <c r="AS188" s="4">
        <f t="shared" si="58"/>
        <v>96.226415094339629</v>
      </c>
      <c r="AT188" s="4">
        <f t="shared" si="59"/>
        <v>96.272249156288012</v>
      </c>
      <c r="AU188" s="4">
        <f t="shared" si="60"/>
        <v>105.41127893078344</v>
      </c>
      <c r="AV188" s="4">
        <f t="shared" si="61"/>
        <v>100.18991964937909</v>
      </c>
      <c r="AW188" s="4">
        <f t="shared" si="62"/>
        <v>98.969971441203512</v>
      </c>
      <c r="AX188" s="4">
        <f t="shared" si="63"/>
        <v>101.18630080462142</v>
      </c>
    </row>
    <row r="189" spans="1:66" ht="14.25" customHeight="1" x14ac:dyDescent="0.3">
      <c r="A189" s="2">
        <v>45667</v>
      </c>
      <c r="B189" s="4">
        <f t="shared" si="15"/>
        <v>101.6908904810645</v>
      </c>
      <c r="C189" s="4">
        <f t="shared" si="16"/>
        <v>92.932307209046655</v>
      </c>
      <c r="D189" s="4">
        <f t="shared" si="17"/>
        <v>101.26590211192581</v>
      </c>
      <c r="E189" s="4">
        <f t="shared" si="18"/>
        <v>103.72527325560188</v>
      </c>
      <c r="F189" s="4">
        <f t="shared" si="19"/>
        <v>97.366883496280138</v>
      </c>
      <c r="G189" s="4">
        <f t="shared" si="20"/>
        <v>93.702723146747331</v>
      </c>
      <c r="H189" s="4">
        <f t="shared" si="21"/>
        <v>104.48605577689243</v>
      </c>
      <c r="I189" s="4">
        <f t="shared" si="22"/>
        <v>105.16558287756774</v>
      </c>
      <c r="J189" s="4">
        <f t="shared" si="23"/>
        <v>105.08557668738194</v>
      </c>
      <c r="K189" s="4">
        <f t="shared" si="24"/>
        <v>97.177930190904718</v>
      </c>
      <c r="L189" s="4">
        <f t="shared" si="25"/>
        <v>96.418541240627135</v>
      </c>
      <c r="M189" s="4">
        <f t="shared" si="26"/>
        <v>103.77220452700233</v>
      </c>
      <c r="N189" s="4">
        <f t="shared" si="27"/>
        <v>100.35204412719013</v>
      </c>
      <c r="O189" s="4">
        <f t="shared" si="28"/>
        <v>98.19950794005814</v>
      </c>
      <c r="P189" s="4">
        <f t="shared" si="29"/>
        <v>104.34896310049947</v>
      </c>
      <c r="Q189" s="4">
        <f t="shared" si="30"/>
        <v>94.436360750284393</v>
      </c>
      <c r="R189" s="4">
        <f t="shared" si="31"/>
        <v>94.917445618939453</v>
      </c>
      <c r="S189" s="4">
        <f t="shared" si="32"/>
        <v>97.09833924239598</v>
      </c>
      <c r="T189" s="4">
        <f t="shared" si="33"/>
        <v>107.91994417660491</v>
      </c>
      <c r="U189" s="4">
        <f t="shared" si="34"/>
        <v>105.72859842955269</v>
      </c>
      <c r="V189" s="4">
        <f t="shared" si="35"/>
        <v>92.387232129476999</v>
      </c>
      <c r="W189" s="4">
        <f t="shared" si="36"/>
        <v>87.866184448462931</v>
      </c>
      <c r="X189" s="4">
        <f t="shared" si="37"/>
        <v>91.261179945843935</v>
      </c>
      <c r="Y189" s="4">
        <f t="shared" si="38"/>
        <v>111.00232116480271</v>
      </c>
      <c r="Z189" s="4">
        <f t="shared" si="39"/>
        <v>92.208234093229009</v>
      </c>
      <c r="AA189" s="4">
        <f t="shared" si="40"/>
        <v>99.409133579987852</v>
      </c>
      <c r="AB189" s="4">
        <f t="shared" si="41"/>
        <v>100.08325008325008</v>
      </c>
      <c r="AC189" s="4">
        <f t="shared" si="42"/>
        <v>96.552835051546396</v>
      </c>
      <c r="AD189" s="4">
        <f t="shared" si="43"/>
        <v>103.39005672339003</v>
      </c>
      <c r="AE189" s="4">
        <f t="shared" si="44"/>
        <v>100.26828975293319</v>
      </c>
      <c r="AF189" s="4">
        <f t="shared" si="45"/>
        <v>100.69858763803614</v>
      </c>
      <c r="AG189" s="4">
        <f t="shared" si="46"/>
        <v>95.367494824016561</v>
      </c>
      <c r="AH189" s="4">
        <f t="shared" si="47"/>
        <v>103.62615478232009</v>
      </c>
      <c r="AI189" s="4">
        <f t="shared" si="48"/>
        <v>93.191458241918966</v>
      </c>
      <c r="AJ189" s="4">
        <f t="shared" si="49"/>
        <v>92.149778288717357</v>
      </c>
      <c r="AK189" s="4">
        <f t="shared" si="50"/>
        <v>96.804045615543671</v>
      </c>
      <c r="AL189" s="4">
        <f t="shared" si="51"/>
        <v>103.54430638855338</v>
      </c>
      <c r="AM189" s="4">
        <f t="shared" si="52"/>
        <v>93.152991277650855</v>
      </c>
      <c r="AN189" s="4">
        <f t="shared" si="53"/>
        <v>105.562696372465</v>
      </c>
      <c r="AO189" s="4">
        <f t="shared" si="54"/>
        <v>98.61471160077771</v>
      </c>
      <c r="AP189" s="4">
        <f t="shared" si="55"/>
        <v>96.88000674593134</v>
      </c>
      <c r="AQ189" s="4">
        <f t="shared" si="56"/>
        <v>100.10270857176393</v>
      </c>
      <c r="AR189" s="4">
        <f t="shared" si="57"/>
        <v>96.05650382577987</v>
      </c>
      <c r="AS189" s="4">
        <f t="shared" si="58"/>
        <v>95.482824828858909</v>
      </c>
      <c r="AT189" s="4">
        <f t="shared" si="59"/>
        <v>91.138026142223296</v>
      </c>
      <c r="AU189" s="4">
        <f t="shared" si="60"/>
        <v>105.70466152341626</v>
      </c>
      <c r="AV189" s="4">
        <f t="shared" si="61"/>
        <v>98.933528122717334</v>
      </c>
      <c r="AW189" s="4">
        <f t="shared" si="62"/>
        <v>98.514703597930364</v>
      </c>
      <c r="AX189" s="4">
        <f t="shared" si="63"/>
        <v>96.719620383742537</v>
      </c>
    </row>
    <row r="190" spans="1:66" ht="14.25" customHeight="1" x14ac:dyDescent="0.3">
      <c r="A190" s="2">
        <v>45670</v>
      </c>
      <c r="B190" s="4">
        <f t="shared" si="15"/>
        <v>101.52302968270214</v>
      </c>
      <c r="C190" s="4">
        <f t="shared" si="16"/>
        <v>91.478381834907665</v>
      </c>
      <c r="D190" s="4">
        <f t="shared" si="17"/>
        <v>100.09400263207371</v>
      </c>
      <c r="E190" s="4">
        <f t="shared" si="18"/>
        <v>104.344125764447</v>
      </c>
      <c r="F190" s="4">
        <f t="shared" si="19"/>
        <v>95.80103610797336</v>
      </c>
      <c r="G190" s="4">
        <f t="shared" si="20"/>
        <v>91.969238527483597</v>
      </c>
      <c r="H190" s="4">
        <f t="shared" si="21"/>
        <v>104.23373173970785</v>
      </c>
      <c r="I190" s="4">
        <f t="shared" si="22"/>
        <v>105.55100986176306</v>
      </c>
      <c r="J190" s="4">
        <f t="shared" si="23"/>
        <v>103.10873358037864</v>
      </c>
      <c r="K190" s="4">
        <f t="shared" si="24"/>
        <v>95.900135424402606</v>
      </c>
      <c r="L190" s="4">
        <f t="shared" si="25"/>
        <v>94.459441036128155</v>
      </c>
      <c r="M190" s="4">
        <f t="shared" si="26"/>
        <v>102.58201511379961</v>
      </c>
      <c r="N190" s="4">
        <f t="shared" si="27"/>
        <v>97.328033744321871</v>
      </c>
      <c r="O190" s="4">
        <f t="shared" si="28"/>
        <v>97.204204875866679</v>
      </c>
      <c r="P190" s="4">
        <f t="shared" si="29"/>
        <v>104.05083814953319</v>
      </c>
      <c r="Q190" s="4">
        <f t="shared" si="30"/>
        <v>92.431016693563322</v>
      </c>
      <c r="R190" s="4">
        <f t="shared" si="31"/>
        <v>92.733030488337548</v>
      </c>
      <c r="S190" s="4">
        <f t="shared" si="32"/>
        <v>97.900727747714129</v>
      </c>
      <c r="T190" s="4">
        <f t="shared" si="33"/>
        <v>106.20083735092616</v>
      </c>
      <c r="U190" s="4">
        <f t="shared" si="34"/>
        <v>103.96146103846213</v>
      </c>
      <c r="V190" s="4">
        <f t="shared" si="35"/>
        <v>89.375093661022021</v>
      </c>
      <c r="W190" s="4">
        <f t="shared" si="36"/>
        <v>82.151898734177237</v>
      </c>
      <c r="X190" s="4">
        <f t="shared" si="37"/>
        <v>87.523590711413817</v>
      </c>
      <c r="Y190" s="4">
        <f t="shared" si="38"/>
        <v>107.92572272631355</v>
      </c>
      <c r="Z190" s="4">
        <f t="shared" si="39"/>
        <v>88.329363729159596</v>
      </c>
      <c r="AA190" s="4">
        <f t="shared" si="40"/>
        <v>97.603401623502123</v>
      </c>
      <c r="AB190" s="4">
        <f t="shared" si="41"/>
        <v>97.186147186147181</v>
      </c>
      <c r="AC190" s="4">
        <f t="shared" si="42"/>
        <v>92.654639175257742</v>
      </c>
      <c r="AD190" s="4">
        <f t="shared" si="43"/>
        <v>100.23356690023357</v>
      </c>
      <c r="AE190" s="4">
        <f t="shared" si="44"/>
        <v>98.349074142931514</v>
      </c>
      <c r="AF190" s="4">
        <f t="shared" si="45"/>
        <v>97.74369210075281</v>
      </c>
      <c r="AG190" s="4">
        <f t="shared" si="46"/>
        <v>93.918219461697717</v>
      </c>
      <c r="AH190" s="4">
        <f t="shared" si="47"/>
        <v>103.14027032509084</v>
      </c>
      <c r="AI190" s="4">
        <f t="shared" si="48"/>
        <v>89.900541173029097</v>
      </c>
      <c r="AJ190" s="4">
        <f t="shared" si="49"/>
        <v>87.419937592379682</v>
      </c>
      <c r="AK190" s="4">
        <f t="shared" si="50"/>
        <v>93.694081035153459</v>
      </c>
      <c r="AL190" s="4">
        <f t="shared" si="51"/>
        <v>101.10126297259126</v>
      </c>
      <c r="AM190" s="4">
        <f t="shared" si="52"/>
        <v>88.063893152991284</v>
      </c>
      <c r="AN190" s="4">
        <f t="shared" si="53"/>
        <v>104.78434732933447</v>
      </c>
      <c r="AO190" s="4">
        <f t="shared" si="54"/>
        <v>97.17271548930654</v>
      </c>
      <c r="AP190" s="4">
        <f t="shared" si="55"/>
        <v>95.075470107091647</v>
      </c>
      <c r="AQ190" s="4">
        <f t="shared" si="56"/>
        <v>97.405874930304904</v>
      </c>
      <c r="AR190" s="4">
        <f t="shared" si="57"/>
        <v>94.12072460924729</v>
      </c>
      <c r="AS190" s="4">
        <f t="shared" si="58"/>
        <v>92.807663864634009</v>
      </c>
      <c r="AT190" s="4">
        <f t="shared" si="59"/>
        <v>89.270724478783009</v>
      </c>
      <c r="AU190" s="4">
        <f t="shared" si="60"/>
        <v>104.90600891013801</v>
      </c>
      <c r="AV190" s="4">
        <f t="shared" si="61"/>
        <v>97.523739956172392</v>
      </c>
      <c r="AW190" s="4">
        <f t="shared" si="62"/>
        <v>96.637470574880211</v>
      </c>
      <c r="AX190" s="4">
        <f t="shared" si="63"/>
        <v>97.142562409737991</v>
      </c>
    </row>
    <row r="191" spans="1:66" ht="14.25" customHeight="1" x14ac:dyDescent="0.3">
      <c r="A191" s="2">
        <v>45671</v>
      </c>
      <c r="B191" s="4">
        <f t="shared" si="15"/>
        <v>101.43295803480041</v>
      </c>
      <c r="C191" s="4">
        <f t="shared" si="16"/>
        <v>92.362404361776115</v>
      </c>
      <c r="D191" s="4">
        <f t="shared" si="17"/>
        <v>100.27574105408286</v>
      </c>
      <c r="E191" s="4">
        <f t="shared" si="18"/>
        <v>102.93255845055869</v>
      </c>
      <c r="F191" s="4">
        <f t="shared" si="19"/>
        <v>96.622911229696555</v>
      </c>
      <c r="G191" s="4">
        <f t="shared" si="20"/>
        <v>94.320474029248601</v>
      </c>
      <c r="H191" s="4">
        <f t="shared" si="21"/>
        <v>103.05710491367861</v>
      </c>
      <c r="I191" s="4">
        <f t="shared" si="22"/>
        <v>101.97450583523535</v>
      </c>
      <c r="J191" s="4">
        <f t="shared" si="23"/>
        <v>105.76326907271496</v>
      </c>
      <c r="K191" s="4">
        <f t="shared" si="24"/>
        <v>95.364990607662406</v>
      </c>
      <c r="L191" s="4">
        <f t="shared" si="25"/>
        <v>94.413087934560309</v>
      </c>
      <c r="M191" s="4">
        <f t="shared" si="26"/>
        <v>104.75406618309646</v>
      </c>
      <c r="N191" s="4">
        <f t="shared" si="27"/>
        <v>98.945489941596364</v>
      </c>
      <c r="O191" s="4">
        <f t="shared" si="28"/>
        <v>97.8863788861552</v>
      </c>
      <c r="P191" s="4">
        <f t="shared" si="29"/>
        <v>94.853421899108241</v>
      </c>
      <c r="Q191" s="4">
        <f t="shared" si="30"/>
        <v>93.698245985343505</v>
      </c>
      <c r="R191" s="4">
        <f t="shared" si="31"/>
        <v>91.585131475495757</v>
      </c>
      <c r="S191" s="4">
        <f t="shared" si="32"/>
        <v>98.119985071841782</v>
      </c>
      <c r="T191" s="4">
        <f t="shared" si="33"/>
        <v>108.69703121035268</v>
      </c>
      <c r="U191" s="4">
        <f t="shared" si="34"/>
        <v>102.10980838084116</v>
      </c>
      <c r="V191" s="4">
        <f t="shared" si="35"/>
        <v>93.031619961037009</v>
      </c>
      <c r="W191" s="4">
        <f t="shared" si="36"/>
        <v>84.484629294755891</v>
      </c>
      <c r="X191" s="4">
        <f t="shared" si="37"/>
        <v>91.663247722983513</v>
      </c>
      <c r="Y191" s="4">
        <f t="shared" si="38"/>
        <v>109.88394175986495</v>
      </c>
      <c r="Z191" s="4">
        <f t="shared" si="39"/>
        <v>91.833957128274918</v>
      </c>
      <c r="AA191" s="4">
        <f t="shared" si="40"/>
        <v>100.06626539289856</v>
      </c>
      <c r="AB191" s="4">
        <f t="shared" si="41"/>
        <v>97.519147519147523</v>
      </c>
      <c r="AC191" s="4">
        <f t="shared" si="42"/>
        <v>93.508376288659804</v>
      </c>
      <c r="AD191" s="4">
        <f t="shared" si="43"/>
        <v>102.83616950283616</v>
      </c>
      <c r="AE191" s="4">
        <f t="shared" si="44"/>
        <v>98.520116011006181</v>
      </c>
      <c r="AF191" s="4">
        <f t="shared" si="45"/>
        <v>97.192632286898203</v>
      </c>
      <c r="AG191" s="4">
        <f t="shared" si="46"/>
        <v>95.561594202898561</v>
      </c>
      <c r="AH191" s="4">
        <f t="shared" si="47"/>
        <v>102.29665689365861</v>
      </c>
      <c r="AI191" s="4">
        <f t="shared" si="48"/>
        <v>92.825800789820107</v>
      </c>
      <c r="AJ191" s="4">
        <f t="shared" si="49"/>
        <v>89.620627360814581</v>
      </c>
      <c r="AK191" s="4">
        <f t="shared" si="50"/>
        <v>94.613352988145692</v>
      </c>
      <c r="AL191" s="4">
        <f t="shared" si="51"/>
        <v>102.95273575829529</v>
      </c>
      <c r="AM191" s="4">
        <f t="shared" si="52"/>
        <v>87.169021158593949</v>
      </c>
      <c r="AN191" s="4">
        <f t="shared" si="53"/>
        <v>107.0586975149957</v>
      </c>
      <c r="AO191" s="4">
        <f t="shared" si="54"/>
        <v>97.286130913804286</v>
      </c>
      <c r="AP191" s="4">
        <f t="shared" si="55"/>
        <v>99.654271017792382</v>
      </c>
      <c r="AQ191" s="4">
        <f t="shared" si="56"/>
        <v>96.692783989200919</v>
      </c>
      <c r="AR191" s="4">
        <f t="shared" si="57"/>
        <v>94.679877051860558</v>
      </c>
      <c r="AS191" s="4">
        <f t="shared" si="58"/>
        <v>91.006357154003254</v>
      </c>
      <c r="AT191" s="4">
        <f t="shared" si="59"/>
        <v>93.210902300721216</v>
      </c>
      <c r="AU191" s="4">
        <f t="shared" si="60"/>
        <v>104.65609040530262</v>
      </c>
      <c r="AV191" s="4">
        <f t="shared" si="61"/>
        <v>97.702702702702709</v>
      </c>
      <c r="AW191" s="4">
        <f t="shared" si="62"/>
        <v>98.047486467432208</v>
      </c>
      <c r="AX191" s="4">
        <f t="shared" si="63"/>
        <v>99.246956880544673</v>
      </c>
    </row>
    <row r="192" spans="1:66" ht="14.25" customHeight="1" x14ac:dyDescent="0.3">
      <c r="A192" s="2">
        <v>45672</v>
      </c>
      <c r="B192" s="4">
        <f t="shared" si="15"/>
        <v>102.53428863868987</v>
      </c>
      <c r="C192" s="4">
        <f t="shared" si="16"/>
        <v>92.163835850030296</v>
      </c>
      <c r="D192" s="4">
        <f t="shared" si="17"/>
        <v>100.73635395124396</v>
      </c>
      <c r="E192" s="4">
        <f t="shared" si="18"/>
        <v>103.33499495434597</v>
      </c>
      <c r="F192" s="4">
        <f t="shared" si="19"/>
        <v>96.4632103766603</v>
      </c>
      <c r="G192" s="4">
        <f t="shared" si="20"/>
        <v>95.020171457387789</v>
      </c>
      <c r="H192" s="4">
        <f t="shared" si="21"/>
        <v>103.56706507304119</v>
      </c>
      <c r="I192" s="4">
        <f t="shared" si="22"/>
        <v>102.19198139615004</v>
      </c>
      <c r="J192" s="4">
        <f t="shared" si="23"/>
        <v>103.49083673381108</v>
      </c>
      <c r="K192" s="4">
        <f t="shared" si="24"/>
        <v>95.528810449521643</v>
      </c>
      <c r="L192" s="4">
        <f t="shared" si="25"/>
        <v>95.471029311520113</v>
      </c>
      <c r="M192" s="4">
        <f t="shared" si="26"/>
        <v>106.59422035455867</v>
      </c>
      <c r="N192" s="4">
        <f t="shared" si="27"/>
        <v>96.049643088903309</v>
      </c>
      <c r="O192" s="4">
        <f t="shared" si="28"/>
        <v>100.0670990829792</v>
      </c>
      <c r="P192" s="4">
        <f t="shared" si="29"/>
        <v>95.488898768273231</v>
      </c>
      <c r="Q192" s="4">
        <f t="shared" si="30"/>
        <v>92.957485647768451</v>
      </c>
      <c r="R192" s="4">
        <f t="shared" si="31"/>
        <v>91.9162225910719</v>
      </c>
      <c r="S192" s="4">
        <f t="shared" si="32"/>
        <v>95.801455495428257</v>
      </c>
      <c r="T192" s="4">
        <f t="shared" si="33"/>
        <v>106.04224816036538</v>
      </c>
      <c r="U192" s="4">
        <f t="shared" si="34"/>
        <v>102.14054120503404</v>
      </c>
      <c r="V192" s="4">
        <f t="shared" si="35"/>
        <v>96.313502172935713</v>
      </c>
      <c r="W192" s="4">
        <f t="shared" si="36"/>
        <v>88.20976491862568</v>
      </c>
      <c r="X192" s="4">
        <f t="shared" si="37"/>
        <v>92.631492574054334</v>
      </c>
      <c r="Y192" s="4">
        <f t="shared" si="38"/>
        <v>108.95969613842584</v>
      </c>
      <c r="Z192" s="4">
        <f t="shared" si="39"/>
        <v>91.136440966315092</v>
      </c>
      <c r="AA192" s="4">
        <f t="shared" si="40"/>
        <v>99.845380749903356</v>
      </c>
      <c r="AB192" s="4">
        <f t="shared" si="41"/>
        <v>97.452547452547449</v>
      </c>
      <c r="AC192" s="4">
        <f t="shared" si="42"/>
        <v>96.214561855670112</v>
      </c>
      <c r="AD192" s="4">
        <f t="shared" si="43"/>
        <v>101.91524858191524</v>
      </c>
      <c r="AE192" s="4">
        <f t="shared" si="44"/>
        <v>98.140277213676484</v>
      </c>
      <c r="AF192" s="4">
        <f t="shared" si="45"/>
        <v>96.747879287527368</v>
      </c>
      <c r="AG192" s="4">
        <f t="shared" si="46"/>
        <v>96.946169772256738</v>
      </c>
      <c r="AH192" s="4">
        <f t="shared" si="47"/>
        <v>101.40141247625898</v>
      </c>
      <c r="AI192" s="4">
        <f t="shared" si="48"/>
        <v>92.533274828140989</v>
      </c>
      <c r="AJ192" s="4">
        <f t="shared" si="49"/>
        <v>89.472819839054026</v>
      </c>
      <c r="AK192" s="4">
        <f t="shared" si="50"/>
        <v>94.897938292078706</v>
      </c>
      <c r="AL192" s="4">
        <f t="shared" si="51"/>
        <v>104.02431785151371</v>
      </c>
      <c r="AM192" s="4">
        <f t="shared" si="52"/>
        <v>90.410367781778561</v>
      </c>
      <c r="AN192" s="4">
        <f t="shared" si="53"/>
        <v>105.16638103399028</v>
      </c>
      <c r="AO192" s="4">
        <f t="shared" si="54"/>
        <v>96.273493195074536</v>
      </c>
      <c r="AP192" s="4">
        <f t="shared" si="55"/>
        <v>99.763892402394788</v>
      </c>
      <c r="AQ192" s="4">
        <f t="shared" si="56"/>
        <v>98.362531913020518</v>
      </c>
      <c r="AR192" s="4">
        <f t="shared" si="57"/>
        <v>94.643908181283109</v>
      </c>
      <c r="AS192" s="4">
        <f t="shared" si="58"/>
        <v>90.802819672576035</v>
      </c>
      <c r="AT192" s="4">
        <f t="shared" si="59"/>
        <v>91.343600637280943</v>
      </c>
      <c r="AU192" s="4">
        <f t="shared" si="60"/>
        <v>103.83027273715093</v>
      </c>
      <c r="AV192" s="4">
        <f t="shared" si="61"/>
        <v>97.677136596055519</v>
      </c>
      <c r="AW192" s="4">
        <f t="shared" si="62"/>
        <v>98.268548281095008</v>
      </c>
      <c r="AX192" s="4">
        <f t="shared" si="63"/>
        <v>99.283061687641862</v>
      </c>
    </row>
    <row r="193" spans="1:50" ht="14.25" customHeight="1" x14ac:dyDescent="0.3">
      <c r="A193" s="2">
        <v>45673</v>
      </c>
      <c r="B193" s="4">
        <f t="shared" si="15"/>
        <v>103.70112589559879</v>
      </c>
      <c r="C193" s="4">
        <f t="shared" si="16"/>
        <v>92.668671049384102</v>
      </c>
      <c r="D193" s="4">
        <f t="shared" si="17"/>
        <v>102.16206053769506</v>
      </c>
      <c r="E193" s="4">
        <f t="shared" si="18"/>
        <v>102.2820946151321</v>
      </c>
      <c r="F193" s="4">
        <f t="shared" si="19"/>
        <v>97.308456354925397</v>
      </c>
      <c r="G193" s="4">
        <f t="shared" si="20"/>
        <v>96.608673726676727</v>
      </c>
      <c r="H193" s="4">
        <f t="shared" si="21"/>
        <v>102.44090305444887</v>
      </c>
      <c r="I193" s="4">
        <f t="shared" si="22"/>
        <v>100.98617630592999</v>
      </c>
      <c r="J193" s="4">
        <f t="shared" si="23"/>
        <v>104.67751935748994</v>
      </c>
      <c r="K193" s="4">
        <f t="shared" si="24"/>
        <v>94.545891398366166</v>
      </c>
      <c r="L193" s="4">
        <f t="shared" si="25"/>
        <v>95.648261758691206</v>
      </c>
      <c r="M193" s="4">
        <f t="shared" si="26"/>
        <v>107.88701230338233</v>
      </c>
      <c r="N193" s="4">
        <f t="shared" si="27"/>
        <v>96.709928617780662</v>
      </c>
      <c r="O193" s="4">
        <f t="shared" si="28"/>
        <v>100.9589577275777</v>
      </c>
      <c r="P193" s="4">
        <f t="shared" si="29"/>
        <v>93.739376029707884</v>
      </c>
      <c r="Q193" s="4">
        <f t="shared" si="30"/>
        <v>93.298764517579826</v>
      </c>
      <c r="R193" s="4">
        <f t="shared" si="31"/>
        <v>92.916921464139094</v>
      </c>
      <c r="S193" s="4">
        <f t="shared" si="32"/>
        <v>96.846426572121672</v>
      </c>
      <c r="T193" s="4">
        <f t="shared" si="33"/>
        <v>107.6725450393301</v>
      </c>
      <c r="U193" s="4">
        <f t="shared" si="34"/>
        <v>101.93770456536105</v>
      </c>
      <c r="V193" s="4">
        <f t="shared" si="35"/>
        <v>97.557320545481801</v>
      </c>
      <c r="W193" s="4">
        <f t="shared" si="36"/>
        <v>87.486437613019902</v>
      </c>
      <c r="X193" s="4">
        <f t="shared" si="37"/>
        <v>94.424386641503247</v>
      </c>
      <c r="Y193" s="4">
        <f t="shared" si="38"/>
        <v>111.06984595906309</v>
      </c>
      <c r="Z193" s="4">
        <f t="shared" si="39"/>
        <v>93.96053079278667</v>
      </c>
      <c r="AA193" s="4">
        <f t="shared" si="40"/>
        <v>100.14909713402176</v>
      </c>
      <c r="AB193" s="4">
        <f t="shared" si="41"/>
        <v>95.920745920745915</v>
      </c>
      <c r="AC193" s="4">
        <f t="shared" si="42"/>
        <v>95.892396907216494</v>
      </c>
      <c r="AD193" s="4">
        <f t="shared" si="43"/>
        <v>103.35001668335002</v>
      </c>
      <c r="AE193" s="4">
        <f t="shared" si="44"/>
        <v>98.185468877816618</v>
      </c>
      <c r="AF193" s="4">
        <f t="shared" si="45"/>
        <v>96.136072722539211</v>
      </c>
      <c r="AG193" s="4">
        <f t="shared" si="46"/>
        <v>98.046066252588005</v>
      </c>
      <c r="AH193" s="4">
        <f t="shared" si="47"/>
        <v>100.00276594567686</v>
      </c>
      <c r="AI193" s="4">
        <f t="shared" si="48"/>
        <v>93.469357905514116</v>
      </c>
      <c r="AJ193" s="4">
        <f t="shared" si="49"/>
        <v>90.918048940712765</v>
      </c>
      <c r="AK193" s="4">
        <f t="shared" si="50"/>
        <v>96.255348770550526</v>
      </c>
      <c r="AL193" s="4">
        <f t="shared" si="51"/>
        <v>103.32630544695309</v>
      </c>
      <c r="AM193" s="4">
        <f t="shared" si="52"/>
        <v>87.882089119346929</v>
      </c>
      <c r="AN193" s="4">
        <f t="shared" si="53"/>
        <v>108.08340474150239</v>
      </c>
      <c r="AO193" s="4">
        <f t="shared" si="54"/>
        <v>103.92093324692158</v>
      </c>
      <c r="AP193" s="4">
        <f t="shared" si="55"/>
        <v>101.62745594063578</v>
      </c>
      <c r="AQ193" s="4">
        <f t="shared" si="56"/>
        <v>99.049212078528043</v>
      </c>
      <c r="AR193" s="4">
        <f t="shared" si="57"/>
        <v>94.401935779216529</v>
      </c>
      <c r="AS193" s="4">
        <f t="shared" si="58"/>
        <v>92.129884051481397</v>
      </c>
      <c r="AT193" s="4">
        <f t="shared" si="59"/>
        <v>93.673444914600935</v>
      </c>
      <c r="AU193" s="4">
        <f t="shared" si="60"/>
        <v>101.8906878191894</v>
      </c>
      <c r="AV193" s="4">
        <f t="shared" si="61"/>
        <v>95.160701241782334</v>
      </c>
      <c r="AW193" s="4">
        <f t="shared" si="62"/>
        <v>97.365182166883741</v>
      </c>
      <c r="AX193" s="4">
        <f t="shared" si="63"/>
        <v>100.61378172065196</v>
      </c>
    </row>
    <row r="194" spans="1:50" ht="14.25" customHeight="1" x14ac:dyDescent="0.3">
      <c r="A194" s="2">
        <v>45674</v>
      </c>
      <c r="B194" s="4">
        <f t="shared" si="15"/>
        <v>106.64073694984646</v>
      </c>
      <c r="C194" s="4">
        <f t="shared" si="16"/>
        <v>91.810451210482626</v>
      </c>
      <c r="D194" s="4">
        <f t="shared" si="17"/>
        <v>101.9928557999624</v>
      </c>
      <c r="E194" s="4">
        <f t="shared" si="18"/>
        <v>100.2881493999927</v>
      </c>
      <c r="F194" s="4">
        <f t="shared" si="19"/>
        <v>95.466053830872895</v>
      </c>
      <c r="G194" s="4">
        <f t="shared" si="20"/>
        <v>96.331316187594553</v>
      </c>
      <c r="H194" s="4">
        <f t="shared" si="21"/>
        <v>96.4382470119522</v>
      </c>
      <c r="I194" s="4">
        <f t="shared" si="22"/>
        <v>101.37375651350071</v>
      </c>
      <c r="J194" s="4">
        <f t="shared" si="23"/>
        <v>103.55860597234438</v>
      </c>
      <c r="K194" s="4">
        <f t="shared" si="24"/>
        <v>96.151325848586765</v>
      </c>
      <c r="L194" s="4">
        <f t="shared" si="25"/>
        <v>97.304703476482615</v>
      </c>
      <c r="M194" s="4">
        <f t="shared" si="26"/>
        <v>108.28002462460856</v>
      </c>
      <c r="N194" s="4">
        <f t="shared" si="27"/>
        <v>94.657689811810513</v>
      </c>
      <c r="O194" s="4">
        <f t="shared" si="28"/>
        <v>98.333706106016535</v>
      </c>
      <c r="P194" s="4">
        <f t="shared" si="29"/>
        <v>93.564162242736472</v>
      </c>
      <c r="Q194" s="4">
        <f t="shared" si="30"/>
        <v>94.528955792481256</v>
      </c>
      <c r="R194" s="4">
        <f t="shared" si="31"/>
        <v>92.425963134445695</v>
      </c>
      <c r="S194" s="4">
        <f t="shared" si="32"/>
        <v>92.465945139018473</v>
      </c>
      <c r="T194" s="4">
        <f t="shared" si="33"/>
        <v>106.61316924638417</v>
      </c>
      <c r="U194" s="4">
        <f t="shared" si="34"/>
        <v>103.18238394517265</v>
      </c>
      <c r="V194" s="4">
        <f t="shared" si="35"/>
        <v>97.752135471302253</v>
      </c>
      <c r="W194" s="4">
        <f t="shared" si="36"/>
        <v>89.981916817359874</v>
      </c>
      <c r="X194" s="4">
        <f t="shared" si="37"/>
        <v>95.470583408550098</v>
      </c>
      <c r="Y194" s="4">
        <f t="shared" si="38"/>
        <v>112.50052753745517</v>
      </c>
      <c r="Z194" s="4">
        <f t="shared" si="39"/>
        <v>96.002041510717945</v>
      </c>
      <c r="AA194" s="4">
        <f t="shared" si="40"/>
        <v>100.34789331271745</v>
      </c>
      <c r="AB194" s="4">
        <f t="shared" si="41"/>
        <v>93.889443889443882</v>
      </c>
      <c r="AC194" s="4">
        <f t="shared" si="42"/>
        <v>97.48711340206188</v>
      </c>
      <c r="AD194" s="4">
        <f t="shared" si="43"/>
        <v>104.07073740407074</v>
      </c>
      <c r="AE194" s="4">
        <f t="shared" si="44"/>
        <v>98.179176367619888</v>
      </c>
      <c r="AF194" s="4">
        <f t="shared" si="45"/>
        <v>98.106003080728073</v>
      </c>
      <c r="AG194" s="4">
        <f t="shared" si="46"/>
        <v>100.32349896480331</v>
      </c>
      <c r="AH194" s="4">
        <f t="shared" si="47"/>
        <v>102.21091257767698</v>
      </c>
      <c r="AI194" s="4">
        <f t="shared" si="48"/>
        <v>95.275705718882548</v>
      </c>
      <c r="AJ194" s="4">
        <f t="shared" si="49"/>
        <v>91.640663491542128</v>
      </c>
      <c r="AK194" s="4">
        <f t="shared" si="50"/>
        <v>97.285179043056303</v>
      </c>
      <c r="AL194" s="4">
        <f t="shared" si="51"/>
        <v>102.59963564161873</v>
      </c>
      <c r="AM194" s="4">
        <f t="shared" si="52"/>
        <v>87.952829988469233</v>
      </c>
      <c r="AN194" s="4">
        <f t="shared" si="53"/>
        <v>110.00428449014565</v>
      </c>
      <c r="AO194" s="4">
        <f t="shared" si="54"/>
        <v>104.050550874919</v>
      </c>
      <c r="AP194" s="4">
        <f t="shared" si="55"/>
        <v>104.05599123028921</v>
      </c>
      <c r="AQ194" s="4">
        <f t="shared" si="56"/>
        <v>97.444023828388652</v>
      </c>
      <c r="AR194" s="4">
        <f t="shared" si="57"/>
        <v>94.323458243411153</v>
      </c>
      <c r="AS194" s="4">
        <f t="shared" si="58"/>
        <v>92.651618462206471</v>
      </c>
      <c r="AT194" s="4">
        <f t="shared" si="59"/>
        <v>90.19580970654242</v>
      </c>
      <c r="AU194" s="4">
        <f t="shared" si="60"/>
        <v>103.71074649570792</v>
      </c>
      <c r="AV194" s="4">
        <f t="shared" si="61"/>
        <v>95.646457268078905</v>
      </c>
      <c r="AW194" s="4">
        <f t="shared" si="62"/>
        <v>97.936358096239545</v>
      </c>
      <c r="AX194" s="4">
        <f t="shared" si="63"/>
        <v>100.15989271714464</v>
      </c>
    </row>
    <row r="195" spans="1:50" ht="14.25" customHeight="1" x14ac:dyDescent="0.3">
      <c r="A195" s="2">
        <v>45677</v>
      </c>
      <c r="B195" s="4">
        <f t="shared" si="15"/>
        <v>106.89457523029684</v>
      </c>
      <c r="C195" s="4">
        <f t="shared" si="16"/>
        <v>92.622674953442981</v>
      </c>
      <c r="D195" s="4">
        <f t="shared" si="17"/>
        <v>102.84827975183306</v>
      </c>
      <c r="E195" s="4">
        <f t="shared" si="18"/>
        <v>99.15743656457829</v>
      </c>
      <c r="F195" s="4">
        <f t="shared" si="19"/>
        <v>96.050325244420193</v>
      </c>
      <c r="G195" s="4">
        <f t="shared" si="20"/>
        <v>98.241301059001501</v>
      </c>
      <c r="H195" s="4">
        <f t="shared" si="21"/>
        <v>96.324037184594943</v>
      </c>
      <c r="I195" s="4">
        <f t="shared" si="22"/>
        <v>100.99478919943155</v>
      </c>
      <c r="J195" s="4">
        <f t="shared" si="23"/>
        <v>107.27870459821492</v>
      </c>
      <c r="K195" s="4">
        <f t="shared" si="24"/>
        <v>95.605259709055957</v>
      </c>
      <c r="L195" s="4">
        <f t="shared" si="25"/>
        <v>97.96864349011588</v>
      </c>
      <c r="M195" s="4">
        <f t="shared" si="26"/>
        <v>107.24240072089435</v>
      </c>
      <c r="N195" s="4">
        <f t="shared" si="27"/>
        <v>93.708630759247228</v>
      </c>
      <c r="O195" s="4">
        <f t="shared" si="28"/>
        <v>107.38649071796016</v>
      </c>
      <c r="P195" s="4">
        <f t="shared" si="29"/>
        <v>93.945971390465232</v>
      </c>
      <c r="Q195" s="4">
        <f t="shared" si="30"/>
        <v>94.08979073520463</v>
      </c>
      <c r="R195" s="4">
        <f t="shared" si="31"/>
        <v>92.814274482397138</v>
      </c>
      <c r="S195" s="4">
        <f t="shared" si="32"/>
        <v>92.186042172047024</v>
      </c>
      <c r="T195" s="4">
        <f t="shared" si="33"/>
        <v>110.07358538442018</v>
      </c>
      <c r="U195" s="4">
        <f t="shared" si="34"/>
        <v>103.94609462636571</v>
      </c>
      <c r="V195" s="4">
        <f t="shared" si="35"/>
        <v>100.71931664918327</v>
      </c>
      <c r="W195" s="4">
        <f t="shared" si="36"/>
        <v>86.708860759493675</v>
      </c>
      <c r="X195" s="4">
        <f t="shared" si="37"/>
        <v>94.256174612291801</v>
      </c>
      <c r="Y195" s="4">
        <f t="shared" si="38"/>
        <v>113.67799113737078</v>
      </c>
      <c r="Z195" s="4">
        <f t="shared" si="39"/>
        <v>97.243960530792805</v>
      </c>
      <c r="AA195" s="4">
        <f t="shared" si="40"/>
        <v>101.51858192059197</v>
      </c>
      <c r="AB195" s="4">
        <f t="shared" si="41"/>
        <v>99.983349983349981</v>
      </c>
      <c r="AC195" s="4">
        <f t="shared" si="42"/>
        <v>98.663015463917532</v>
      </c>
      <c r="AD195" s="4">
        <f t="shared" si="43"/>
        <v>103.35001668335002</v>
      </c>
      <c r="AE195" s="4">
        <f t="shared" si="44"/>
        <v>97.755862045294634</v>
      </c>
      <c r="AF195" s="4">
        <f t="shared" si="45"/>
        <v>98.954288069771977</v>
      </c>
      <c r="AG195" s="4">
        <f t="shared" si="46"/>
        <v>100.16821946169773</v>
      </c>
      <c r="AH195" s="4">
        <f t="shared" si="47"/>
        <v>102.06339547491288</v>
      </c>
      <c r="AI195" s="4">
        <f t="shared" si="48"/>
        <v>96.28492028667543</v>
      </c>
      <c r="AJ195" s="4">
        <f t="shared" si="49"/>
        <v>90.556741665298063</v>
      </c>
      <c r="AK195" s="4">
        <f t="shared" si="50"/>
        <v>98.355956841307858</v>
      </c>
      <c r="AL195" s="4">
        <f t="shared" si="51"/>
        <v>102.69072523693528</v>
      </c>
      <c r="AM195" s="4">
        <f t="shared" si="52"/>
        <v>86.162378590983366</v>
      </c>
      <c r="AN195" s="4">
        <f t="shared" si="53"/>
        <v>107.09083119108827</v>
      </c>
      <c r="AO195" s="4">
        <f t="shared" si="54"/>
        <v>102.73007128969537</v>
      </c>
      <c r="AP195" s="4">
        <f t="shared" si="55"/>
        <v>104.24993675689348</v>
      </c>
      <c r="AQ195" s="4">
        <f t="shared" si="56"/>
        <v>98.28329958623118</v>
      </c>
      <c r="AR195" s="4">
        <f t="shared" si="57"/>
        <v>94.52946177490027</v>
      </c>
      <c r="AS195" s="4">
        <f t="shared" si="58"/>
        <v>92.010475395710785</v>
      </c>
      <c r="AT195" s="4">
        <f t="shared" si="59"/>
        <v>88.516951330238314</v>
      </c>
      <c r="AU195" s="4">
        <f t="shared" si="60"/>
        <v>104.34640877974574</v>
      </c>
      <c r="AV195" s="4">
        <f t="shared" si="61"/>
        <v>95.131482834185533</v>
      </c>
      <c r="AW195" s="4">
        <f t="shared" si="62"/>
        <v>97.795356506984348</v>
      </c>
      <c r="AX195" s="4">
        <f t="shared" si="63"/>
        <v>100.1341035692181</v>
      </c>
    </row>
    <row r="196" spans="1:50" ht="14.25" customHeight="1" x14ac:dyDescent="0.3">
      <c r="A196" s="2">
        <v>45678</v>
      </c>
      <c r="B196" s="4">
        <f t="shared" si="15"/>
        <v>104.29477993858751</v>
      </c>
      <c r="C196" s="4">
        <f t="shared" si="16"/>
        <v>92.126814602077687</v>
      </c>
      <c r="D196" s="4">
        <f t="shared" si="17"/>
        <v>101.90825343109606</v>
      </c>
      <c r="E196" s="4">
        <f t="shared" si="18"/>
        <v>98.137363372199047</v>
      </c>
      <c r="F196" s="4">
        <f t="shared" si="19"/>
        <v>93.183500175281424</v>
      </c>
      <c r="G196" s="4">
        <f t="shared" si="20"/>
        <v>95.694654563792227</v>
      </c>
      <c r="H196" s="4">
        <f t="shared" si="21"/>
        <v>95.654714475431618</v>
      </c>
      <c r="I196" s="4">
        <f t="shared" si="22"/>
        <v>100.79238620214464</v>
      </c>
      <c r="J196" s="4">
        <f t="shared" si="23"/>
        <v>105.13748504030107</v>
      </c>
      <c r="K196" s="4">
        <f t="shared" si="24"/>
        <v>95.572495740684118</v>
      </c>
      <c r="L196" s="4">
        <f t="shared" si="25"/>
        <v>96.553510565780513</v>
      </c>
      <c r="M196" s="4">
        <f t="shared" si="26"/>
        <v>106.02589152681496</v>
      </c>
      <c r="N196" s="4">
        <f t="shared" si="27"/>
        <v>91.541207008436089</v>
      </c>
      <c r="O196" s="4">
        <f t="shared" si="28"/>
        <v>105.86557817043165</v>
      </c>
      <c r="P196" s="4">
        <f t="shared" si="29"/>
        <v>94.270247652919792</v>
      </c>
      <c r="Q196" s="4">
        <f t="shared" si="30"/>
        <v>93.26701764596946</v>
      </c>
      <c r="R196" s="4">
        <f t="shared" si="31"/>
        <v>93.192976325674849</v>
      </c>
      <c r="S196" s="4">
        <f t="shared" si="32"/>
        <v>90.520619518566917</v>
      </c>
      <c r="T196" s="4">
        <f t="shared" si="33"/>
        <v>108.91905607713777</v>
      </c>
      <c r="U196" s="4">
        <f t="shared" si="34"/>
        <v>103.05791600719149</v>
      </c>
      <c r="V196" s="4">
        <f t="shared" si="35"/>
        <v>97.197662220890152</v>
      </c>
      <c r="W196" s="4">
        <f t="shared" si="36"/>
        <v>77.594936708860772</v>
      </c>
      <c r="X196" s="4">
        <f t="shared" si="37"/>
        <v>90.768852055468969</v>
      </c>
      <c r="Y196" s="4">
        <f t="shared" si="38"/>
        <v>112.17556446507702</v>
      </c>
      <c r="Z196" s="4">
        <f t="shared" si="39"/>
        <v>94.930248383804027</v>
      </c>
      <c r="AA196" s="4">
        <f t="shared" si="40"/>
        <v>102.36346568004859</v>
      </c>
      <c r="AB196" s="4">
        <f t="shared" si="41"/>
        <v>99.350649350649348</v>
      </c>
      <c r="AC196" s="4">
        <f t="shared" si="42"/>
        <v>97.406572164948471</v>
      </c>
      <c r="AD196" s="4">
        <f t="shared" si="43"/>
        <v>101.53486820153486</v>
      </c>
      <c r="AE196" s="4">
        <f t="shared" si="44"/>
        <v>96.88806768452784</v>
      </c>
      <c r="AF196" s="4">
        <f t="shared" si="45"/>
        <v>98.077799231987484</v>
      </c>
      <c r="AG196" s="4">
        <f t="shared" si="46"/>
        <v>98.744824016563157</v>
      </c>
      <c r="AH196" s="4">
        <f t="shared" si="47"/>
        <v>101.2538953734949</v>
      </c>
      <c r="AI196" s="4">
        <f t="shared" si="48"/>
        <v>94.851543074447846</v>
      </c>
      <c r="AJ196" s="4">
        <f t="shared" si="49"/>
        <v>85.43274757759896</v>
      </c>
      <c r="AK196" s="4">
        <f t="shared" si="50"/>
        <v>96.943267203079259</v>
      </c>
      <c r="AL196" s="4">
        <f t="shared" si="51"/>
        <v>101.73274926821279</v>
      </c>
      <c r="AM196" s="4">
        <f t="shared" si="52"/>
        <v>81.1673658222565</v>
      </c>
      <c r="AN196" s="4">
        <f t="shared" si="53"/>
        <v>104.72365038560409</v>
      </c>
      <c r="AO196" s="4">
        <f t="shared" si="54"/>
        <v>101.10174983797798</v>
      </c>
      <c r="AP196" s="4">
        <f t="shared" si="55"/>
        <v>103.71026224808162</v>
      </c>
      <c r="AQ196" s="4">
        <f t="shared" si="56"/>
        <v>96.281949702145141</v>
      </c>
      <c r="AR196" s="4">
        <f t="shared" si="57"/>
        <v>93.388267608397086</v>
      </c>
      <c r="AS196" s="4">
        <f t="shared" si="58"/>
        <v>93.887090974469615</v>
      </c>
      <c r="AT196" s="4">
        <f t="shared" si="59"/>
        <v>89.13367481541124</v>
      </c>
      <c r="AU196" s="4">
        <f t="shared" si="60"/>
        <v>105.62859936977074</v>
      </c>
      <c r="AV196" s="4">
        <f t="shared" si="61"/>
        <v>94.09422936449964</v>
      </c>
      <c r="AW196" s="4">
        <f t="shared" si="62"/>
        <v>96.186982446497055</v>
      </c>
      <c r="AX196" s="4">
        <f t="shared" si="63"/>
        <v>99.076748504229442</v>
      </c>
    </row>
    <row r="197" spans="1:50" ht="14.25" customHeight="1" x14ac:dyDescent="0.3">
      <c r="A197" s="2">
        <v>45679</v>
      </c>
      <c r="B197" s="4">
        <f t="shared" si="15"/>
        <v>104.57318321392015</v>
      </c>
      <c r="C197" s="4">
        <f t="shared" si="16"/>
        <v>93.453970248378909</v>
      </c>
      <c r="D197" s="4">
        <f t="shared" si="17"/>
        <v>102.25919659083786</v>
      </c>
      <c r="E197" s="4">
        <f t="shared" si="18"/>
        <v>101.07356928351714</v>
      </c>
      <c r="F197" s="4">
        <f t="shared" si="19"/>
        <v>93.518482452381889</v>
      </c>
      <c r="G197" s="4">
        <f t="shared" si="20"/>
        <v>94.988653555219344</v>
      </c>
      <c r="H197" s="4">
        <f t="shared" si="21"/>
        <v>98.616201859229747</v>
      </c>
      <c r="I197" s="4">
        <f t="shared" si="22"/>
        <v>100.89789414753886</v>
      </c>
      <c r="J197" s="4">
        <f t="shared" si="23"/>
        <v>106.66013005926204</v>
      </c>
      <c r="K197" s="4">
        <f t="shared" si="24"/>
        <v>95.452361189987329</v>
      </c>
      <c r="L197" s="4">
        <f t="shared" si="25"/>
        <v>95.929107021131557</v>
      </c>
      <c r="M197" s="4">
        <f t="shared" si="26"/>
        <v>107.2450773087801</v>
      </c>
      <c r="N197" s="4">
        <f t="shared" si="27"/>
        <v>91.708306294613891</v>
      </c>
      <c r="O197" s="4">
        <f t="shared" si="28"/>
        <v>107.21874301051217</v>
      </c>
      <c r="P197" s="4">
        <f t="shared" si="29"/>
        <v>95.593504014226312</v>
      </c>
      <c r="Q197" s="4">
        <f t="shared" si="30"/>
        <v>95.185057805762042</v>
      </c>
      <c r="R197" s="4">
        <f t="shared" si="31"/>
        <v>93.419673276841095</v>
      </c>
      <c r="S197" s="4">
        <f t="shared" si="32"/>
        <v>89.503638738570629</v>
      </c>
      <c r="T197" s="4">
        <f t="shared" si="33"/>
        <v>110.58741436183711</v>
      </c>
      <c r="U197" s="4">
        <f t="shared" si="34"/>
        <v>103.1531877621894</v>
      </c>
      <c r="V197" s="4">
        <f t="shared" si="35"/>
        <v>96.628203206953387</v>
      </c>
      <c r="W197" s="4">
        <f t="shared" si="36"/>
        <v>78.282097649186269</v>
      </c>
      <c r="X197" s="4">
        <f t="shared" si="37"/>
        <v>90.444736194305406</v>
      </c>
      <c r="Y197" s="4">
        <f t="shared" si="38"/>
        <v>111.43701202785398</v>
      </c>
      <c r="Z197" s="4">
        <f t="shared" si="39"/>
        <v>91.987070432119793</v>
      </c>
      <c r="AA197" s="4">
        <f t="shared" si="40"/>
        <v>101.5406703848915</v>
      </c>
      <c r="AB197" s="4">
        <f t="shared" si="41"/>
        <v>102.93040293040295</v>
      </c>
      <c r="AC197" s="4">
        <f t="shared" si="42"/>
        <v>95.860180412371136</v>
      </c>
      <c r="AD197" s="4">
        <f t="shared" si="43"/>
        <v>99.132465799132461</v>
      </c>
      <c r="AE197" s="4">
        <f t="shared" si="44"/>
        <v>96.799972541773698</v>
      </c>
      <c r="AF197" s="4">
        <f t="shared" si="45"/>
        <v>98.153732670904475</v>
      </c>
      <c r="AG197" s="4">
        <f t="shared" si="46"/>
        <v>98.136645962732928</v>
      </c>
      <c r="AH197" s="4">
        <f t="shared" si="47"/>
        <v>101.77758108830746</v>
      </c>
      <c r="AI197" s="4">
        <f t="shared" si="48"/>
        <v>94.281117449173607</v>
      </c>
      <c r="AJ197" s="4">
        <f t="shared" si="49"/>
        <v>86.319592708162247</v>
      </c>
      <c r="AK197" s="4">
        <f t="shared" si="50"/>
        <v>97.788833609729124</v>
      </c>
      <c r="AL197" s="4">
        <f t="shared" si="51"/>
        <v>102.54641475446749</v>
      </c>
      <c r="AM197" s="4">
        <f t="shared" si="52"/>
        <v>79.602577797270825</v>
      </c>
      <c r="AN197" s="4">
        <f t="shared" si="53"/>
        <v>104.25949728648956</v>
      </c>
      <c r="AO197" s="4">
        <f t="shared" si="54"/>
        <v>100.16202203499678</v>
      </c>
      <c r="AP197" s="4">
        <f t="shared" si="55"/>
        <v>103.45728982207605</v>
      </c>
      <c r="AQ197" s="4">
        <f t="shared" si="56"/>
        <v>98.832056812512832</v>
      </c>
      <c r="AR197" s="4">
        <f t="shared" si="57"/>
        <v>94.133804198548162</v>
      </c>
      <c r="AS197" s="4">
        <f t="shared" si="58"/>
        <v>93.530900381972003</v>
      </c>
      <c r="AT197" s="4">
        <f t="shared" si="59"/>
        <v>88.851009884706983</v>
      </c>
      <c r="AU197" s="4">
        <f t="shared" si="60"/>
        <v>105.1178963381506</v>
      </c>
      <c r="AV197" s="4">
        <f t="shared" si="61"/>
        <v>94.685902118334567</v>
      </c>
      <c r="AW197" s="4">
        <f t="shared" si="62"/>
        <v>96.925448397003109</v>
      </c>
      <c r="AX197" s="4">
        <f t="shared" si="63"/>
        <v>100.15989271714464</v>
      </c>
    </row>
    <row r="198" spans="1:50" ht="14.25" customHeight="1" x14ac:dyDescent="0.3">
      <c r="A198" s="2">
        <v>45680</v>
      </c>
      <c r="B198" s="4">
        <f t="shared" si="15"/>
        <v>103.47185261003071</v>
      </c>
      <c r="C198" s="4">
        <f t="shared" si="16"/>
        <v>93.388902600462217</v>
      </c>
      <c r="D198" s="4">
        <f t="shared" si="17"/>
        <v>102.52553738171335</v>
      </c>
      <c r="E198" s="4">
        <f t="shared" si="18"/>
        <v>100.80244136706828</v>
      </c>
      <c r="F198" s="4">
        <f t="shared" si="19"/>
        <v>93.619756164063404</v>
      </c>
      <c r="G198" s="4">
        <f t="shared" si="20"/>
        <v>94.036812909732731</v>
      </c>
      <c r="H198" s="4">
        <f t="shared" si="21"/>
        <v>99.094289508632144</v>
      </c>
      <c r="I198" s="4">
        <f t="shared" si="22"/>
        <v>99.982774212996858</v>
      </c>
      <c r="J198" s="4">
        <f t="shared" si="23"/>
        <v>107.32484535636526</v>
      </c>
      <c r="K198" s="4">
        <f t="shared" si="24"/>
        <v>96.151325848586765</v>
      </c>
      <c r="L198" s="4">
        <f t="shared" si="25"/>
        <v>95.521472392638032</v>
      </c>
      <c r="M198" s="4">
        <f t="shared" si="26"/>
        <v>107.47169508310806</v>
      </c>
      <c r="N198" s="4">
        <f t="shared" si="27"/>
        <v>93.655094094743646</v>
      </c>
      <c r="O198" s="4">
        <f t="shared" si="28"/>
        <v>105.95224781927979</v>
      </c>
      <c r="P198" s="4">
        <f t="shared" si="29"/>
        <v>94.510839718611876</v>
      </c>
      <c r="Q198" s="4">
        <f t="shared" si="30"/>
        <v>97.018439641260329</v>
      </c>
      <c r="R198" s="4">
        <f t="shared" si="31"/>
        <v>99.771992661832783</v>
      </c>
      <c r="S198" s="4">
        <f t="shared" si="32"/>
        <v>88.733905579399135</v>
      </c>
      <c r="T198" s="4">
        <f t="shared" si="33"/>
        <v>110.76820603907638</v>
      </c>
      <c r="U198" s="4">
        <f t="shared" si="34"/>
        <v>104.44703966070963</v>
      </c>
      <c r="V198" s="4">
        <f t="shared" si="35"/>
        <v>97.002847295069685</v>
      </c>
      <c r="W198" s="4">
        <f t="shared" si="36"/>
        <v>80.271247739602174</v>
      </c>
      <c r="X198" s="4">
        <f t="shared" si="37"/>
        <v>90.588331828998122</v>
      </c>
      <c r="Y198" s="4">
        <f t="shared" si="38"/>
        <v>111.01498206372653</v>
      </c>
      <c r="Z198" s="4">
        <f t="shared" si="39"/>
        <v>93.211976862878544</v>
      </c>
      <c r="AA198" s="4">
        <f t="shared" si="40"/>
        <v>102.70031476061625</v>
      </c>
      <c r="AB198" s="4">
        <f t="shared" si="41"/>
        <v>105.79420579420579</v>
      </c>
      <c r="AC198" s="4">
        <f t="shared" si="42"/>
        <v>94.829252577319608</v>
      </c>
      <c r="AD198" s="4">
        <f t="shared" si="43"/>
        <v>100.43376710043377</v>
      </c>
      <c r="AE198" s="4">
        <f t="shared" si="44"/>
        <v>96.1032200490816</v>
      </c>
      <c r="AF198" s="4">
        <f t="shared" si="45"/>
        <v>98.772047816371227</v>
      </c>
      <c r="AG198" s="4">
        <f t="shared" si="46"/>
        <v>99.844720496894425</v>
      </c>
      <c r="AH198" s="4">
        <f t="shared" si="47"/>
        <v>101.36914311002934</v>
      </c>
      <c r="AI198" s="4">
        <f t="shared" si="48"/>
        <v>95.34152406026034</v>
      </c>
      <c r="AJ198" s="4">
        <f t="shared" si="49"/>
        <v>84.036787649860401</v>
      </c>
      <c r="AK198" s="4">
        <f t="shared" si="50"/>
        <v>100.77800298916939</v>
      </c>
      <c r="AL198" s="4">
        <f t="shared" si="51"/>
        <v>104.72642417047058</v>
      </c>
      <c r="AM198" s="4">
        <f t="shared" si="52"/>
        <v>81.119969439944541</v>
      </c>
      <c r="AN198" s="4">
        <f t="shared" si="53"/>
        <v>103.53113396172522</v>
      </c>
      <c r="AO198" s="4">
        <f t="shared" si="54"/>
        <v>100.61568373298768</v>
      </c>
      <c r="AP198" s="4">
        <f t="shared" si="55"/>
        <v>102.58031874525675</v>
      </c>
      <c r="AQ198" s="4">
        <f t="shared" si="56"/>
        <v>100.56049534876897</v>
      </c>
      <c r="AR198" s="4">
        <f t="shared" si="57"/>
        <v>94.902230069975815</v>
      </c>
      <c r="AS198" s="4">
        <f t="shared" si="58"/>
        <v>93.910158555698033</v>
      </c>
      <c r="AT198" s="4">
        <f t="shared" si="59"/>
        <v>90.761139567950949</v>
      </c>
      <c r="AU198" s="4">
        <f t="shared" si="60"/>
        <v>106.91078995979572</v>
      </c>
      <c r="AV198" s="4">
        <f t="shared" si="61"/>
        <v>94.185536888239611</v>
      </c>
      <c r="AW198" s="4">
        <f t="shared" si="62"/>
        <v>97.992519746197132</v>
      </c>
      <c r="AX198" s="4">
        <f t="shared" si="63"/>
        <v>100.15989271714464</v>
      </c>
    </row>
    <row r="199" spans="1:50" ht="14.25" customHeight="1" x14ac:dyDescent="0.3">
      <c r="A199" s="2">
        <v>45681</v>
      </c>
      <c r="B199" s="4">
        <f t="shared" si="15"/>
        <v>102.05117707267144</v>
      </c>
      <c r="C199" s="4">
        <f t="shared" si="16"/>
        <v>92.541901321546376</v>
      </c>
      <c r="D199" s="4">
        <f t="shared" si="17"/>
        <v>103.07701948987904</v>
      </c>
      <c r="E199" s="4">
        <f t="shared" si="18"/>
        <v>100.97022456200078</v>
      </c>
      <c r="F199" s="4">
        <f t="shared" si="19"/>
        <v>94.200132434853728</v>
      </c>
      <c r="G199" s="4">
        <f t="shared" si="20"/>
        <v>93.816187594553696</v>
      </c>
      <c r="H199" s="4">
        <f t="shared" si="21"/>
        <v>99.625498007968133</v>
      </c>
      <c r="I199" s="4">
        <f t="shared" si="22"/>
        <v>101.98096550536152</v>
      </c>
      <c r="J199" s="4">
        <f t="shared" si="23"/>
        <v>107.25707611783197</v>
      </c>
      <c r="K199" s="4">
        <f t="shared" si="24"/>
        <v>96.457122886724051</v>
      </c>
      <c r="L199" s="4">
        <f t="shared" si="25"/>
        <v>94.293115201090657</v>
      </c>
      <c r="M199" s="4">
        <f t="shared" si="26"/>
        <v>106.7771205267525</v>
      </c>
      <c r="N199" s="4">
        <f t="shared" si="27"/>
        <v>90.895522388059717</v>
      </c>
      <c r="O199" s="4">
        <f t="shared" si="28"/>
        <v>105.46857526280473</v>
      </c>
      <c r="P199" s="4">
        <f t="shared" si="29"/>
        <v>93.770757603493806</v>
      </c>
      <c r="Q199" s="4">
        <f t="shared" si="30"/>
        <v>96.415249080663514</v>
      </c>
      <c r="R199" s="4">
        <f t="shared" si="31"/>
        <v>98.592207565300939</v>
      </c>
      <c r="S199" s="4">
        <f t="shared" si="32"/>
        <v>88.495988057473411</v>
      </c>
      <c r="T199" s="4">
        <f t="shared" si="33"/>
        <v>109.66125348896219</v>
      </c>
      <c r="U199" s="4">
        <f t="shared" si="34"/>
        <v>104.55767782780401</v>
      </c>
      <c r="V199" s="4">
        <f t="shared" si="35"/>
        <v>97.002847295069685</v>
      </c>
      <c r="W199" s="4">
        <f t="shared" si="36"/>
        <v>77.974683544303801</v>
      </c>
      <c r="X199" s="4">
        <f t="shared" si="37"/>
        <v>89.780093542299184</v>
      </c>
      <c r="Y199" s="4">
        <f t="shared" si="38"/>
        <v>108.25490609833297</v>
      </c>
      <c r="Z199" s="4">
        <f t="shared" si="39"/>
        <v>91.919020074855396</v>
      </c>
      <c r="AA199" s="4">
        <f t="shared" si="40"/>
        <v>102.98194268043514</v>
      </c>
      <c r="AB199" s="4">
        <f t="shared" si="41"/>
        <v>106.5934065934066</v>
      </c>
      <c r="AC199" s="4">
        <f t="shared" si="42"/>
        <v>95.312500000000028</v>
      </c>
      <c r="AD199" s="4">
        <f t="shared" si="43"/>
        <v>97.977977977977972</v>
      </c>
      <c r="AE199" s="4">
        <f t="shared" si="44"/>
        <v>96.120953486908732</v>
      </c>
      <c r="AF199" s="4">
        <f t="shared" si="45"/>
        <v>98.166749831861665</v>
      </c>
      <c r="AG199" s="4">
        <f t="shared" si="46"/>
        <v>99.133022774327131</v>
      </c>
      <c r="AH199" s="4">
        <f t="shared" si="47"/>
        <v>101.78219099776884</v>
      </c>
      <c r="AI199" s="4">
        <f t="shared" si="48"/>
        <v>94.880795670615768</v>
      </c>
      <c r="AJ199" s="4">
        <f t="shared" si="49"/>
        <v>80.292330431926416</v>
      </c>
      <c r="AK199" s="4">
        <f t="shared" si="50"/>
        <v>101.99004975124377</v>
      </c>
      <c r="AL199" s="4">
        <f t="shared" si="51"/>
        <v>106.57073260598121</v>
      </c>
      <c r="AM199" s="4">
        <f t="shared" si="52"/>
        <v>77.679840974526215</v>
      </c>
      <c r="AN199" s="4">
        <f t="shared" si="53"/>
        <v>102.85632676378175</v>
      </c>
      <c r="AO199" s="4">
        <f t="shared" si="54"/>
        <v>100.63188593648735</v>
      </c>
      <c r="AP199" s="4">
        <f t="shared" si="55"/>
        <v>102.35264356185174</v>
      </c>
      <c r="AQ199" s="4">
        <f t="shared" si="56"/>
        <v>101.12685975878158</v>
      </c>
      <c r="AR199" s="4">
        <f t="shared" si="57"/>
        <v>92.302661696422746</v>
      </c>
      <c r="AS199" s="4">
        <f t="shared" si="58"/>
        <v>91.524699273371198</v>
      </c>
      <c r="AT199" s="4">
        <f t="shared" si="59"/>
        <v>90.358556181796388</v>
      </c>
      <c r="AU199" s="4">
        <f t="shared" si="60"/>
        <v>107.828968814517</v>
      </c>
      <c r="AV199" s="4">
        <f t="shared" si="61"/>
        <v>89.437545653761887</v>
      </c>
      <c r="AW199" s="4">
        <f t="shared" si="62"/>
        <v>96.834633814092967</v>
      </c>
      <c r="AX199" s="4">
        <f t="shared" si="63"/>
        <v>98.081287394264493</v>
      </c>
    </row>
    <row r="200" spans="1:50" ht="14.25" customHeight="1" x14ac:dyDescent="0.3">
      <c r="A200" s="2">
        <v>45684</v>
      </c>
      <c r="B200" s="4">
        <f t="shared" si="15"/>
        <v>100.66325486182191</v>
      </c>
      <c r="C200" s="4">
        <f t="shared" si="16"/>
        <v>91.420045322982347</v>
      </c>
      <c r="D200" s="4">
        <f t="shared" si="17"/>
        <v>100.43241210753899</v>
      </c>
      <c r="E200" s="4">
        <f t="shared" si="18"/>
        <v>98.849834040535441</v>
      </c>
      <c r="F200" s="4">
        <f t="shared" si="19"/>
        <v>95.660810968722004</v>
      </c>
      <c r="G200" s="4">
        <f t="shared" si="20"/>
        <v>94.452849218356022</v>
      </c>
      <c r="H200" s="4">
        <f t="shared" si="21"/>
        <v>96.786188579017249</v>
      </c>
      <c r="I200" s="4">
        <f t="shared" si="22"/>
        <v>103.04681107618106</v>
      </c>
      <c r="J200" s="4">
        <f t="shared" si="23"/>
        <v>105.19227719060457</v>
      </c>
      <c r="K200" s="4">
        <f t="shared" si="24"/>
        <v>96.129483203005549</v>
      </c>
      <c r="L200" s="4">
        <f t="shared" si="25"/>
        <v>94.27811860940696</v>
      </c>
      <c r="M200" s="4">
        <f t="shared" si="26"/>
        <v>107.00864537887102</v>
      </c>
      <c r="N200" s="4">
        <f t="shared" si="27"/>
        <v>91.875405580791679</v>
      </c>
      <c r="O200" s="4">
        <f t="shared" si="28"/>
        <v>105.20017893088793</v>
      </c>
      <c r="P200" s="4">
        <f t="shared" si="29"/>
        <v>89.539475404691544</v>
      </c>
      <c r="Q200" s="4">
        <f t="shared" si="30"/>
        <v>94.54482922828646</v>
      </c>
      <c r="R200" s="4">
        <f t="shared" si="31"/>
        <v>98.187297982004011</v>
      </c>
      <c r="S200" s="4">
        <f t="shared" si="32"/>
        <v>88.458667661877229</v>
      </c>
      <c r="T200" s="4">
        <f t="shared" si="33"/>
        <v>108.5765034255265</v>
      </c>
      <c r="U200" s="4">
        <f t="shared" si="34"/>
        <v>102.01299998463358</v>
      </c>
      <c r="V200" s="4">
        <f t="shared" si="35"/>
        <v>96.568260152854776</v>
      </c>
      <c r="W200" s="4">
        <f t="shared" si="36"/>
        <v>74.575045207956606</v>
      </c>
      <c r="X200" s="4">
        <f t="shared" si="37"/>
        <v>88.783129564289837</v>
      </c>
      <c r="Y200" s="4">
        <f t="shared" si="38"/>
        <v>105.83667440388267</v>
      </c>
      <c r="Z200" s="4">
        <f t="shared" si="39"/>
        <v>89.469207213337882</v>
      </c>
      <c r="AA200" s="4">
        <f t="shared" si="40"/>
        <v>101.5351482688166</v>
      </c>
      <c r="AB200" s="4">
        <f t="shared" si="41"/>
        <v>102.54745254745255</v>
      </c>
      <c r="AC200" s="4">
        <f t="shared" si="42"/>
        <v>92.461340206185582</v>
      </c>
      <c r="AD200" s="4">
        <f t="shared" si="43"/>
        <v>95.168501835168499</v>
      </c>
      <c r="AE200" s="4">
        <f t="shared" si="44"/>
        <v>95.927601809954751</v>
      </c>
      <c r="AF200" s="4">
        <f t="shared" si="45"/>
        <v>97.693792983750257</v>
      </c>
      <c r="AG200" s="4">
        <f t="shared" si="46"/>
        <v>97.243788819875775</v>
      </c>
      <c r="AH200" s="4">
        <f t="shared" si="47"/>
        <v>100.2544670022681</v>
      </c>
      <c r="AI200" s="4">
        <f t="shared" si="48"/>
        <v>92.416264443469359</v>
      </c>
      <c r="AJ200" s="4">
        <f t="shared" si="49"/>
        <v>76.629988503859408</v>
      </c>
      <c r="AK200" s="4">
        <f t="shared" si="50"/>
        <v>100.65106565935753</v>
      </c>
      <c r="AL200" s="4">
        <f t="shared" si="51"/>
        <v>105.30571305753995</v>
      </c>
      <c r="AM200" s="4">
        <f t="shared" si="52"/>
        <v>76.578405642291727</v>
      </c>
      <c r="AN200" s="4">
        <f t="shared" si="53"/>
        <v>101.71379605826904</v>
      </c>
      <c r="AO200" s="4">
        <f t="shared" si="54"/>
        <v>98.86584575502269</v>
      </c>
      <c r="AP200" s="4">
        <f t="shared" si="55"/>
        <v>98.979677881777533</v>
      </c>
      <c r="AQ200" s="4">
        <f t="shared" si="56"/>
        <v>97.068403908794792</v>
      </c>
      <c r="AR200" s="4">
        <f t="shared" si="57"/>
        <v>91.302073114904175</v>
      </c>
      <c r="AS200" s="4">
        <f t="shared" si="58"/>
        <v>90.851668668118563</v>
      </c>
      <c r="AT200" s="4">
        <f t="shared" si="59"/>
        <v>87.651825330204019</v>
      </c>
      <c r="AU200" s="4">
        <f t="shared" si="60"/>
        <v>104.94403998696077</v>
      </c>
      <c r="AV200" s="4">
        <f t="shared" si="61"/>
        <v>87.483564645726815</v>
      </c>
      <c r="AW200" s="4">
        <f t="shared" si="62"/>
        <v>95.975480062614267</v>
      </c>
      <c r="AX200" s="4">
        <f t="shared" si="63"/>
        <v>95.569424386218287</v>
      </c>
    </row>
    <row r="201" spans="1:50" ht="14.25" customHeight="1" x14ac:dyDescent="0.3">
      <c r="A201" s="2">
        <v>45685</v>
      </c>
      <c r="B201" s="4">
        <f t="shared" si="15"/>
        <v>101.07676560900715</v>
      </c>
      <c r="C201" s="4">
        <f t="shared" si="16"/>
        <v>93.697413000067314</v>
      </c>
      <c r="D201" s="4">
        <f t="shared" si="17"/>
        <v>101.41943974431284</v>
      </c>
      <c r="E201" s="4">
        <f t="shared" si="18"/>
        <v>98.245571374727973</v>
      </c>
      <c r="F201" s="4">
        <f t="shared" si="19"/>
        <v>97.13707007361819</v>
      </c>
      <c r="G201" s="4">
        <f t="shared" si="20"/>
        <v>94.856278366111951</v>
      </c>
      <c r="H201" s="4">
        <f t="shared" si="21"/>
        <v>97.197875166002646</v>
      </c>
      <c r="I201" s="4">
        <f t="shared" si="22"/>
        <v>102.87455320614963</v>
      </c>
      <c r="J201" s="4">
        <f t="shared" si="23"/>
        <v>109.6794659207244</v>
      </c>
      <c r="K201" s="4">
        <f t="shared" si="24"/>
        <v>95.113800183478219</v>
      </c>
      <c r="L201" s="4">
        <f t="shared" si="25"/>
        <v>93.085207907293793</v>
      </c>
      <c r="M201" s="4">
        <f t="shared" si="26"/>
        <v>108.16760793340652</v>
      </c>
      <c r="N201" s="4">
        <f t="shared" si="27"/>
        <v>93.140817650876045</v>
      </c>
      <c r="O201" s="4">
        <f t="shared" si="28"/>
        <v>105.55524491165286</v>
      </c>
      <c r="P201" s="4">
        <f t="shared" si="29"/>
        <v>88.561416355030204</v>
      </c>
      <c r="Q201" s="4">
        <f t="shared" si="30"/>
        <v>90.240482552448469</v>
      </c>
      <c r="R201" s="4">
        <f t="shared" si="31"/>
        <v>98.683934655368205</v>
      </c>
      <c r="S201" s="4">
        <f t="shared" si="32"/>
        <v>91.789512968837457</v>
      </c>
      <c r="T201" s="4">
        <f t="shared" si="33"/>
        <v>112.21453945699061</v>
      </c>
      <c r="U201" s="4">
        <f t="shared" si="34"/>
        <v>102.21429998309695</v>
      </c>
      <c r="V201" s="4">
        <f t="shared" si="35"/>
        <v>95.384384834407314</v>
      </c>
      <c r="W201" s="4">
        <f t="shared" si="36"/>
        <v>75.298372513562398</v>
      </c>
      <c r="X201" s="4">
        <f t="shared" si="37"/>
        <v>88.676458521375253</v>
      </c>
      <c r="Y201" s="4">
        <f t="shared" si="38"/>
        <v>104.95041147921505</v>
      </c>
      <c r="Z201" s="4">
        <f t="shared" si="39"/>
        <v>87.870023817625068</v>
      </c>
      <c r="AA201" s="4">
        <f t="shared" si="40"/>
        <v>101.1817328400243</v>
      </c>
      <c r="AB201" s="4">
        <f t="shared" si="41"/>
        <v>101.09890109890109</v>
      </c>
      <c r="AC201" s="4">
        <f t="shared" si="42"/>
        <v>91.478737113402047</v>
      </c>
      <c r="AD201" s="4">
        <f t="shared" si="43"/>
        <v>97.197197197197198</v>
      </c>
      <c r="AE201" s="4">
        <f t="shared" si="44"/>
        <v>96.085486611254439</v>
      </c>
      <c r="AF201" s="4">
        <f t="shared" si="45"/>
        <v>97.272904779467595</v>
      </c>
      <c r="AG201" s="4">
        <f t="shared" si="46"/>
        <v>95.923913043478265</v>
      </c>
      <c r="AH201" s="4">
        <f t="shared" si="47"/>
        <v>99.40347771569769</v>
      </c>
      <c r="AI201" s="4">
        <f t="shared" si="48"/>
        <v>94.061722977914286</v>
      </c>
      <c r="AJ201" s="4">
        <f t="shared" si="49"/>
        <v>76.662834619806205</v>
      </c>
      <c r="AK201" s="4">
        <f t="shared" si="50"/>
        <v>98.736768830743401</v>
      </c>
      <c r="AL201" s="4">
        <f t="shared" si="51"/>
        <v>104.50535279307307</v>
      </c>
      <c r="AM201" s="4">
        <f t="shared" si="52"/>
        <v>77.179703029831444</v>
      </c>
      <c r="AN201" s="4">
        <f t="shared" si="53"/>
        <v>101.36389602970578</v>
      </c>
      <c r="AO201" s="4">
        <f t="shared" si="54"/>
        <v>99.084575502268308</v>
      </c>
      <c r="AP201" s="4">
        <f t="shared" si="55"/>
        <v>96.778817775529134</v>
      </c>
      <c r="AQ201" s="4">
        <f t="shared" si="56"/>
        <v>96.742671009771982</v>
      </c>
      <c r="AR201" s="4">
        <f t="shared" si="57"/>
        <v>92.904322804263941</v>
      </c>
      <c r="AS201" s="4">
        <f t="shared" si="58"/>
        <v>91.034852401403043</v>
      </c>
      <c r="AT201" s="4">
        <f t="shared" si="59"/>
        <v>90.812533191715346</v>
      </c>
      <c r="AU201" s="4">
        <f t="shared" si="60"/>
        <v>104.44963598826472</v>
      </c>
      <c r="AV201" s="4">
        <f t="shared" si="61"/>
        <v>86.285609934258588</v>
      </c>
      <c r="AW201" s="4">
        <f t="shared" si="62"/>
        <v>96.224025236894619</v>
      </c>
      <c r="AX201" s="4">
        <f t="shared" si="63"/>
        <v>96.363730142356104</v>
      </c>
    </row>
    <row r="202" spans="1:50" ht="14.25" customHeight="1" x14ac:dyDescent="0.3">
      <c r="A202" s="2">
        <v>45686</v>
      </c>
      <c r="B202" s="4">
        <f t="shared" si="15"/>
        <v>101.16683725690889</v>
      </c>
      <c r="C202" s="4">
        <f t="shared" si="16"/>
        <v>94.084453319571921</v>
      </c>
      <c r="D202" s="4">
        <f t="shared" si="17"/>
        <v>100.29767500156672</v>
      </c>
      <c r="E202" s="4">
        <f t="shared" si="18"/>
        <v>99.692397475957179</v>
      </c>
      <c r="F202" s="4">
        <f t="shared" si="19"/>
        <v>97.507108635531495</v>
      </c>
      <c r="G202" s="4">
        <f t="shared" si="20"/>
        <v>95.619011598588003</v>
      </c>
      <c r="H202" s="4">
        <f t="shared" si="21"/>
        <v>99.933598937582985</v>
      </c>
      <c r="I202" s="4">
        <f t="shared" si="22"/>
        <v>102.66353731536111</v>
      </c>
      <c r="J202" s="4">
        <f t="shared" si="23"/>
        <v>111.88701281847938</v>
      </c>
      <c r="K202" s="4">
        <f t="shared" si="24"/>
        <v>94.655104626272333</v>
      </c>
      <c r="L202" s="4">
        <f t="shared" si="25"/>
        <v>94.061349693251529</v>
      </c>
      <c r="M202" s="4">
        <f t="shared" si="26"/>
        <v>106.86634012294461</v>
      </c>
      <c r="N202" s="4">
        <f t="shared" si="27"/>
        <v>94.884815055158981</v>
      </c>
      <c r="O202" s="4">
        <f t="shared" si="28"/>
        <v>107.37810333258777</v>
      </c>
      <c r="P202" s="4">
        <f t="shared" si="29"/>
        <v>89.908208896676172</v>
      </c>
      <c r="Q202" s="4">
        <f t="shared" si="30"/>
        <v>91.819889415063884</v>
      </c>
      <c r="R202" s="4">
        <f t="shared" si="31"/>
        <v>100.85480912029352</v>
      </c>
      <c r="S202" s="4">
        <f t="shared" si="32"/>
        <v>91.752192573241288</v>
      </c>
      <c r="T202" s="4">
        <f t="shared" si="33"/>
        <v>113.57523471200201</v>
      </c>
      <c r="U202" s="4">
        <f t="shared" si="34"/>
        <v>103.59266714814758</v>
      </c>
      <c r="V202" s="4">
        <f t="shared" si="35"/>
        <v>96.283530645886401</v>
      </c>
      <c r="W202" s="4">
        <f t="shared" si="36"/>
        <v>80.470162748643773</v>
      </c>
      <c r="X202" s="4">
        <f t="shared" si="37"/>
        <v>90.009846557807506</v>
      </c>
      <c r="Y202" s="4">
        <f t="shared" si="38"/>
        <v>106.0983329816417</v>
      </c>
      <c r="Z202" s="4">
        <f t="shared" si="39"/>
        <v>90.915277305205848</v>
      </c>
      <c r="AA202" s="4">
        <f t="shared" si="40"/>
        <v>103.55072063614779</v>
      </c>
      <c r="AB202" s="4">
        <f t="shared" si="41"/>
        <v>104.04595404595405</v>
      </c>
      <c r="AC202" s="4">
        <f t="shared" si="42"/>
        <v>92.73518041237115</v>
      </c>
      <c r="AD202" s="4">
        <f t="shared" si="43"/>
        <v>100.43376710043377</v>
      </c>
      <c r="AE202" s="4">
        <f t="shared" si="44"/>
        <v>98.687725600791737</v>
      </c>
      <c r="AF202" s="4">
        <f t="shared" si="45"/>
        <v>96.46367127329529</v>
      </c>
      <c r="AG202" s="4">
        <f t="shared" si="46"/>
        <v>98.20134575569358</v>
      </c>
      <c r="AH202" s="4">
        <f t="shared" si="47"/>
        <v>100.52829562427394</v>
      </c>
      <c r="AI202" s="4">
        <f t="shared" si="48"/>
        <v>95.655989469065389</v>
      </c>
      <c r="AJ202" s="4">
        <f t="shared" si="49"/>
        <v>78.272294301198883</v>
      </c>
      <c r="AK202" s="4">
        <f t="shared" si="50"/>
        <v>100.47089654607619</v>
      </c>
      <c r="AL202" s="4">
        <f t="shared" si="51"/>
        <v>106.09174462161994</v>
      </c>
      <c r="AM202" s="4">
        <f t="shared" si="52"/>
        <v>79.189451121596477</v>
      </c>
      <c r="AN202" s="4">
        <f t="shared" si="53"/>
        <v>104.32019423021993</v>
      </c>
      <c r="AO202" s="4">
        <f t="shared" si="54"/>
        <v>101.80654569021388</v>
      </c>
      <c r="AP202" s="4">
        <f t="shared" si="55"/>
        <v>98.507462686567166</v>
      </c>
      <c r="AQ202" s="4">
        <f t="shared" si="56"/>
        <v>98.667723097690512</v>
      </c>
      <c r="AR202" s="4">
        <f t="shared" si="57"/>
        <v>93.123405925053959</v>
      </c>
      <c r="AS202" s="4">
        <f t="shared" si="58"/>
        <v>92.057289016439043</v>
      </c>
      <c r="AT202" s="4">
        <f t="shared" si="59"/>
        <v>94.821235845339444</v>
      </c>
      <c r="AU202" s="4">
        <f t="shared" si="60"/>
        <v>104.36814082364447</v>
      </c>
      <c r="AV202" s="4">
        <f t="shared" si="61"/>
        <v>86.281957633308991</v>
      </c>
      <c r="AW202" s="4">
        <f t="shared" si="62"/>
        <v>97.325749519041182</v>
      </c>
      <c r="AX202" s="4">
        <f t="shared" si="63"/>
        <v>97.823395914998969</v>
      </c>
    </row>
    <row r="203" spans="1:50" ht="14.25" customHeight="1" x14ac:dyDescent="0.3">
      <c r="A203" s="2">
        <v>45687</v>
      </c>
      <c r="B203" s="4">
        <f t="shared" si="15"/>
        <v>102.60388945752301</v>
      </c>
      <c r="C203" s="4">
        <f t="shared" si="16"/>
        <v>94.880971078552363</v>
      </c>
      <c r="D203" s="4">
        <f t="shared" si="17"/>
        <v>102.82321238328007</v>
      </c>
      <c r="E203" s="4">
        <f t="shared" si="18"/>
        <v>99.698476577222834</v>
      </c>
      <c r="F203" s="4">
        <f t="shared" si="19"/>
        <v>97.814824913333069</v>
      </c>
      <c r="G203" s="4">
        <f t="shared" si="20"/>
        <v>96.142208774583963</v>
      </c>
      <c r="H203" s="4">
        <f t="shared" si="21"/>
        <v>98.802124833997354</v>
      </c>
      <c r="I203" s="4">
        <f t="shared" si="22"/>
        <v>103.731536109556</v>
      </c>
      <c r="J203" s="4">
        <f t="shared" si="23"/>
        <v>113.93306706270816</v>
      </c>
      <c r="K203" s="4">
        <f t="shared" si="24"/>
        <v>95.277620025337455</v>
      </c>
      <c r="L203" s="4">
        <f t="shared" si="25"/>
        <v>93.277436946148597</v>
      </c>
      <c r="M203" s="4">
        <f t="shared" si="26"/>
        <v>107.06351543052916</v>
      </c>
      <c r="N203" s="4">
        <f t="shared" si="27"/>
        <v>96.41304347826086</v>
      </c>
      <c r="O203" s="4">
        <f t="shared" si="28"/>
        <v>106.32408857078953</v>
      </c>
      <c r="P203" s="4">
        <f t="shared" si="29"/>
        <v>89.599623421114558</v>
      </c>
      <c r="Q203" s="4">
        <f t="shared" si="30"/>
        <v>92.018307362628619</v>
      </c>
      <c r="R203" s="4">
        <f t="shared" si="31"/>
        <v>100.28304359220756</v>
      </c>
      <c r="S203" s="4">
        <f t="shared" si="32"/>
        <v>91.873483858928921</v>
      </c>
      <c r="T203" s="4">
        <f t="shared" si="33"/>
        <v>110.70794214666329</v>
      </c>
      <c r="U203" s="4">
        <f t="shared" si="34"/>
        <v>103.52044501129431</v>
      </c>
      <c r="V203" s="4">
        <f t="shared" si="35"/>
        <v>96.808032369249204</v>
      </c>
      <c r="W203" s="4">
        <f t="shared" si="36"/>
        <v>79.132007233273072</v>
      </c>
      <c r="X203" s="4">
        <f t="shared" si="37"/>
        <v>88.376959054730449</v>
      </c>
      <c r="Y203" s="4">
        <f t="shared" si="38"/>
        <v>108.34353239079975</v>
      </c>
      <c r="Z203" s="4">
        <f t="shared" si="39"/>
        <v>94.845185437223563</v>
      </c>
      <c r="AA203" s="4">
        <f t="shared" si="40"/>
        <v>105.01408139599093</v>
      </c>
      <c r="AB203" s="4">
        <f t="shared" si="41"/>
        <v>102.89710289710288</v>
      </c>
      <c r="AC203" s="4">
        <f t="shared" si="42"/>
        <v>95.151417525773212</v>
      </c>
      <c r="AD203" s="4">
        <f t="shared" si="43"/>
        <v>93.006339673006337</v>
      </c>
      <c r="AE203" s="4">
        <f t="shared" si="44"/>
        <v>100.0829467253205</v>
      </c>
      <c r="AF203" s="4">
        <f t="shared" si="45"/>
        <v>97.622198598485667</v>
      </c>
      <c r="AG203" s="4">
        <f t="shared" si="46"/>
        <v>99.650621118012424</v>
      </c>
      <c r="AH203" s="4">
        <f t="shared" si="47"/>
        <v>102.2182884328152</v>
      </c>
      <c r="AI203" s="4">
        <f t="shared" si="48"/>
        <v>95.890010238408649</v>
      </c>
      <c r="AJ203" s="4">
        <f t="shared" si="49"/>
        <v>77.122680243061254</v>
      </c>
      <c r="AK203" s="4">
        <f t="shared" si="50"/>
        <v>102.02894990070223</v>
      </c>
      <c r="AL203" s="4">
        <f t="shared" si="51"/>
        <v>105.71203406136777</v>
      </c>
      <c r="AM203" s="4">
        <f t="shared" si="52"/>
        <v>77.973415581383833</v>
      </c>
      <c r="AN203" s="4">
        <f t="shared" si="53"/>
        <v>105.17709225935448</v>
      </c>
      <c r="AO203" s="4">
        <f t="shared" si="54"/>
        <v>102.74627349319508</v>
      </c>
      <c r="AP203" s="4">
        <f t="shared" si="55"/>
        <v>99.13989375158107</v>
      </c>
      <c r="AQ203" s="4">
        <f t="shared" si="56"/>
        <v>98.019191830266749</v>
      </c>
      <c r="AR203" s="4">
        <f t="shared" si="57"/>
        <v>95.314237132954034</v>
      </c>
      <c r="AS203" s="4">
        <f t="shared" si="58"/>
        <v>92.604804841478213</v>
      </c>
      <c r="AT203" s="4">
        <f t="shared" si="59"/>
        <v>92.217292241275942</v>
      </c>
      <c r="AU203" s="4">
        <f t="shared" si="60"/>
        <v>105.04183418450506</v>
      </c>
      <c r="AV203" s="4">
        <f t="shared" si="61"/>
        <v>87.253469685902132</v>
      </c>
      <c r="AW203" s="4">
        <f t="shared" si="62"/>
        <v>99.843464337352273</v>
      </c>
      <c r="AX203" s="4">
        <f t="shared" si="63"/>
        <v>98.72601609242831</v>
      </c>
    </row>
    <row r="204" spans="1:50" ht="14.25" customHeight="1" x14ac:dyDescent="0.3">
      <c r="A204" s="2">
        <v>45688</v>
      </c>
      <c r="B204" s="4">
        <f t="shared" si="15"/>
        <v>103.59058341862846</v>
      </c>
      <c r="C204" s="4">
        <f t="shared" si="16"/>
        <v>95.288204806031089</v>
      </c>
      <c r="D204" s="4">
        <f t="shared" si="17"/>
        <v>101.91765369430344</v>
      </c>
      <c r="E204" s="4">
        <f t="shared" si="18"/>
        <v>99.998784179746863</v>
      </c>
      <c r="F204" s="4">
        <f t="shared" si="19"/>
        <v>97.596696918942072</v>
      </c>
      <c r="G204" s="4">
        <f t="shared" si="20"/>
        <v>97.440746343923323</v>
      </c>
      <c r="H204" s="4">
        <f t="shared" si="21"/>
        <v>99.856573705179272</v>
      </c>
      <c r="I204" s="4">
        <f t="shared" si="22"/>
        <v>106.31755738340298</v>
      </c>
      <c r="J204" s="4">
        <f t="shared" si="23"/>
        <v>113.69515377849551</v>
      </c>
      <c r="K204" s="4">
        <f t="shared" si="24"/>
        <v>97.745838976016756</v>
      </c>
      <c r="L204" s="4">
        <f t="shared" si="25"/>
        <v>97.270620313565104</v>
      </c>
      <c r="M204" s="4">
        <f t="shared" si="26"/>
        <v>109.83512218623699</v>
      </c>
      <c r="N204" s="4">
        <f t="shared" si="27"/>
        <v>97.010058403633991</v>
      </c>
      <c r="O204" s="4">
        <f t="shared" si="28"/>
        <v>106.31290539029298</v>
      </c>
      <c r="P204" s="4">
        <f t="shared" si="29"/>
        <v>90.245560814874864</v>
      </c>
      <c r="Q204" s="4">
        <f t="shared" si="30"/>
        <v>92.274927908145713</v>
      </c>
      <c r="R204" s="4">
        <f t="shared" si="31"/>
        <v>100.35336769459246</v>
      </c>
      <c r="S204" s="4">
        <f t="shared" si="32"/>
        <v>92.004105243515582</v>
      </c>
      <c r="T204" s="4">
        <f t="shared" si="33"/>
        <v>110.13067749302208</v>
      </c>
      <c r="U204" s="4">
        <f t="shared" si="34"/>
        <v>107.26523963919665</v>
      </c>
      <c r="V204" s="4">
        <f t="shared" si="35"/>
        <v>97.107747639742243</v>
      </c>
      <c r="W204" s="4">
        <f t="shared" si="36"/>
        <v>79.692585895117546</v>
      </c>
      <c r="X204" s="4">
        <f t="shared" si="37"/>
        <v>90.206777713957493</v>
      </c>
      <c r="Y204" s="4">
        <f t="shared" si="38"/>
        <v>110.82928887951047</v>
      </c>
      <c r="Z204" s="4">
        <f t="shared" si="39"/>
        <v>99.574685267097664</v>
      </c>
      <c r="AA204" s="4">
        <f t="shared" si="40"/>
        <v>104.36799381523001</v>
      </c>
      <c r="AB204" s="4">
        <f t="shared" si="41"/>
        <v>103.86280386280384</v>
      </c>
      <c r="AC204" s="4">
        <f t="shared" si="42"/>
        <v>97.181056701030926</v>
      </c>
      <c r="AD204" s="4">
        <f t="shared" si="43"/>
        <v>95.57557557557557</v>
      </c>
      <c r="AE204" s="4">
        <f t="shared" si="44"/>
        <v>101.22703948836171</v>
      </c>
      <c r="AF204" s="4">
        <f t="shared" si="45"/>
        <v>99.832946434382663</v>
      </c>
      <c r="AG204" s="4">
        <f t="shared" si="46"/>
        <v>102.45859213250516</v>
      </c>
      <c r="AH204" s="4">
        <f t="shared" si="47"/>
        <v>106.63642566060003</v>
      </c>
      <c r="AI204" s="4">
        <f t="shared" si="48"/>
        <v>98.449612403100758</v>
      </c>
      <c r="AJ204" s="4">
        <f t="shared" si="49"/>
        <v>79.372639185416332</v>
      </c>
      <c r="AK204" s="4">
        <f t="shared" si="50"/>
        <v>102.73119996724198</v>
      </c>
      <c r="AL204" s="4">
        <f t="shared" si="51"/>
        <v>106.3250977422062</v>
      </c>
      <c r="AM204" s="4">
        <f t="shared" si="52"/>
        <v>81.397273646904026</v>
      </c>
      <c r="AN204" s="4">
        <f t="shared" si="53"/>
        <v>105.94115966866609</v>
      </c>
      <c r="AO204" s="4">
        <f t="shared" si="54"/>
        <v>103.37815942968246</v>
      </c>
      <c r="AP204" s="4">
        <f t="shared" si="55"/>
        <v>100.22767518340498</v>
      </c>
      <c r="AQ204" s="4">
        <f t="shared" si="56"/>
        <v>98.274495994365694</v>
      </c>
      <c r="AR204" s="4">
        <f t="shared" si="57"/>
        <v>96.749722058727357</v>
      </c>
      <c r="AS204" s="4">
        <f t="shared" si="58"/>
        <v>92.412801150665217</v>
      </c>
      <c r="AT204" s="4">
        <f t="shared" si="59"/>
        <v>93.150943072996085</v>
      </c>
      <c r="AU204" s="4">
        <f t="shared" si="60"/>
        <v>111.33869390416169</v>
      </c>
      <c r="AV204" s="4">
        <f t="shared" si="61"/>
        <v>88.922571219868516</v>
      </c>
      <c r="AW204" s="4">
        <f t="shared" si="62"/>
        <v>103.69949932486524</v>
      </c>
      <c r="AX204" s="4">
        <f t="shared" si="63"/>
        <v>102.24881369919541</v>
      </c>
    </row>
    <row r="205" spans="1:50" ht="14.25" customHeight="1" x14ac:dyDescent="0.3">
      <c r="A205" s="2">
        <v>45689</v>
      </c>
      <c r="B205" s="4">
        <f t="shared" si="15"/>
        <v>103.54964176049128</v>
      </c>
      <c r="C205" s="4">
        <f t="shared" si="16"/>
        <v>94.84955911059258</v>
      </c>
      <c r="D205" s="4">
        <f t="shared" si="17"/>
        <v>101.72651500908691</v>
      </c>
      <c r="E205" s="4">
        <f t="shared" si="18"/>
        <v>99.04436528103686</v>
      </c>
      <c r="F205" s="4">
        <f t="shared" si="19"/>
        <v>97.810929770576067</v>
      </c>
      <c r="G205" s="4">
        <f t="shared" si="20"/>
        <v>96.570852244074629</v>
      </c>
      <c r="H205" s="4">
        <f t="shared" si="21"/>
        <v>98.345285524568396</v>
      </c>
      <c r="I205" s="4">
        <f t="shared" si="22"/>
        <v>107.92170879807072</v>
      </c>
      <c r="J205" s="4">
        <f t="shared" si="23"/>
        <v>115.35333727452308</v>
      </c>
      <c r="K205" s="4">
        <f t="shared" si="24"/>
        <v>101.03315713599233</v>
      </c>
      <c r="L205" s="4">
        <f t="shared" si="25"/>
        <v>94.001363326516696</v>
      </c>
      <c r="M205" s="4">
        <f t="shared" si="26"/>
        <v>115.24049142153585</v>
      </c>
      <c r="N205" s="4">
        <f t="shared" si="27"/>
        <v>99.829656067488642</v>
      </c>
      <c r="O205" s="4">
        <f t="shared" si="28"/>
        <v>106.41355401476179</v>
      </c>
      <c r="P205" s="4">
        <f t="shared" si="29"/>
        <v>88.600643322262613</v>
      </c>
      <c r="Q205" s="4">
        <f t="shared" si="30"/>
        <v>92.182332865948823</v>
      </c>
      <c r="R205" s="4">
        <f t="shared" si="31"/>
        <v>98.358958679129898</v>
      </c>
      <c r="S205" s="4">
        <f t="shared" si="32"/>
        <v>93.128382160850904</v>
      </c>
      <c r="T205" s="4">
        <f t="shared" si="33"/>
        <v>111.26617609743718</v>
      </c>
      <c r="U205" s="4">
        <f t="shared" si="34"/>
        <v>109.16299153310693</v>
      </c>
      <c r="V205" s="4">
        <f t="shared" si="35"/>
        <v>95.219541435636145</v>
      </c>
      <c r="W205" s="4">
        <f t="shared" si="36"/>
        <v>85.468354430379748</v>
      </c>
      <c r="X205" s="4">
        <f t="shared" si="37"/>
        <v>88.955444325921079</v>
      </c>
      <c r="Y205" s="4">
        <f t="shared" si="38"/>
        <v>108.69381726102554</v>
      </c>
      <c r="Z205" s="4">
        <f t="shared" si="39"/>
        <v>95.882953385505303</v>
      </c>
      <c r="AA205" s="4">
        <f t="shared" si="40"/>
        <v>103.18073885913081</v>
      </c>
      <c r="AB205" s="4">
        <f t="shared" si="41"/>
        <v>101.4985014985015</v>
      </c>
      <c r="AC205" s="4">
        <f t="shared" si="42"/>
        <v>93.379510309278359</v>
      </c>
      <c r="AD205" s="4">
        <f t="shared" si="43"/>
        <v>94.30096763430096</v>
      </c>
      <c r="AE205" s="4">
        <f t="shared" si="44"/>
        <v>104.74855701300262</v>
      </c>
      <c r="AF205" s="4">
        <f t="shared" si="45"/>
        <v>102.01765994836525</v>
      </c>
      <c r="AG205" s="4">
        <f t="shared" si="46"/>
        <v>99.715320910973091</v>
      </c>
      <c r="AH205" s="4">
        <f t="shared" si="47"/>
        <v>107.28181298519297</v>
      </c>
      <c r="AI205" s="4">
        <f t="shared" si="48"/>
        <v>97.242942811174487</v>
      </c>
      <c r="AJ205" s="4">
        <f t="shared" si="49"/>
        <v>79.326654623090803</v>
      </c>
      <c r="AK205" s="4">
        <f t="shared" si="50"/>
        <v>99.942673463955927</v>
      </c>
      <c r="AL205" s="4">
        <f t="shared" si="51"/>
        <v>110.33406341473398</v>
      </c>
      <c r="AM205" s="4">
        <f t="shared" si="52"/>
        <v>87.570121886517498</v>
      </c>
      <c r="AN205" s="4">
        <f t="shared" si="53"/>
        <v>103.85247072265065</v>
      </c>
      <c r="AO205" s="4">
        <f t="shared" si="54"/>
        <v>101.34478289047311</v>
      </c>
      <c r="AP205" s="4">
        <f t="shared" si="55"/>
        <v>98.903786153975886</v>
      </c>
      <c r="AQ205" s="4">
        <f t="shared" si="56"/>
        <v>96.628224315520754</v>
      </c>
      <c r="AR205" s="4">
        <f t="shared" si="57"/>
        <v>94.140343993198613</v>
      </c>
      <c r="AS205" s="4">
        <f t="shared" si="58"/>
        <v>92.828017612776719</v>
      </c>
      <c r="AT205" s="4">
        <f t="shared" si="59"/>
        <v>91.10376372638035</v>
      </c>
      <c r="AU205" s="4">
        <f t="shared" si="60"/>
        <v>116.25013582527434</v>
      </c>
      <c r="AV205" s="4">
        <f t="shared" si="61"/>
        <v>88.016800584368156</v>
      </c>
      <c r="AW205" s="4">
        <f t="shared" si="62"/>
        <v>105.2051095152174</v>
      </c>
      <c r="AX205" s="4">
        <f t="shared" si="63"/>
        <v>104.12626366824841</v>
      </c>
    </row>
    <row r="206" spans="1:50" ht="14.25" customHeight="1" x14ac:dyDescent="0.3">
      <c r="A206" s="2">
        <v>45691</v>
      </c>
      <c r="B206" s="4">
        <f t="shared" si="15"/>
        <v>102.01842374616173</v>
      </c>
      <c r="C206" s="4">
        <f t="shared" si="16"/>
        <v>94.123718279521654</v>
      </c>
      <c r="D206" s="4">
        <f t="shared" si="17"/>
        <v>103.55016607131667</v>
      </c>
      <c r="E206" s="4">
        <f t="shared" si="18"/>
        <v>98.934941458254826</v>
      </c>
      <c r="F206" s="4">
        <f t="shared" si="19"/>
        <v>97.612277489969998</v>
      </c>
      <c r="G206" s="4">
        <f t="shared" si="20"/>
        <v>95.934190620272304</v>
      </c>
      <c r="H206" s="4">
        <f t="shared" si="21"/>
        <v>98.980079681274887</v>
      </c>
      <c r="I206" s="4">
        <f t="shared" si="22"/>
        <v>105.16127643081694</v>
      </c>
      <c r="J206" s="4">
        <f t="shared" si="23"/>
        <v>121.4915000072095</v>
      </c>
      <c r="K206" s="4">
        <f t="shared" si="24"/>
        <v>99.242060198331217</v>
      </c>
      <c r="L206" s="4">
        <f t="shared" si="25"/>
        <v>89.685071574642123</v>
      </c>
      <c r="M206" s="4">
        <f t="shared" si="26"/>
        <v>117.23410329844847</v>
      </c>
      <c r="N206" s="4">
        <f t="shared" si="27"/>
        <v>102.96236210253082</v>
      </c>
      <c r="O206" s="4">
        <f t="shared" si="28"/>
        <v>105.3735182285842</v>
      </c>
      <c r="P206" s="4">
        <f t="shared" si="29"/>
        <v>88.496038076309532</v>
      </c>
      <c r="Q206" s="4">
        <f t="shared" si="30"/>
        <v>92.097674541654527</v>
      </c>
      <c r="R206" s="4">
        <f t="shared" si="31"/>
        <v>97.620774001921902</v>
      </c>
      <c r="S206" s="4">
        <f t="shared" si="32"/>
        <v>92.311998507184185</v>
      </c>
      <c r="T206" s="4">
        <f t="shared" si="33"/>
        <v>113.8575234712002</v>
      </c>
      <c r="U206" s="4">
        <f t="shared" si="34"/>
        <v>110.03273045776542</v>
      </c>
      <c r="V206" s="4">
        <f t="shared" si="35"/>
        <v>93.2863779409561</v>
      </c>
      <c r="W206" s="4">
        <f t="shared" si="36"/>
        <v>86.148282097649187</v>
      </c>
      <c r="X206" s="4">
        <f t="shared" si="37"/>
        <v>89.01698531221794</v>
      </c>
      <c r="Y206" s="4">
        <f t="shared" si="38"/>
        <v>105.08546106773582</v>
      </c>
      <c r="Z206" s="4">
        <f t="shared" si="39"/>
        <v>93.280027220142912</v>
      </c>
      <c r="AA206" s="4">
        <f t="shared" si="40"/>
        <v>103.14760616268156</v>
      </c>
      <c r="AB206" s="4">
        <f t="shared" si="41"/>
        <v>104.42890442890442</v>
      </c>
      <c r="AC206" s="4">
        <f t="shared" si="42"/>
        <v>91.430412371134025</v>
      </c>
      <c r="AD206" s="4">
        <f t="shared" si="43"/>
        <v>91.751751751751769</v>
      </c>
      <c r="AE206" s="4">
        <f t="shared" si="44"/>
        <v>102.12801253925667</v>
      </c>
      <c r="AF206" s="4">
        <f t="shared" si="45"/>
        <v>99.461957347102597</v>
      </c>
      <c r="AG206" s="4">
        <f t="shared" si="46"/>
        <v>96.790890269151149</v>
      </c>
      <c r="AH206" s="4">
        <f t="shared" si="47"/>
        <v>106.81621212959378</v>
      </c>
      <c r="AI206" s="4">
        <f t="shared" si="48"/>
        <v>96.401930671347074</v>
      </c>
      <c r="AJ206" s="4">
        <f t="shared" si="49"/>
        <v>76.850057480702901</v>
      </c>
      <c r="AK206" s="4">
        <f t="shared" si="50"/>
        <v>101.28984706099133</v>
      </c>
      <c r="AL206" s="4">
        <f t="shared" si="51"/>
        <v>112.28071971015083</v>
      </c>
      <c r="AM206" s="4">
        <f t="shared" si="52"/>
        <v>86.800461230466681</v>
      </c>
      <c r="AN206" s="4">
        <f t="shared" si="53"/>
        <v>104.25235646958011</v>
      </c>
      <c r="AO206" s="4">
        <f t="shared" si="54"/>
        <v>100.68049254698639</v>
      </c>
      <c r="AP206" s="4">
        <f t="shared" si="55"/>
        <v>96.812547432329865</v>
      </c>
      <c r="AQ206" s="4">
        <f t="shared" si="56"/>
        <v>97.115356398744026</v>
      </c>
      <c r="AR206" s="4">
        <f t="shared" si="57"/>
        <v>92.901052906938702</v>
      </c>
      <c r="AS206" s="4">
        <f t="shared" si="58"/>
        <v>92.252006540337732</v>
      </c>
      <c r="AT206" s="4">
        <f t="shared" si="59"/>
        <v>93.562092063111379</v>
      </c>
      <c r="AU206" s="4">
        <f t="shared" si="60"/>
        <v>112.60458546126264</v>
      </c>
      <c r="AV206" s="4">
        <f t="shared" si="61"/>
        <v>87.936449963476989</v>
      </c>
      <c r="AW206" s="4">
        <f t="shared" si="62"/>
        <v>102.44482416623846</v>
      </c>
      <c r="AX206" s="4">
        <f t="shared" si="63"/>
        <v>104.46668042087892</v>
      </c>
    </row>
    <row r="207" spans="1:50" ht="14.25" customHeight="1" x14ac:dyDescent="0.3">
      <c r="A207" s="2">
        <v>45692</v>
      </c>
      <c r="B207" s="4">
        <f t="shared" si="15"/>
        <v>105.23643807574206</v>
      </c>
      <c r="C207" s="4">
        <f t="shared" si="16"/>
        <v>96.5300993964415</v>
      </c>
      <c r="D207" s="4">
        <f t="shared" si="17"/>
        <v>104.12044870589712</v>
      </c>
      <c r="E207" s="4">
        <f t="shared" si="18"/>
        <v>99.868691412661562</v>
      </c>
      <c r="F207" s="4">
        <f t="shared" si="19"/>
        <v>98.796400888092535</v>
      </c>
      <c r="G207" s="4">
        <f t="shared" si="20"/>
        <v>98.23499747856782</v>
      </c>
      <c r="H207" s="4">
        <f t="shared" si="21"/>
        <v>100.86586985391766</v>
      </c>
      <c r="I207" s="4">
        <f t="shared" si="22"/>
        <v>104.99332500753628</v>
      </c>
      <c r="J207" s="4">
        <f t="shared" si="23"/>
        <v>122.20523985984744</v>
      </c>
      <c r="K207" s="4">
        <f t="shared" si="24"/>
        <v>99.416801362981076</v>
      </c>
      <c r="L207" s="4">
        <f t="shared" si="25"/>
        <v>93.773687798227684</v>
      </c>
      <c r="M207" s="4">
        <f t="shared" si="26"/>
        <v>116.96644450987218</v>
      </c>
      <c r="N207" s="4">
        <f t="shared" si="27"/>
        <v>103.47339390006489</v>
      </c>
      <c r="O207" s="4">
        <f t="shared" si="28"/>
        <v>107.83381793782152</v>
      </c>
      <c r="P207" s="4">
        <f t="shared" si="29"/>
        <v>90.616909438008321</v>
      </c>
      <c r="Q207" s="4">
        <f t="shared" si="30"/>
        <v>93.401941850313491</v>
      </c>
      <c r="R207" s="4">
        <f t="shared" si="31"/>
        <v>100.63029614746222</v>
      </c>
      <c r="S207" s="4">
        <f t="shared" si="32"/>
        <v>94.728494122037702</v>
      </c>
      <c r="T207" s="4">
        <f t="shared" si="33"/>
        <v>115.02473991372746</v>
      </c>
      <c r="U207" s="4">
        <f t="shared" si="34"/>
        <v>110.56748159872151</v>
      </c>
      <c r="V207" s="4">
        <f t="shared" si="35"/>
        <v>95.639142814326405</v>
      </c>
      <c r="W207" s="4">
        <f t="shared" si="36"/>
        <v>84.824593128390603</v>
      </c>
      <c r="X207" s="4">
        <f t="shared" si="37"/>
        <v>92.319684910150158</v>
      </c>
      <c r="Y207" s="4">
        <f t="shared" si="38"/>
        <v>107.23781388478584</v>
      </c>
      <c r="Z207" s="4">
        <f t="shared" si="39"/>
        <v>96.801633208574373</v>
      </c>
      <c r="AA207" s="4">
        <f t="shared" si="40"/>
        <v>104.28516207410678</v>
      </c>
      <c r="AB207" s="4">
        <f t="shared" si="41"/>
        <v>105.31135531135531</v>
      </c>
      <c r="AC207" s="4">
        <f t="shared" si="42"/>
        <v>92.026417525773198</v>
      </c>
      <c r="AD207" s="4">
        <f t="shared" si="43"/>
        <v>94.834834834834808</v>
      </c>
      <c r="AE207" s="4">
        <f t="shared" si="44"/>
        <v>101.95468248565594</v>
      </c>
      <c r="AF207" s="4">
        <f t="shared" si="45"/>
        <v>102.15650966524198</v>
      </c>
      <c r="AG207" s="4">
        <f t="shared" si="46"/>
        <v>97.450828157349903</v>
      </c>
      <c r="AH207" s="4">
        <f t="shared" si="47"/>
        <v>106.00210211871442</v>
      </c>
      <c r="AI207" s="4">
        <f t="shared" si="48"/>
        <v>97.572034518063461</v>
      </c>
      <c r="AJ207" s="4">
        <f t="shared" si="49"/>
        <v>80.50583018558055</v>
      </c>
      <c r="AK207" s="4">
        <f t="shared" si="50"/>
        <v>101.74231722048195</v>
      </c>
      <c r="AL207" s="4">
        <f t="shared" si="51"/>
        <v>111.56121425500993</v>
      </c>
      <c r="AM207" s="4">
        <f t="shared" si="52"/>
        <v>81.356243942813094</v>
      </c>
      <c r="AN207" s="4">
        <f t="shared" si="53"/>
        <v>105.1413881748072</v>
      </c>
      <c r="AO207" s="4">
        <f t="shared" si="54"/>
        <v>101.40959170447181</v>
      </c>
      <c r="AP207" s="4">
        <f t="shared" si="55"/>
        <v>98.482165443966608</v>
      </c>
      <c r="AQ207" s="4">
        <f t="shared" si="56"/>
        <v>97.370660562842971</v>
      </c>
      <c r="AR207" s="4">
        <f t="shared" si="57"/>
        <v>94.764894382316399</v>
      </c>
      <c r="AS207" s="4">
        <f t="shared" si="58"/>
        <v>92.164485423324038</v>
      </c>
      <c r="AT207" s="4">
        <f t="shared" si="59"/>
        <v>98.804241687081358</v>
      </c>
      <c r="AU207" s="4">
        <f t="shared" si="60"/>
        <v>112.37639900032599</v>
      </c>
      <c r="AV207" s="4">
        <f t="shared" si="61"/>
        <v>89.112490869247623</v>
      </c>
      <c r="AW207" s="4">
        <f t="shared" si="62"/>
        <v>101.2606498022393</v>
      </c>
      <c r="AX207" s="4">
        <f t="shared" si="63"/>
        <v>108.02042500515785</v>
      </c>
    </row>
    <row r="208" spans="1:50" ht="14.25" customHeight="1" x14ac:dyDescent="0.3">
      <c r="A208" s="2">
        <v>45693</v>
      </c>
      <c r="B208" s="4">
        <f t="shared" si="15"/>
        <v>104.66325486182188</v>
      </c>
      <c r="C208" s="4">
        <f t="shared" si="16"/>
        <v>97.478067715228079</v>
      </c>
      <c r="D208" s="4">
        <f t="shared" si="17"/>
        <v>104.05778028451462</v>
      </c>
      <c r="E208" s="4">
        <f t="shared" si="18"/>
        <v>99.480844751911874</v>
      </c>
      <c r="F208" s="4">
        <f t="shared" si="19"/>
        <v>98.757449460522722</v>
      </c>
      <c r="G208" s="4">
        <f t="shared" si="20"/>
        <v>96.577155824508296</v>
      </c>
      <c r="H208" s="4">
        <f t="shared" si="21"/>
        <v>100.77290836653387</v>
      </c>
      <c r="I208" s="4">
        <f t="shared" si="22"/>
        <v>102.96929503466691</v>
      </c>
      <c r="J208" s="4">
        <f t="shared" si="23"/>
        <v>122.69836921257912</v>
      </c>
      <c r="K208" s="4">
        <f t="shared" si="24"/>
        <v>97.887816172294777</v>
      </c>
      <c r="L208" s="4">
        <f t="shared" si="25"/>
        <v>92.248125426039536</v>
      </c>
      <c r="M208" s="4">
        <f t="shared" si="26"/>
        <v>116.75990114468743</v>
      </c>
      <c r="N208" s="4">
        <f t="shared" si="27"/>
        <v>103.13919532770927</v>
      </c>
      <c r="O208" s="4">
        <f t="shared" si="28"/>
        <v>106.89722657123684</v>
      </c>
      <c r="P208" s="4">
        <f t="shared" si="29"/>
        <v>89.586547765370426</v>
      </c>
      <c r="Q208" s="4">
        <f t="shared" si="30"/>
        <v>92.740548691764317</v>
      </c>
      <c r="R208" s="4">
        <f t="shared" si="31"/>
        <v>101.2116711802219</v>
      </c>
      <c r="S208" s="4">
        <f t="shared" si="32"/>
        <v>94.541892144056732</v>
      </c>
      <c r="T208" s="4">
        <f t="shared" si="33"/>
        <v>113.97805125602638</v>
      </c>
      <c r="U208" s="4">
        <f t="shared" si="34"/>
        <v>107.28521597492202</v>
      </c>
      <c r="V208" s="4">
        <f t="shared" si="35"/>
        <v>95.789000449572924</v>
      </c>
      <c r="W208" s="4">
        <f t="shared" si="36"/>
        <v>83.587703435804713</v>
      </c>
      <c r="X208" s="4">
        <f t="shared" si="37"/>
        <v>93.899236891769917</v>
      </c>
      <c r="Y208" s="4">
        <f t="shared" si="38"/>
        <v>110.42414011394808</v>
      </c>
      <c r="Z208" s="4">
        <f t="shared" si="39"/>
        <v>98.315753657706722</v>
      </c>
      <c r="AA208" s="4">
        <f t="shared" si="40"/>
        <v>104.90916119056823</v>
      </c>
      <c r="AB208" s="4">
        <f t="shared" si="41"/>
        <v>105.5944055944056</v>
      </c>
      <c r="AC208" s="4">
        <f t="shared" si="42"/>
        <v>91.881443298969074</v>
      </c>
      <c r="AD208" s="4">
        <f t="shared" si="43"/>
        <v>95.702369035702361</v>
      </c>
      <c r="AE208" s="4">
        <f t="shared" si="44"/>
        <v>102.14231369879469</v>
      </c>
      <c r="AF208" s="4">
        <f t="shared" si="45"/>
        <v>98.722148699368645</v>
      </c>
      <c r="AG208" s="4">
        <f t="shared" si="46"/>
        <v>99.081262939958592</v>
      </c>
      <c r="AH208" s="4">
        <f t="shared" si="47"/>
        <v>103.67409784071842</v>
      </c>
      <c r="AI208" s="4">
        <f t="shared" si="48"/>
        <v>98.288723124177267</v>
      </c>
      <c r="AJ208" s="4">
        <f t="shared" si="49"/>
        <v>82.056166858269009</v>
      </c>
      <c r="AK208" s="4">
        <f t="shared" si="50"/>
        <v>101.95933910693446</v>
      </c>
      <c r="AL208" s="4">
        <f t="shared" si="51"/>
        <v>110.8877653368268</v>
      </c>
      <c r="AM208" s="4">
        <f t="shared" si="52"/>
        <v>81.35129208197452</v>
      </c>
      <c r="AN208" s="4">
        <f t="shared" si="53"/>
        <v>104.90931162524993</v>
      </c>
      <c r="AO208" s="4">
        <f t="shared" si="54"/>
        <v>101.7255346727155</v>
      </c>
      <c r="AP208" s="4">
        <f t="shared" si="55"/>
        <v>101.29015937262838</v>
      </c>
      <c r="AQ208" s="4">
        <f t="shared" si="56"/>
        <v>97.485107257094228</v>
      </c>
      <c r="AR208" s="4">
        <f t="shared" si="57"/>
        <v>93.963769537636509</v>
      </c>
      <c r="AS208" s="4">
        <f t="shared" si="58"/>
        <v>94.23310469289585</v>
      </c>
      <c r="AT208" s="4">
        <f t="shared" si="59"/>
        <v>97.870590855361201</v>
      </c>
      <c r="AU208" s="4">
        <f t="shared" si="60"/>
        <v>110.32272085189612</v>
      </c>
      <c r="AV208" s="4">
        <f t="shared" si="61"/>
        <v>89.667640613586556</v>
      </c>
      <c r="AW208" s="4">
        <f t="shared" si="62"/>
        <v>102.05647233142541</v>
      </c>
      <c r="AX208" s="4">
        <f t="shared" si="63"/>
        <v>109.4697751186301</v>
      </c>
    </row>
    <row r="209" spans="1:50" ht="14.25" customHeight="1" x14ac:dyDescent="0.3">
      <c r="A209" s="2">
        <v>45694</v>
      </c>
      <c r="B209" s="4">
        <f t="shared" si="15"/>
        <v>104.93756397134082</v>
      </c>
      <c r="C209" s="4">
        <f t="shared" si="16"/>
        <v>97.816868226794412</v>
      </c>
      <c r="D209" s="4">
        <f t="shared" si="17"/>
        <v>101.50717553424829</v>
      </c>
      <c r="E209" s="4">
        <f t="shared" si="18"/>
        <v>99.277802769638541</v>
      </c>
      <c r="F209" s="4">
        <f t="shared" si="19"/>
        <v>99.123592879679038</v>
      </c>
      <c r="G209" s="4">
        <f t="shared" si="20"/>
        <v>94.837367624810881</v>
      </c>
      <c r="H209" s="4">
        <f t="shared" si="21"/>
        <v>101.76095617529879</v>
      </c>
      <c r="I209" s="4">
        <f t="shared" si="22"/>
        <v>102.17906205589769</v>
      </c>
      <c r="J209" s="4">
        <f t="shared" si="23"/>
        <v>122.66664744135079</v>
      </c>
      <c r="K209" s="4">
        <f t="shared" si="24"/>
        <v>96.347909658817883</v>
      </c>
      <c r="L209" s="4">
        <f t="shared" si="25"/>
        <v>91.417859577368773</v>
      </c>
      <c r="M209" s="4">
        <f t="shared" si="26"/>
        <v>116.64570006156151</v>
      </c>
      <c r="N209" s="4">
        <f t="shared" si="27"/>
        <v>101.88027255029202</v>
      </c>
      <c r="O209" s="4">
        <f t="shared" si="28"/>
        <v>107.13207336166404</v>
      </c>
      <c r="P209" s="4">
        <f t="shared" si="29"/>
        <v>90.143570700070626</v>
      </c>
      <c r="Q209" s="4">
        <f t="shared" si="30"/>
        <v>92.171750575412048</v>
      </c>
      <c r="R209" s="4">
        <f t="shared" si="31"/>
        <v>100.26513496986109</v>
      </c>
      <c r="S209" s="4">
        <f t="shared" si="32"/>
        <v>95.232319462586318</v>
      </c>
      <c r="T209" s="4">
        <f t="shared" si="33"/>
        <v>113.42298908906368</v>
      </c>
      <c r="U209" s="4">
        <f t="shared" si="34"/>
        <v>104.82198011586274</v>
      </c>
      <c r="V209" s="4">
        <f t="shared" si="35"/>
        <v>93.750936610220293</v>
      </c>
      <c r="W209" s="4">
        <f t="shared" si="36"/>
        <v>82.839059674502707</v>
      </c>
      <c r="X209" s="4">
        <f t="shared" si="37"/>
        <v>95.515713465167806</v>
      </c>
      <c r="Y209" s="4">
        <f t="shared" si="38"/>
        <v>108.10297531124711</v>
      </c>
      <c r="Z209" s="4">
        <f t="shared" si="39"/>
        <v>95.185437223545435</v>
      </c>
      <c r="AA209" s="4">
        <f t="shared" si="40"/>
        <v>104.74349770832183</v>
      </c>
      <c r="AB209" s="4">
        <f t="shared" si="41"/>
        <v>105.87745587745587</v>
      </c>
      <c r="AC209" s="4">
        <f t="shared" si="42"/>
        <v>90.576675257731964</v>
      </c>
      <c r="AD209" s="4">
        <f t="shared" si="43"/>
        <v>94.714714714714702</v>
      </c>
      <c r="AE209" s="4">
        <f t="shared" si="44"/>
        <v>101.21045014329762</v>
      </c>
      <c r="AF209" s="4">
        <f t="shared" si="45"/>
        <v>98.210140368385652</v>
      </c>
      <c r="AG209" s="4">
        <f t="shared" si="46"/>
        <v>98.240165631469992</v>
      </c>
      <c r="AH209" s="4">
        <f t="shared" si="47"/>
        <v>103.2361564418875</v>
      </c>
      <c r="AI209" s="4">
        <f t="shared" si="48"/>
        <v>96.928477402369438</v>
      </c>
      <c r="AJ209" s="4">
        <f t="shared" si="49"/>
        <v>82.272951223517808</v>
      </c>
      <c r="AK209" s="4">
        <f t="shared" si="50"/>
        <v>102.32786683864626</v>
      </c>
      <c r="AL209" s="4">
        <f t="shared" si="51"/>
        <v>109.3484535238368</v>
      </c>
      <c r="AM209" s="4">
        <f t="shared" si="52"/>
        <v>74.661328089076918</v>
      </c>
      <c r="AN209" s="4">
        <f t="shared" si="53"/>
        <v>104.62010854041701</v>
      </c>
      <c r="AO209" s="4">
        <f t="shared" si="54"/>
        <v>102.38982501620222</v>
      </c>
      <c r="AP209" s="4">
        <f t="shared" si="55"/>
        <v>100.42162071000926</v>
      </c>
      <c r="AQ209" s="4">
        <f t="shared" si="56"/>
        <v>97.989846524048488</v>
      </c>
      <c r="AR209" s="4">
        <f t="shared" si="57"/>
        <v>96.23307828134196</v>
      </c>
      <c r="AS209" s="4">
        <f t="shared" si="58"/>
        <v>93.277835446730833</v>
      </c>
      <c r="AT209" s="4">
        <f t="shared" si="59"/>
        <v>97.022596063248429</v>
      </c>
      <c r="AU209" s="4">
        <f t="shared" si="60"/>
        <v>111.19743561881997</v>
      </c>
      <c r="AV209" s="4">
        <f t="shared" si="61"/>
        <v>90.332359386413444</v>
      </c>
      <c r="AW209" s="4">
        <f t="shared" si="62"/>
        <v>101.09216485236654</v>
      </c>
      <c r="AX209" s="4">
        <f t="shared" si="63"/>
        <v>109.91850629255211</v>
      </c>
    </row>
    <row r="210" spans="1:50" ht="14.25" customHeight="1" x14ac:dyDescent="0.3">
      <c r="A210" s="2">
        <v>45695</v>
      </c>
      <c r="B210" s="4">
        <f t="shared" si="15"/>
        <v>103.72159672466734</v>
      </c>
      <c r="C210" s="4">
        <f t="shared" si="16"/>
        <v>97.19536000358994</v>
      </c>
      <c r="D210" s="4">
        <f t="shared" si="17"/>
        <v>105.07927555304882</v>
      </c>
      <c r="E210" s="4">
        <f t="shared" si="18"/>
        <v>97.980522559544809</v>
      </c>
      <c r="F210" s="4">
        <f t="shared" si="19"/>
        <v>97.916098625014598</v>
      </c>
      <c r="G210" s="4">
        <f t="shared" si="20"/>
        <v>92.939989914271308</v>
      </c>
      <c r="H210" s="4">
        <f t="shared" si="21"/>
        <v>101.12350597609563</v>
      </c>
      <c r="I210" s="4">
        <f t="shared" si="22"/>
        <v>101.79794151845314</v>
      </c>
      <c r="J210" s="4">
        <f t="shared" si="23"/>
        <v>122.18937897423325</v>
      </c>
      <c r="K210" s="4">
        <f t="shared" si="24"/>
        <v>94.109038486741511</v>
      </c>
      <c r="L210" s="4">
        <f t="shared" si="25"/>
        <v>90.985685071574636</v>
      </c>
      <c r="M210" s="4">
        <f t="shared" si="26"/>
        <v>116.42711205089087</v>
      </c>
      <c r="N210" s="4">
        <f t="shared" si="27"/>
        <v>103.77839065541856</v>
      </c>
      <c r="O210" s="4">
        <f t="shared" si="28"/>
        <v>107.8757548646835</v>
      </c>
      <c r="P210" s="4">
        <f t="shared" si="29"/>
        <v>90.256021339470166</v>
      </c>
      <c r="Q210" s="4">
        <f t="shared" si="30"/>
        <v>92.584459906346709</v>
      </c>
      <c r="R210" s="4">
        <f t="shared" si="31"/>
        <v>101.69127282257359</v>
      </c>
      <c r="S210" s="4">
        <f t="shared" si="32"/>
        <v>95.549542825153949</v>
      </c>
      <c r="T210" s="4">
        <f t="shared" si="33"/>
        <v>114.07954833798526</v>
      </c>
      <c r="U210" s="4">
        <f t="shared" si="34"/>
        <v>105.25377629577271</v>
      </c>
      <c r="V210" s="4">
        <f t="shared" si="35"/>
        <v>94.994754982766366</v>
      </c>
      <c r="W210" s="4">
        <f t="shared" si="36"/>
        <v>84.59312839059676</v>
      </c>
      <c r="X210" s="4">
        <f t="shared" si="37"/>
        <v>94.042832526462632</v>
      </c>
      <c r="Y210" s="4">
        <f t="shared" si="38"/>
        <v>105.04325807132307</v>
      </c>
      <c r="Z210" s="4">
        <f t="shared" si="39"/>
        <v>94.266757400476365</v>
      </c>
      <c r="AA210" s="4">
        <f t="shared" si="40"/>
        <v>108.31630680876911</v>
      </c>
      <c r="AB210" s="4">
        <f t="shared" si="41"/>
        <v>105.89410589410588</v>
      </c>
      <c r="AC210" s="4">
        <f t="shared" si="42"/>
        <v>89.610180412371136</v>
      </c>
      <c r="AD210" s="4">
        <f t="shared" si="43"/>
        <v>94.327660994327658</v>
      </c>
      <c r="AE210" s="4">
        <f t="shared" si="44"/>
        <v>102.84707484082809</v>
      </c>
      <c r="AF210" s="4">
        <f t="shared" si="45"/>
        <v>98.53990844596791</v>
      </c>
      <c r="AG210" s="4">
        <f t="shared" si="46"/>
        <v>97.890786749482416</v>
      </c>
      <c r="AH210" s="4">
        <f t="shared" si="47"/>
        <v>102.57509542512587</v>
      </c>
      <c r="AI210" s="4">
        <f t="shared" si="48"/>
        <v>101.14816439959047</v>
      </c>
      <c r="AJ210" s="4">
        <f t="shared" si="49"/>
        <v>81.934636229265877</v>
      </c>
      <c r="AK210" s="4">
        <f t="shared" si="50"/>
        <v>101.86106504514466</v>
      </c>
      <c r="AL210" s="4">
        <f t="shared" si="51"/>
        <v>109.97379894786398</v>
      </c>
      <c r="AM210" s="4">
        <f t="shared" si="52"/>
        <v>77.169799308154296</v>
      </c>
      <c r="AN210" s="4">
        <f t="shared" si="53"/>
        <v>105.03784632962009</v>
      </c>
      <c r="AO210" s="4">
        <f t="shared" si="54"/>
        <v>102.99740764744006</v>
      </c>
      <c r="AP210" s="4">
        <f t="shared" si="55"/>
        <v>102.4369677038536</v>
      </c>
      <c r="AQ210" s="4">
        <f t="shared" si="56"/>
        <v>99.310385303870646</v>
      </c>
      <c r="AR210" s="4">
        <f t="shared" si="57"/>
        <v>96.282126741220324</v>
      </c>
      <c r="AS210" s="4">
        <f t="shared" si="58"/>
        <v>92.142096300367044</v>
      </c>
      <c r="AT210" s="4">
        <f t="shared" si="59"/>
        <v>95.857673924588411</v>
      </c>
      <c r="AU210" s="4">
        <f t="shared" si="60"/>
        <v>110.96381614690863</v>
      </c>
      <c r="AV210" s="4">
        <f t="shared" si="61"/>
        <v>90.606281957633328</v>
      </c>
      <c r="AW210" s="4">
        <f t="shared" si="62"/>
        <v>102.15804127283805</v>
      </c>
      <c r="AX210" s="4">
        <f t="shared" si="63"/>
        <v>111.31627811017124</v>
      </c>
    </row>
    <row r="211" spans="1:50" ht="14.25" customHeight="1" x14ac:dyDescent="0.3">
      <c r="A211" s="2">
        <v>45698</v>
      </c>
      <c r="B211" s="4">
        <f t="shared" si="15"/>
        <v>102.65301944728762</v>
      </c>
      <c r="C211" s="4">
        <f t="shared" si="16"/>
        <v>96.241782404810522</v>
      </c>
      <c r="D211" s="4">
        <f t="shared" si="17"/>
        <v>106.100770821583</v>
      </c>
      <c r="E211" s="4">
        <f t="shared" si="18"/>
        <v>98.164111417767998</v>
      </c>
      <c r="F211" s="4">
        <f t="shared" si="19"/>
        <v>98.360144899310541</v>
      </c>
      <c r="G211" s="4">
        <f t="shared" si="20"/>
        <v>92.889561270801806</v>
      </c>
      <c r="H211" s="4">
        <f t="shared" si="21"/>
        <v>99.883134130146075</v>
      </c>
      <c r="I211" s="4">
        <f t="shared" si="22"/>
        <v>101.69458679643427</v>
      </c>
      <c r="J211" s="4">
        <f t="shared" si="23"/>
        <v>119.48726082505441</v>
      </c>
      <c r="K211" s="4">
        <f t="shared" si="24"/>
        <v>93.311781923026516</v>
      </c>
      <c r="L211" s="4">
        <f t="shared" si="25"/>
        <v>90.760736196319016</v>
      </c>
      <c r="M211" s="4">
        <f t="shared" si="26"/>
        <v>115.09997055753327</v>
      </c>
      <c r="N211" s="4">
        <f t="shared" si="27"/>
        <v>101.79266709928618</v>
      </c>
      <c r="O211" s="4">
        <f t="shared" si="28"/>
        <v>109.6035562513979</v>
      </c>
      <c r="P211" s="4">
        <f t="shared" si="29"/>
        <v>90.684902847877822</v>
      </c>
      <c r="Q211" s="4">
        <f t="shared" si="30"/>
        <v>91.647927193841099</v>
      </c>
      <c r="R211" s="4">
        <f t="shared" si="31"/>
        <v>100.74517340787979</v>
      </c>
      <c r="S211" s="4">
        <f t="shared" si="32"/>
        <v>94.397275611121472</v>
      </c>
      <c r="T211" s="4">
        <f t="shared" si="33"/>
        <v>113.70210606445063</v>
      </c>
      <c r="U211" s="4">
        <f t="shared" si="34"/>
        <v>102.26193586059591</v>
      </c>
      <c r="V211" s="4">
        <f t="shared" si="35"/>
        <v>93.061591488086322</v>
      </c>
      <c r="W211" s="4">
        <f t="shared" si="36"/>
        <v>82.188065099457503</v>
      </c>
      <c r="X211" s="4">
        <f t="shared" si="37"/>
        <v>93.886928694510559</v>
      </c>
      <c r="Y211" s="4">
        <f t="shared" si="38"/>
        <v>102.32116480270099</v>
      </c>
      <c r="Z211" s="4">
        <f t="shared" si="39"/>
        <v>93.041850969717601</v>
      </c>
      <c r="AA211" s="4">
        <f t="shared" si="40"/>
        <v>105.93075266442101</v>
      </c>
      <c r="AB211" s="4">
        <f t="shared" si="41"/>
        <v>106.24375624375627</v>
      </c>
      <c r="AC211" s="4">
        <f t="shared" si="42"/>
        <v>86.565721649484544</v>
      </c>
      <c r="AD211" s="4">
        <f t="shared" si="43"/>
        <v>92.892892892892888</v>
      </c>
      <c r="AE211" s="4">
        <f t="shared" si="44"/>
        <v>101.60172986825771</v>
      </c>
      <c r="AF211" s="4">
        <f t="shared" si="45"/>
        <v>98.503026489922547</v>
      </c>
      <c r="AG211" s="4">
        <f t="shared" si="46"/>
        <v>95.885093167701868</v>
      </c>
      <c r="AH211" s="4">
        <f t="shared" si="47"/>
        <v>102.38885508288618</v>
      </c>
      <c r="AI211" s="4">
        <f t="shared" si="48"/>
        <v>98.02544975866607</v>
      </c>
      <c r="AJ211" s="4">
        <f t="shared" si="49"/>
        <v>79.802923304319265</v>
      </c>
      <c r="AK211" s="4">
        <f t="shared" si="50"/>
        <v>101.27346805069301</v>
      </c>
      <c r="AL211" s="4">
        <f t="shared" si="51"/>
        <v>109.21233087016149</v>
      </c>
      <c r="AM211" s="4">
        <f t="shared" si="52"/>
        <v>73.524522322281243</v>
      </c>
      <c r="AN211" s="4">
        <f t="shared" si="53"/>
        <v>103.4133104827192</v>
      </c>
      <c r="AO211" s="4">
        <f t="shared" si="54"/>
        <v>102.99740764744006</v>
      </c>
      <c r="AP211" s="4">
        <f t="shared" si="55"/>
        <v>100.51437726621131</v>
      </c>
      <c r="AQ211" s="4">
        <f t="shared" si="56"/>
        <v>99.718285060304595</v>
      </c>
      <c r="AR211" s="4">
        <f t="shared" si="57"/>
        <v>95.405794258060283</v>
      </c>
      <c r="AS211" s="4">
        <f t="shared" si="58"/>
        <v>91.744519753312559</v>
      </c>
      <c r="AT211" s="4">
        <f t="shared" si="59"/>
        <v>96.071814023606805</v>
      </c>
      <c r="AU211" s="4">
        <f t="shared" si="60"/>
        <v>111.64837552971858</v>
      </c>
      <c r="AV211" s="4">
        <f t="shared" si="61"/>
        <v>89.185536888239596</v>
      </c>
      <c r="AW211" s="4">
        <f t="shared" si="62"/>
        <v>100.2891727508454</v>
      </c>
      <c r="AX211" s="4">
        <f t="shared" si="63"/>
        <v>110.17123994223232</v>
      </c>
    </row>
    <row r="212" spans="1:50" ht="14.25" customHeight="1" x14ac:dyDescent="0.3">
      <c r="A212" s="2">
        <v>45699</v>
      </c>
      <c r="B212" s="4">
        <f t="shared" si="15"/>
        <v>101.1136131013306</v>
      </c>
      <c r="C212" s="4">
        <f t="shared" si="16"/>
        <v>95.436289797841567</v>
      </c>
      <c r="D212" s="4">
        <f t="shared" si="17"/>
        <v>106.33264398069812</v>
      </c>
      <c r="E212" s="4">
        <f t="shared" si="18"/>
        <v>96.37928728616761</v>
      </c>
      <c r="F212" s="4">
        <f t="shared" si="19"/>
        <v>97.592801776185098</v>
      </c>
      <c r="G212" s="4">
        <f t="shared" si="20"/>
        <v>92.170953101361576</v>
      </c>
      <c r="H212" s="4">
        <f t="shared" si="21"/>
        <v>99.636122177954846</v>
      </c>
      <c r="I212" s="4">
        <f t="shared" si="22"/>
        <v>99.705008397571177</v>
      </c>
      <c r="J212" s="4">
        <f t="shared" si="23"/>
        <v>118.10880567531325</v>
      </c>
      <c r="K212" s="4">
        <f t="shared" si="24"/>
        <v>91.367786466296806</v>
      </c>
      <c r="L212" s="4">
        <f t="shared" si="25"/>
        <v>88.334014996591677</v>
      </c>
      <c r="M212" s="4">
        <f t="shared" si="26"/>
        <v>113.5261368807045</v>
      </c>
      <c r="N212" s="4">
        <f t="shared" si="27"/>
        <v>100.1281635301752</v>
      </c>
      <c r="O212" s="4">
        <f t="shared" si="28"/>
        <v>107.28025050324312</v>
      </c>
      <c r="P212" s="4">
        <f t="shared" si="29"/>
        <v>90.127879913177651</v>
      </c>
      <c r="Q212" s="4">
        <f t="shared" si="30"/>
        <v>89.936241699515847</v>
      </c>
      <c r="R212" s="4">
        <f t="shared" si="31"/>
        <v>98.717567921726229</v>
      </c>
      <c r="S212" s="4">
        <f t="shared" si="32"/>
        <v>93.991416309012877</v>
      </c>
      <c r="T212" s="4">
        <f t="shared" si="33"/>
        <v>110.68573965998476</v>
      </c>
      <c r="U212" s="4">
        <f t="shared" si="34"/>
        <v>100.85898243619098</v>
      </c>
      <c r="V212" s="4">
        <f t="shared" si="35"/>
        <v>91.592986662670455</v>
      </c>
      <c r="W212" s="4">
        <f t="shared" si="36"/>
        <v>77.920433996383366</v>
      </c>
      <c r="X212" s="4">
        <f t="shared" si="37"/>
        <v>93.550504636087624</v>
      </c>
      <c r="Y212" s="4">
        <f t="shared" si="38"/>
        <v>100.84405992825489</v>
      </c>
      <c r="Z212" s="4">
        <f t="shared" si="39"/>
        <v>90.183735964613817</v>
      </c>
      <c r="AA212" s="4">
        <f t="shared" si="40"/>
        <v>105.41719586945717</v>
      </c>
      <c r="AB212" s="4">
        <f t="shared" si="41"/>
        <v>104.22910422910422</v>
      </c>
      <c r="AC212" s="4">
        <f t="shared" si="42"/>
        <v>84.230025773195877</v>
      </c>
      <c r="AD212" s="4">
        <f t="shared" si="43"/>
        <v>90.457123790457118</v>
      </c>
      <c r="AE212" s="4">
        <f t="shared" si="44"/>
        <v>100.24540789767234</v>
      </c>
      <c r="AF212" s="4">
        <f t="shared" si="45"/>
        <v>97.231683769769802</v>
      </c>
      <c r="AG212" s="4">
        <f t="shared" si="46"/>
        <v>92.9089026915114</v>
      </c>
      <c r="AH212" s="4">
        <f t="shared" si="47"/>
        <v>101.21056222455793</v>
      </c>
      <c r="AI212" s="4">
        <f t="shared" si="48"/>
        <v>95.151382185168927</v>
      </c>
      <c r="AJ212" s="4">
        <f t="shared" si="49"/>
        <v>77.497125964854646</v>
      </c>
      <c r="AK212" s="4">
        <f t="shared" si="50"/>
        <v>102.01871301926579</v>
      </c>
      <c r="AL212" s="4">
        <f t="shared" si="51"/>
        <v>101.78187624096779</v>
      </c>
      <c r="AM212" s="4">
        <f t="shared" si="52"/>
        <v>73.971604615134311</v>
      </c>
      <c r="AN212" s="4">
        <f t="shared" si="53"/>
        <v>101.32819194515849</v>
      </c>
      <c r="AO212" s="4">
        <f t="shared" si="54"/>
        <v>100.22683084899546</v>
      </c>
      <c r="AP212" s="4">
        <f t="shared" si="55"/>
        <v>100.48908002361074</v>
      </c>
      <c r="AQ212" s="4">
        <f t="shared" si="56"/>
        <v>97.960501217830213</v>
      </c>
      <c r="AR212" s="4">
        <f t="shared" si="57"/>
        <v>95.03302596298478</v>
      </c>
      <c r="AS212" s="4">
        <f t="shared" si="58"/>
        <v>85.721167219610166</v>
      </c>
      <c r="AT212" s="4">
        <f t="shared" si="59"/>
        <v>92.260120261079607</v>
      </c>
      <c r="AU212" s="4">
        <f t="shared" si="60"/>
        <v>110.15973052265566</v>
      </c>
      <c r="AV212" s="4">
        <f t="shared" si="61"/>
        <v>88.371073776479193</v>
      </c>
      <c r="AW212" s="4">
        <f t="shared" si="62"/>
        <v>97.638820844336621</v>
      </c>
      <c r="AX212" s="4">
        <f t="shared" si="63"/>
        <v>108.74252114710133</v>
      </c>
    </row>
    <row r="213" spans="1:50" ht="14.25" customHeight="1" x14ac:dyDescent="0.3">
      <c r="A213" s="2">
        <v>45700</v>
      </c>
      <c r="B213" s="4">
        <f t="shared" si="15"/>
        <v>99.615148413510752</v>
      </c>
      <c r="C213" s="4">
        <f t="shared" si="16"/>
        <v>95.739190917453826</v>
      </c>
      <c r="D213" s="4">
        <f t="shared" si="17"/>
        <v>107.26013661715861</v>
      </c>
      <c r="E213" s="4">
        <f t="shared" si="18"/>
        <v>96.053447458327781</v>
      </c>
      <c r="F213" s="4">
        <f t="shared" si="19"/>
        <v>97.518794063802432</v>
      </c>
      <c r="G213" s="4">
        <f t="shared" si="20"/>
        <v>92.429399899142695</v>
      </c>
      <c r="H213" s="4">
        <f t="shared" si="21"/>
        <v>98.972111553784842</v>
      </c>
      <c r="I213" s="4">
        <f t="shared" si="22"/>
        <v>100.44787046208174</v>
      </c>
      <c r="J213" s="4">
        <f t="shared" si="23"/>
        <v>118.43900047582656</v>
      </c>
      <c r="K213" s="4">
        <f t="shared" si="24"/>
        <v>89.533004237473236</v>
      </c>
      <c r="L213" s="4">
        <f t="shared" si="25"/>
        <v>89.697341513292429</v>
      </c>
      <c r="M213" s="4">
        <f t="shared" si="26"/>
        <v>112.91230605890277</v>
      </c>
      <c r="N213" s="4">
        <f t="shared" si="27"/>
        <v>96.924075275794934</v>
      </c>
      <c r="O213" s="4">
        <f t="shared" si="28"/>
        <v>108.6977186311787</v>
      </c>
      <c r="P213" s="4">
        <f t="shared" si="29"/>
        <v>89.819294437616051</v>
      </c>
      <c r="Q213" s="4">
        <f t="shared" si="30"/>
        <v>89.624064128680629</v>
      </c>
      <c r="R213" s="4">
        <f t="shared" si="31"/>
        <v>100.27518127020178</v>
      </c>
      <c r="S213" s="4">
        <f t="shared" si="32"/>
        <v>93.944765814517623</v>
      </c>
      <c r="T213" s="4">
        <f t="shared" si="33"/>
        <v>113.46739406242069</v>
      </c>
      <c r="U213" s="4">
        <f t="shared" si="34"/>
        <v>100.0491725187086</v>
      </c>
      <c r="V213" s="4">
        <f t="shared" si="35"/>
        <v>91.787801588490922</v>
      </c>
      <c r="W213" s="4">
        <f t="shared" si="36"/>
        <v>77.649186256781206</v>
      </c>
      <c r="X213" s="4">
        <f t="shared" si="37"/>
        <v>92.635595306474116</v>
      </c>
      <c r="Y213" s="4">
        <f t="shared" si="38"/>
        <v>100.18991348385737</v>
      </c>
      <c r="Z213" s="4">
        <f t="shared" si="39"/>
        <v>88.176250425314734</v>
      </c>
      <c r="AA213" s="4">
        <f t="shared" si="40"/>
        <v>105.6270362803026</v>
      </c>
      <c r="AB213" s="4">
        <f t="shared" si="41"/>
        <v>103.29670329670328</v>
      </c>
      <c r="AC213" s="4">
        <f t="shared" si="42"/>
        <v>82.812500000000028</v>
      </c>
      <c r="AD213" s="4">
        <f t="shared" si="43"/>
        <v>91.338004671337998</v>
      </c>
      <c r="AE213" s="4">
        <f t="shared" si="44"/>
        <v>99.668785145099577</v>
      </c>
      <c r="AF213" s="4">
        <f t="shared" si="45"/>
        <v>96.68496300956761</v>
      </c>
      <c r="AG213" s="4">
        <f t="shared" si="46"/>
        <v>93.258281573498962</v>
      </c>
      <c r="AH213" s="4">
        <f t="shared" si="47"/>
        <v>101.13034979992996</v>
      </c>
      <c r="AI213" s="4">
        <f t="shared" si="48"/>
        <v>96.738335527278025</v>
      </c>
      <c r="AJ213" s="4">
        <f t="shared" si="49"/>
        <v>74.76432911808179</v>
      </c>
      <c r="AK213" s="4">
        <f t="shared" si="50"/>
        <v>101.75255410191836</v>
      </c>
      <c r="AL213" s="4">
        <f t="shared" si="51"/>
        <v>99.26616584447217</v>
      </c>
      <c r="AM213" s="4">
        <f t="shared" si="52"/>
        <v>74.098230770863267</v>
      </c>
      <c r="AN213" s="4">
        <f t="shared" si="53"/>
        <v>103.69537275064266</v>
      </c>
      <c r="AO213" s="4">
        <f t="shared" si="54"/>
        <v>101.93616331821127</v>
      </c>
      <c r="AP213" s="4">
        <f t="shared" si="55"/>
        <v>101.00345728982205</v>
      </c>
      <c r="AQ213" s="4">
        <f t="shared" si="56"/>
        <v>98.611967015875805</v>
      </c>
      <c r="AR213" s="4">
        <f t="shared" si="57"/>
        <v>94.774704074292075</v>
      </c>
      <c r="AS213" s="4">
        <f t="shared" si="58"/>
        <v>86.497323482119228</v>
      </c>
      <c r="AT213" s="4">
        <f t="shared" si="59"/>
        <v>93.733404142326066</v>
      </c>
      <c r="AU213" s="4">
        <f t="shared" si="60"/>
        <v>111.89286102357927</v>
      </c>
      <c r="AV213" s="4">
        <f t="shared" si="61"/>
        <v>88.813002191380562</v>
      </c>
      <c r="AW213" s="4">
        <f t="shared" si="62"/>
        <v>95.970700347724247</v>
      </c>
      <c r="AX213" s="4">
        <f t="shared" si="63"/>
        <v>107.24675056736126</v>
      </c>
    </row>
    <row r="214" spans="1:50" ht="14.25" customHeight="1" x14ac:dyDescent="0.3">
      <c r="A214" s="2">
        <v>45701</v>
      </c>
      <c r="B214" s="4">
        <f t="shared" si="15"/>
        <v>99.578300921187292</v>
      </c>
      <c r="C214" s="4">
        <f t="shared" si="16"/>
        <v>95.228746438107208</v>
      </c>
      <c r="D214" s="4">
        <f t="shared" si="17"/>
        <v>107.45127530237512</v>
      </c>
      <c r="E214" s="4">
        <f t="shared" si="18"/>
        <v>95.080791255820756</v>
      </c>
      <c r="F214" s="4">
        <f t="shared" si="19"/>
        <v>97.292875783897486</v>
      </c>
      <c r="G214" s="4">
        <f t="shared" si="20"/>
        <v>91.736006051437201</v>
      </c>
      <c r="H214" s="4">
        <f t="shared" si="21"/>
        <v>97.915006640106242</v>
      </c>
      <c r="I214" s="4">
        <f t="shared" si="22"/>
        <v>99.974161319495295</v>
      </c>
      <c r="J214" s="4">
        <f t="shared" si="23"/>
        <v>121.24926102692024</v>
      </c>
      <c r="K214" s="4">
        <f t="shared" si="24"/>
        <v>89.489318946310775</v>
      </c>
      <c r="L214" s="4">
        <f t="shared" si="25"/>
        <v>88.988411724608056</v>
      </c>
      <c r="M214" s="4">
        <f t="shared" si="26"/>
        <v>113.05282692290535</v>
      </c>
      <c r="N214" s="4">
        <f t="shared" si="27"/>
        <v>96.625567813108376</v>
      </c>
      <c r="O214" s="4">
        <f t="shared" si="28"/>
        <v>110.31089241780361</v>
      </c>
      <c r="P214" s="4">
        <f t="shared" si="29"/>
        <v>89.076597191349137</v>
      </c>
      <c r="Q214" s="4">
        <f t="shared" si="30"/>
        <v>92.401915394587135</v>
      </c>
      <c r="R214" s="4">
        <f t="shared" si="31"/>
        <v>100.86878658163711</v>
      </c>
      <c r="S214" s="4">
        <f t="shared" si="32"/>
        <v>94.066057100205271</v>
      </c>
      <c r="T214" s="4">
        <f t="shared" si="33"/>
        <v>117.30842425780259</v>
      </c>
      <c r="U214" s="4">
        <f t="shared" si="34"/>
        <v>99.313121379289143</v>
      </c>
      <c r="V214" s="4">
        <f t="shared" si="35"/>
        <v>91.922673460212792</v>
      </c>
      <c r="W214" s="4">
        <f t="shared" si="36"/>
        <v>78.795660036166367</v>
      </c>
      <c r="X214" s="4">
        <f t="shared" si="37"/>
        <v>91.207844424386636</v>
      </c>
      <c r="Y214" s="4">
        <f t="shared" si="38"/>
        <v>99.155940071745093</v>
      </c>
      <c r="Z214" s="4">
        <f t="shared" si="39"/>
        <v>88.992854712487258</v>
      </c>
      <c r="AA214" s="4">
        <f t="shared" si="40"/>
        <v>107.10696338837042</v>
      </c>
      <c r="AB214" s="4">
        <f t="shared" si="41"/>
        <v>102.74725274725276</v>
      </c>
      <c r="AC214" s="4">
        <f t="shared" si="42"/>
        <v>83.489046391752581</v>
      </c>
      <c r="AD214" s="4">
        <f t="shared" si="43"/>
        <v>91.271271271271274</v>
      </c>
      <c r="AE214" s="4">
        <f t="shared" si="44"/>
        <v>99.437106360583726</v>
      </c>
      <c r="AF214" s="4">
        <f t="shared" si="45"/>
        <v>97.03859588223807</v>
      </c>
      <c r="AG214" s="4">
        <f t="shared" si="46"/>
        <v>93.594720496894396</v>
      </c>
      <c r="AH214" s="4">
        <f t="shared" si="47"/>
        <v>100.38354446718667</v>
      </c>
      <c r="AI214" s="4">
        <f t="shared" si="48"/>
        <v>99.64165569694309</v>
      </c>
      <c r="AJ214" s="4">
        <f t="shared" si="49"/>
        <v>74.908852028247665</v>
      </c>
      <c r="AK214" s="4">
        <f t="shared" si="50"/>
        <v>101.96343385950904</v>
      </c>
      <c r="AL214" s="4">
        <f t="shared" si="51"/>
        <v>98.671524778416867</v>
      </c>
      <c r="AM214" s="4">
        <f t="shared" si="52"/>
        <v>74.374120160440299</v>
      </c>
      <c r="AN214" s="4">
        <f t="shared" si="53"/>
        <v>105.00571265352757</v>
      </c>
      <c r="AO214" s="4">
        <f t="shared" si="54"/>
        <v>102.00907323395982</v>
      </c>
      <c r="AP214" s="4">
        <f t="shared" si="55"/>
        <v>101.6105911122354</v>
      </c>
      <c r="AQ214" s="4">
        <f t="shared" si="56"/>
        <v>98.324383014936757</v>
      </c>
      <c r="AR214" s="4">
        <f t="shared" si="57"/>
        <v>96.275586946569888</v>
      </c>
      <c r="AS214" s="4">
        <f t="shared" si="58"/>
        <v>86.465435943362294</v>
      </c>
      <c r="AT214" s="4">
        <f t="shared" si="59"/>
        <v>93.990372261148124</v>
      </c>
      <c r="AU214" s="4">
        <f t="shared" si="60"/>
        <v>111.13767249809845</v>
      </c>
      <c r="AV214" s="4">
        <f t="shared" si="61"/>
        <v>89.3791088385683</v>
      </c>
      <c r="AW214" s="4">
        <f t="shared" si="62"/>
        <v>94.555904740282244</v>
      </c>
      <c r="AX214" s="4">
        <f t="shared" si="63"/>
        <v>108.03074066432845</v>
      </c>
    </row>
    <row r="215" spans="1:50" ht="14.25" customHeight="1" x14ac:dyDescent="0.3">
      <c r="A215" s="2">
        <v>45702</v>
      </c>
      <c r="B215" s="4">
        <f t="shared" si="15"/>
        <v>99.672466734902756</v>
      </c>
      <c r="C215" s="4">
        <f t="shared" si="16"/>
        <v>95.068321030312546</v>
      </c>
      <c r="D215" s="4">
        <f t="shared" si="17"/>
        <v>107.60481293476217</v>
      </c>
      <c r="E215" s="4">
        <f t="shared" si="18"/>
        <v>95.681406460868828</v>
      </c>
      <c r="F215" s="4">
        <f t="shared" si="19"/>
        <v>98.165387761461446</v>
      </c>
      <c r="G215" s="4">
        <f t="shared" si="20"/>
        <v>91.042612203731707</v>
      </c>
      <c r="H215" s="4">
        <f t="shared" si="21"/>
        <v>98.61354581673308</v>
      </c>
      <c r="I215" s="4">
        <f t="shared" si="22"/>
        <v>99.838508246845535</v>
      </c>
      <c r="J215" s="4">
        <f t="shared" si="23"/>
        <v>121.00846394532321</v>
      </c>
      <c r="K215" s="4">
        <f t="shared" si="24"/>
        <v>89.609453497007564</v>
      </c>
      <c r="L215" s="4">
        <f t="shared" si="25"/>
        <v>88.279481935923656</v>
      </c>
      <c r="M215" s="4">
        <f t="shared" si="26"/>
        <v>113.13267846149728</v>
      </c>
      <c r="N215" s="4">
        <f t="shared" si="27"/>
        <v>95.476963011031785</v>
      </c>
      <c r="O215" s="4">
        <f t="shared" si="28"/>
        <v>109.17020800715724</v>
      </c>
      <c r="P215" s="4">
        <f t="shared" si="29"/>
        <v>89.502863568607978</v>
      </c>
      <c r="Q215" s="4">
        <f t="shared" si="30"/>
        <v>89.975925289028808</v>
      </c>
      <c r="R215" s="4">
        <f t="shared" si="31"/>
        <v>98.400017471826686</v>
      </c>
      <c r="S215" s="4">
        <f t="shared" si="32"/>
        <v>93.067736518007095</v>
      </c>
      <c r="T215" s="4">
        <f t="shared" si="33"/>
        <v>116.80411063181933</v>
      </c>
      <c r="U215" s="4">
        <f t="shared" si="34"/>
        <v>98.75224733776912</v>
      </c>
      <c r="V215" s="4">
        <f t="shared" si="35"/>
        <v>90.019481492582059</v>
      </c>
      <c r="W215" s="4">
        <f t="shared" si="36"/>
        <v>78.115732368896929</v>
      </c>
      <c r="X215" s="4">
        <f t="shared" si="37"/>
        <v>87.199474850250283</v>
      </c>
      <c r="Y215" s="4">
        <f t="shared" si="38"/>
        <v>97.277906731377939</v>
      </c>
      <c r="Z215" s="4">
        <f t="shared" si="39"/>
        <v>85.182034705682213</v>
      </c>
      <c r="AA215" s="4">
        <f t="shared" si="40"/>
        <v>106.53266331658291</v>
      </c>
      <c r="AB215" s="4">
        <f t="shared" si="41"/>
        <v>102.59740259740259</v>
      </c>
      <c r="AC215" s="4">
        <f t="shared" si="42"/>
        <v>82.909149484536101</v>
      </c>
      <c r="AD215" s="4">
        <f t="shared" si="43"/>
        <v>90.844177510844176</v>
      </c>
      <c r="AE215" s="4">
        <f t="shared" si="44"/>
        <v>97.322250888102005</v>
      </c>
      <c r="AF215" s="4">
        <f t="shared" si="45"/>
        <v>96.817304145965778</v>
      </c>
      <c r="AG215" s="4">
        <f t="shared" si="46"/>
        <v>91.666666666666657</v>
      </c>
      <c r="AH215" s="4">
        <f t="shared" si="47"/>
        <v>101.22715789861888</v>
      </c>
      <c r="AI215" s="4">
        <f t="shared" si="48"/>
        <v>98.339915167471105</v>
      </c>
      <c r="AJ215" s="4">
        <f t="shared" si="49"/>
        <v>73.013631138117901</v>
      </c>
      <c r="AK215" s="4">
        <f t="shared" si="50"/>
        <v>99.555719345658545</v>
      </c>
      <c r="AL215" s="4">
        <f t="shared" si="51"/>
        <v>96.275561378011588</v>
      </c>
      <c r="AM215" s="4">
        <f t="shared" si="52"/>
        <v>72.40115732061885</v>
      </c>
      <c r="AN215" s="4">
        <f t="shared" si="53"/>
        <v>104.64510139960011</v>
      </c>
      <c r="AO215" s="4">
        <f t="shared" si="54"/>
        <v>101.45819831497084</v>
      </c>
      <c r="AP215" s="4">
        <f t="shared" si="55"/>
        <v>102.23458976304916</v>
      </c>
      <c r="AQ215" s="4">
        <f t="shared" si="56"/>
        <v>97.373595093464786</v>
      </c>
      <c r="AR215" s="4">
        <f t="shared" si="57"/>
        <v>95.445033025962985</v>
      </c>
      <c r="AS215" s="4">
        <f t="shared" si="58"/>
        <v>85.085451819285836</v>
      </c>
      <c r="AT215" s="4">
        <f t="shared" si="59"/>
        <v>92.362907508608444</v>
      </c>
      <c r="AU215" s="4">
        <f t="shared" si="60"/>
        <v>111.11050744322503</v>
      </c>
      <c r="AV215" s="4">
        <f t="shared" si="61"/>
        <v>87.439737034331628</v>
      </c>
      <c r="AW215" s="4">
        <f t="shared" si="62"/>
        <v>92.305853955811529</v>
      </c>
      <c r="AX215" s="4">
        <f t="shared" si="63"/>
        <v>105.67361254384157</v>
      </c>
    </row>
    <row r="216" spans="1:50" ht="14.25" customHeight="1" x14ac:dyDescent="0.3">
      <c r="A216" s="2">
        <v>45705</v>
      </c>
      <c r="B216" s="4">
        <f t="shared" si="15"/>
        <v>100.29887410440124</v>
      </c>
      <c r="C216" s="4">
        <f t="shared" si="16"/>
        <v>96.33040902869709</v>
      </c>
      <c r="D216" s="4">
        <f t="shared" si="17"/>
        <v>105.00407344738984</v>
      </c>
      <c r="E216" s="4">
        <f t="shared" si="18"/>
        <v>94.943403567216635</v>
      </c>
      <c r="F216" s="4">
        <f t="shared" si="19"/>
        <v>97.468157207961667</v>
      </c>
      <c r="G216" s="4">
        <f t="shared" si="20"/>
        <v>91.742309631870896</v>
      </c>
      <c r="H216" s="4">
        <f t="shared" si="21"/>
        <v>97.864541832669318</v>
      </c>
      <c r="I216" s="4">
        <f t="shared" si="22"/>
        <v>100.31437061280737</v>
      </c>
      <c r="J216" s="4">
        <f t="shared" si="23"/>
        <v>121.50303519674708</v>
      </c>
      <c r="K216" s="4">
        <f t="shared" si="24"/>
        <v>89.249049844917224</v>
      </c>
      <c r="L216" s="4">
        <f t="shared" si="25"/>
        <v>87.848670756646214</v>
      </c>
      <c r="M216" s="4">
        <f t="shared" si="26"/>
        <v>113.87007842402505</v>
      </c>
      <c r="N216" s="4">
        <f t="shared" si="27"/>
        <v>91.886761842959103</v>
      </c>
      <c r="O216" s="4">
        <f t="shared" si="28"/>
        <v>108.7732050995303</v>
      </c>
      <c r="P216" s="4">
        <f t="shared" si="29"/>
        <v>89.432255027589633</v>
      </c>
      <c r="Q216" s="4">
        <f t="shared" si="30"/>
        <v>90.7008121907987</v>
      </c>
      <c r="R216" s="4">
        <f t="shared" si="31"/>
        <v>100.37651786494277</v>
      </c>
      <c r="S216" s="4">
        <f t="shared" si="32"/>
        <v>92.643217018100401</v>
      </c>
      <c r="T216" s="4">
        <f t="shared" si="33"/>
        <v>120.20109109363104</v>
      </c>
      <c r="U216" s="4">
        <f t="shared" si="34"/>
        <v>99.365367180417053</v>
      </c>
      <c r="V216" s="4">
        <f t="shared" si="35"/>
        <v>90.618912033568122</v>
      </c>
      <c r="W216" s="4">
        <f t="shared" si="36"/>
        <v>79.034358047016283</v>
      </c>
      <c r="X216" s="4">
        <f t="shared" si="37"/>
        <v>88.856978747846071</v>
      </c>
      <c r="Y216" s="4">
        <f t="shared" si="38"/>
        <v>98.607301118379425</v>
      </c>
      <c r="Z216" s="4">
        <f t="shared" si="39"/>
        <v>84.552568900986742</v>
      </c>
      <c r="AA216" s="4">
        <f t="shared" si="40"/>
        <v>107.52112209398641</v>
      </c>
      <c r="AB216" s="4">
        <f t="shared" si="41"/>
        <v>101.68165168165169</v>
      </c>
      <c r="AC216" s="4">
        <f t="shared" si="42"/>
        <v>84.793814432989691</v>
      </c>
      <c r="AD216" s="4">
        <f t="shared" si="43"/>
        <v>91.638304971638291</v>
      </c>
      <c r="AE216" s="4">
        <f t="shared" si="44"/>
        <v>97.672915319974138</v>
      </c>
      <c r="AF216" s="4">
        <f t="shared" si="45"/>
        <v>97.66558913500964</v>
      </c>
      <c r="AG216" s="4">
        <f t="shared" si="46"/>
        <v>93.19358178053831</v>
      </c>
      <c r="AH216" s="4">
        <f t="shared" si="47"/>
        <v>102.17864321144734</v>
      </c>
      <c r="AI216" s="4">
        <f t="shared" si="48"/>
        <v>98.208278484715507</v>
      </c>
      <c r="AJ216" s="4">
        <f t="shared" si="49"/>
        <v>73.066184923632775</v>
      </c>
      <c r="AK216" s="4">
        <f t="shared" si="50"/>
        <v>100.88856130868291</v>
      </c>
      <c r="AL216" s="4">
        <f t="shared" si="51"/>
        <v>97.132212965426874</v>
      </c>
      <c r="AM216" s="4">
        <f t="shared" si="52"/>
        <v>72.105460487687552</v>
      </c>
      <c r="AN216" s="4">
        <f t="shared" si="53"/>
        <v>105.41273921736645</v>
      </c>
      <c r="AO216" s="4">
        <f t="shared" si="54"/>
        <v>100.98023331173039</v>
      </c>
      <c r="AP216" s="4">
        <f t="shared" si="55"/>
        <v>103.01880428366641</v>
      </c>
      <c r="AQ216" s="4">
        <f t="shared" si="56"/>
        <v>97.716935176218584</v>
      </c>
      <c r="AR216" s="4">
        <f t="shared" si="57"/>
        <v>96.439081812831091</v>
      </c>
      <c r="AS216" s="4">
        <f t="shared" si="58"/>
        <v>85.488456032511721</v>
      </c>
      <c r="AT216" s="4">
        <f t="shared" si="59"/>
        <v>94.281602795813129</v>
      </c>
      <c r="AU216" s="4">
        <f t="shared" si="60"/>
        <v>111.18656959687058</v>
      </c>
      <c r="AV216" s="4">
        <f t="shared" si="61"/>
        <v>87.578524470416369</v>
      </c>
      <c r="AW216" s="4">
        <f t="shared" si="62"/>
        <v>92.641628926834514</v>
      </c>
      <c r="AX216" s="4">
        <f t="shared" si="63"/>
        <v>108.13389725603466</v>
      </c>
    </row>
    <row r="217" spans="1:50" ht="14.25" customHeight="1" x14ac:dyDescent="0.3">
      <c r="A217" s="2">
        <v>45706</v>
      </c>
      <c r="B217" s="4">
        <f t="shared" si="15"/>
        <v>100.33981576253839</v>
      </c>
      <c r="C217" s="4">
        <f t="shared" si="16"/>
        <v>96.6512598442864</v>
      </c>
      <c r="D217" s="4">
        <f t="shared" si="17"/>
        <v>104.58732844519648</v>
      </c>
      <c r="E217" s="4">
        <f t="shared" si="18"/>
        <v>94.182300088754872</v>
      </c>
      <c r="F217" s="4">
        <f t="shared" si="19"/>
        <v>96.837144081330578</v>
      </c>
      <c r="G217" s="4">
        <f t="shared" si="20"/>
        <v>91.502773575390805</v>
      </c>
      <c r="H217" s="4">
        <f t="shared" si="21"/>
        <v>98.377158034528549</v>
      </c>
      <c r="I217" s="4">
        <f t="shared" si="22"/>
        <v>98.87601739804488</v>
      </c>
      <c r="J217" s="4">
        <f t="shared" si="23"/>
        <v>122.06970138278083</v>
      </c>
      <c r="K217" s="4">
        <f t="shared" si="24"/>
        <v>88.51732121794592</v>
      </c>
      <c r="L217" s="4">
        <f t="shared" si="25"/>
        <v>87.802317655078383</v>
      </c>
      <c r="M217" s="4">
        <f t="shared" si="26"/>
        <v>114.07796008315267</v>
      </c>
      <c r="N217" s="4">
        <f t="shared" si="27"/>
        <v>90.527255029201825</v>
      </c>
      <c r="O217" s="4">
        <f t="shared" si="28"/>
        <v>109.78248713934242</v>
      </c>
      <c r="P217" s="4">
        <f t="shared" si="29"/>
        <v>90.248175946023693</v>
      </c>
      <c r="Q217" s="4">
        <f t="shared" si="30"/>
        <v>90.034127886981125</v>
      </c>
      <c r="R217" s="4">
        <f t="shared" si="31"/>
        <v>98.793570367781939</v>
      </c>
      <c r="S217" s="4">
        <f t="shared" si="32"/>
        <v>92.755178204888978</v>
      </c>
      <c r="T217" s="4">
        <f t="shared" si="33"/>
        <v>120.1281400659731</v>
      </c>
      <c r="U217" s="4">
        <f t="shared" si="34"/>
        <v>99.016549625827864</v>
      </c>
      <c r="V217" s="4">
        <f t="shared" si="35"/>
        <v>93.271392177431451</v>
      </c>
      <c r="W217" s="4">
        <f t="shared" si="36"/>
        <v>80.763110307414109</v>
      </c>
      <c r="X217" s="4">
        <f t="shared" si="37"/>
        <v>89.041601706736699</v>
      </c>
      <c r="Y217" s="4">
        <f t="shared" si="38"/>
        <v>99.852289512555402</v>
      </c>
      <c r="Z217" s="4">
        <f t="shared" si="39"/>
        <v>83.225586934331417</v>
      </c>
      <c r="AA217" s="4">
        <f t="shared" si="40"/>
        <v>108.1009442818488</v>
      </c>
      <c r="AB217" s="4">
        <f t="shared" si="41"/>
        <v>103.96270396270397</v>
      </c>
      <c r="AC217" s="4">
        <f t="shared" si="42"/>
        <v>86.001932989690715</v>
      </c>
      <c r="AD217" s="4">
        <f t="shared" si="43"/>
        <v>91.077744411077731</v>
      </c>
      <c r="AE217" s="4">
        <f t="shared" si="44"/>
        <v>96.636939323040309</v>
      </c>
      <c r="AF217" s="4">
        <f t="shared" si="45"/>
        <v>97.090664526066845</v>
      </c>
      <c r="AG217" s="4">
        <f t="shared" si="46"/>
        <v>93.452380952380949</v>
      </c>
      <c r="AH217" s="4">
        <f t="shared" si="47"/>
        <v>102.45062786966865</v>
      </c>
      <c r="AI217" s="4">
        <f t="shared" si="48"/>
        <v>98.391107210764943</v>
      </c>
      <c r="AJ217" s="4">
        <f t="shared" si="49"/>
        <v>72.596485465593702</v>
      </c>
      <c r="AK217" s="4">
        <f t="shared" si="50"/>
        <v>100.86194541694817</v>
      </c>
      <c r="AL217" s="4">
        <f t="shared" si="51"/>
        <v>96.604098008310629</v>
      </c>
      <c r="AM217" s="4">
        <f t="shared" si="52"/>
        <v>70.709035731212992</v>
      </c>
      <c r="AN217" s="4">
        <f t="shared" si="53"/>
        <v>105.35204227363609</v>
      </c>
      <c r="AO217" s="4">
        <f t="shared" si="54"/>
        <v>100.28353856124433</v>
      </c>
      <c r="AP217" s="4">
        <f t="shared" si="55"/>
        <v>103.11999325406862</v>
      </c>
      <c r="AQ217" s="4">
        <f t="shared" si="56"/>
        <v>100.06749420430201</v>
      </c>
      <c r="AR217" s="4">
        <f t="shared" si="57"/>
        <v>96.926296514289447</v>
      </c>
      <c r="AS217" s="4">
        <f t="shared" si="58"/>
        <v>86.528532562604738</v>
      </c>
      <c r="AT217" s="4">
        <f t="shared" si="59"/>
        <v>94.79553903345726</v>
      </c>
      <c r="AU217" s="4">
        <f t="shared" si="60"/>
        <v>111.58861240899707</v>
      </c>
      <c r="AV217" s="4">
        <f t="shared" si="61"/>
        <v>87.465303140978833</v>
      </c>
      <c r="AW217" s="4">
        <f t="shared" si="62"/>
        <v>91.782475175355771</v>
      </c>
      <c r="AX217" s="4">
        <f t="shared" si="63"/>
        <v>105.64266556632968</v>
      </c>
    </row>
    <row r="218" spans="1:50" ht="14.25" customHeight="1" x14ac:dyDescent="0.3">
      <c r="A218" s="2">
        <v>45707</v>
      </c>
      <c r="B218" s="4">
        <f t="shared" si="15"/>
        <v>100.50767656090072</v>
      </c>
      <c r="C218" s="4">
        <f t="shared" si="16"/>
        <v>96.883484035989156</v>
      </c>
      <c r="D218" s="4">
        <f t="shared" si="17"/>
        <v>103.10208685843203</v>
      </c>
      <c r="E218" s="4">
        <f t="shared" si="18"/>
        <v>92.015708397670494</v>
      </c>
      <c r="F218" s="4">
        <f t="shared" si="19"/>
        <v>98.286137186927903</v>
      </c>
      <c r="G218" s="4">
        <f t="shared" si="20"/>
        <v>91.69188098840138</v>
      </c>
      <c r="H218" s="4">
        <f t="shared" si="21"/>
        <v>96.191235059760942</v>
      </c>
      <c r="I218" s="4">
        <f t="shared" si="22"/>
        <v>96.912277679686497</v>
      </c>
      <c r="J218" s="4">
        <f t="shared" si="23"/>
        <v>121.6890401280406</v>
      </c>
      <c r="K218" s="4">
        <f t="shared" si="24"/>
        <v>88.768511642130093</v>
      </c>
      <c r="L218" s="4">
        <f t="shared" si="25"/>
        <v>89.322426721199719</v>
      </c>
      <c r="M218" s="4">
        <f t="shared" si="26"/>
        <v>113.18531802325064</v>
      </c>
      <c r="N218" s="4">
        <f t="shared" si="27"/>
        <v>89.467878001297848</v>
      </c>
      <c r="O218" s="4">
        <f t="shared" si="28"/>
        <v>110.99306642809212</v>
      </c>
      <c r="P218" s="4">
        <f t="shared" si="29"/>
        <v>89.557781322733334</v>
      </c>
      <c r="Q218" s="4">
        <f t="shared" si="30"/>
        <v>88.711341569882791</v>
      </c>
      <c r="R218" s="4">
        <f t="shared" si="31"/>
        <v>98.642002271337461</v>
      </c>
      <c r="S218" s="4">
        <f t="shared" si="32"/>
        <v>94.359955215525289</v>
      </c>
      <c r="T218" s="4">
        <f t="shared" si="33"/>
        <v>118.96409540725703</v>
      </c>
      <c r="U218" s="4">
        <f t="shared" si="34"/>
        <v>98.661585506400115</v>
      </c>
      <c r="V218" s="4">
        <f t="shared" si="35"/>
        <v>94.350367151206356</v>
      </c>
      <c r="W218" s="4">
        <f t="shared" si="36"/>
        <v>84.665461121157335</v>
      </c>
      <c r="X218" s="4">
        <f t="shared" si="37"/>
        <v>88.85287601542629</v>
      </c>
      <c r="Y218" s="4">
        <f t="shared" si="38"/>
        <v>100.56974045157207</v>
      </c>
      <c r="Z218" s="4">
        <f t="shared" si="39"/>
        <v>86.219802653963939</v>
      </c>
      <c r="AA218" s="4">
        <f t="shared" si="40"/>
        <v>107.9408029156773</v>
      </c>
      <c r="AB218" s="4">
        <f t="shared" si="41"/>
        <v>104.5954045954046</v>
      </c>
      <c r="AC218" s="4">
        <f t="shared" si="42"/>
        <v>84.745489690721669</v>
      </c>
      <c r="AD218" s="4">
        <f t="shared" si="43"/>
        <v>90.890890890890873</v>
      </c>
      <c r="AE218" s="4">
        <f t="shared" si="44"/>
        <v>97.013345842080867</v>
      </c>
      <c r="AF218" s="4">
        <f t="shared" si="45"/>
        <v>97.155750330852825</v>
      </c>
      <c r="AG218" s="4">
        <f t="shared" si="46"/>
        <v>93.762939958592142</v>
      </c>
      <c r="AH218" s="4">
        <f t="shared" si="47"/>
        <v>101.64573767771203</v>
      </c>
      <c r="AI218" s="4">
        <f t="shared" si="48"/>
        <v>99.283311393886194</v>
      </c>
      <c r="AJ218" s="4">
        <f t="shared" si="49"/>
        <v>75.191328625390042</v>
      </c>
      <c r="AK218" s="4">
        <f t="shared" si="50"/>
        <v>100.86194541694817</v>
      </c>
      <c r="AL218" s="4">
        <f t="shared" si="51"/>
        <v>98.470922973000626</v>
      </c>
      <c r="AM218" s="4">
        <f t="shared" si="52"/>
        <v>70.619902236118875</v>
      </c>
      <c r="AN218" s="4">
        <f t="shared" si="53"/>
        <v>105.3698943159097</v>
      </c>
      <c r="AO218" s="4">
        <f t="shared" si="54"/>
        <v>100.91542449773169</v>
      </c>
      <c r="AP218" s="4">
        <f t="shared" si="55"/>
        <v>105.62442027152372</v>
      </c>
      <c r="AQ218" s="4">
        <f t="shared" si="56"/>
        <v>98.940634445520445</v>
      </c>
      <c r="AR218" s="4">
        <f t="shared" si="57"/>
        <v>95.75240337453404</v>
      </c>
      <c r="AS218" s="4">
        <f t="shared" si="58"/>
        <v>87.150000339229138</v>
      </c>
      <c r="AT218" s="4">
        <f t="shared" si="59"/>
        <v>95.557877785962688</v>
      </c>
      <c r="AU218" s="4">
        <f t="shared" si="60"/>
        <v>111.40932304683255</v>
      </c>
      <c r="AV218" s="4">
        <f t="shared" si="61"/>
        <v>85.16070124178232</v>
      </c>
      <c r="AW218" s="4">
        <f t="shared" si="62"/>
        <v>92.706155077849601</v>
      </c>
      <c r="AX218" s="4">
        <f t="shared" si="63"/>
        <v>106.84959768929234</v>
      </c>
    </row>
    <row r="219" spans="1:50" ht="14.25" customHeight="1" x14ac:dyDescent="0.3">
      <c r="A219" s="2">
        <v>45708</v>
      </c>
      <c r="B219" s="4">
        <f t="shared" si="15"/>
        <v>100.96212896622315</v>
      </c>
      <c r="C219" s="4">
        <f t="shared" si="16"/>
        <v>94.634162758868285</v>
      </c>
      <c r="D219" s="4">
        <f t="shared" si="17"/>
        <v>102.99555054208183</v>
      </c>
      <c r="E219" s="4">
        <f t="shared" si="18"/>
        <v>91.901421293875913</v>
      </c>
      <c r="F219" s="4">
        <f t="shared" si="19"/>
        <v>97.374673781794101</v>
      </c>
      <c r="G219" s="4">
        <f t="shared" si="20"/>
        <v>91.994452849218362</v>
      </c>
      <c r="H219" s="4">
        <f t="shared" si="21"/>
        <v>96.953519256308098</v>
      </c>
      <c r="I219" s="4">
        <f t="shared" si="22"/>
        <v>96.811076181043049</v>
      </c>
      <c r="J219" s="4">
        <f t="shared" si="23"/>
        <v>121.11228065116147</v>
      </c>
      <c r="K219" s="4">
        <f t="shared" si="24"/>
        <v>87.818356559346469</v>
      </c>
      <c r="L219" s="4">
        <f t="shared" si="25"/>
        <v>89.319700068166327</v>
      </c>
      <c r="M219" s="4">
        <f t="shared" si="26"/>
        <v>110.99497693673439</v>
      </c>
      <c r="N219" s="4">
        <f t="shared" si="27"/>
        <v>92.130110317975323</v>
      </c>
      <c r="O219" s="4">
        <f t="shared" si="28"/>
        <v>110.18508163721761</v>
      </c>
      <c r="P219" s="4">
        <f t="shared" si="29"/>
        <v>88.263291404063921</v>
      </c>
      <c r="Q219" s="4">
        <f t="shared" si="30"/>
        <v>88.325087965290066</v>
      </c>
      <c r="R219" s="4">
        <f t="shared" si="31"/>
        <v>98.607495413645495</v>
      </c>
      <c r="S219" s="4">
        <f t="shared" si="32"/>
        <v>94.90576600111963</v>
      </c>
      <c r="T219" s="4">
        <f t="shared" si="33"/>
        <v>119.33836589698046</v>
      </c>
      <c r="U219" s="4">
        <f t="shared" si="34"/>
        <v>98.082271770364329</v>
      </c>
      <c r="V219" s="4">
        <f t="shared" si="35"/>
        <v>97.452420200809229</v>
      </c>
      <c r="W219" s="4">
        <f t="shared" si="36"/>
        <v>84.603978300180842</v>
      </c>
      <c r="X219" s="4">
        <f t="shared" si="37"/>
        <v>91.220152621646037</v>
      </c>
      <c r="Y219" s="4">
        <f t="shared" si="38"/>
        <v>102.08904832243091</v>
      </c>
      <c r="Z219" s="4">
        <f t="shared" si="39"/>
        <v>88.550527390268812</v>
      </c>
      <c r="AA219" s="4">
        <f t="shared" si="40"/>
        <v>108.36048373736816</v>
      </c>
      <c r="AB219" s="4">
        <f t="shared" si="41"/>
        <v>104.32900432900433</v>
      </c>
      <c r="AC219" s="4">
        <f t="shared" si="42"/>
        <v>85.61533505154641</v>
      </c>
      <c r="AD219" s="4">
        <f t="shared" si="43"/>
        <v>92.06539873206539</v>
      </c>
      <c r="AE219" s="4">
        <f t="shared" si="44"/>
        <v>98.737493635984009</v>
      </c>
      <c r="AF219" s="4">
        <f t="shared" si="45"/>
        <v>97.587486169266498</v>
      </c>
      <c r="AG219" s="4">
        <f t="shared" si="46"/>
        <v>95.225155279503099</v>
      </c>
      <c r="AH219" s="4">
        <f t="shared" si="47"/>
        <v>101.72963802990911</v>
      </c>
      <c r="AI219" s="4">
        <f t="shared" si="48"/>
        <v>100.95070937545707</v>
      </c>
      <c r="AJ219" s="4">
        <f t="shared" si="49"/>
        <v>77.277056988011168</v>
      </c>
      <c r="AK219" s="4">
        <f t="shared" si="50"/>
        <v>100.47294392236348</v>
      </c>
      <c r="AL219" s="4">
        <f t="shared" si="51"/>
        <v>100.06345567314186</v>
      </c>
      <c r="AM219" s="4">
        <f t="shared" si="52"/>
        <v>72.148612417852178</v>
      </c>
      <c r="AN219" s="4">
        <f t="shared" si="53"/>
        <v>104.95572693516138</v>
      </c>
      <c r="AO219" s="4">
        <f t="shared" si="54"/>
        <v>100.45366169799092</v>
      </c>
      <c r="AP219" s="4">
        <f t="shared" si="55"/>
        <v>107.7325238215701</v>
      </c>
      <c r="AQ219" s="4">
        <f t="shared" si="56"/>
        <v>97.30023182791912</v>
      </c>
      <c r="AR219" s="4">
        <f t="shared" si="57"/>
        <v>96.769341442678709</v>
      </c>
      <c r="AS219" s="4">
        <f t="shared" si="58"/>
        <v>86.719857795146311</v>
      </c>
      <c r="AT219" s="4">
        <f t="shared" si="59"/>
        <v>99.506621211861656</v>
      </c>
      <c r="AU219" s="4">
        <f t="shared" si="60"/>
        <v>109.6272954471368</v>
      </c>
      <c r="AV219" s="4">
        <f t="shared" si="61"/>
        <v>85.533235938641354</v>
      </c>
      <c r="AW219" s="4">
        <f t="shared" si="62"/>
        <v>93.421917382628109</v>
      </c>
      <c r="AX219" s="4">
        <f t="shared" si="63"/>
        <v>108.07200330101094</v>
      </c>
    </row>
    <row r="220" spans="1:50" ht="14.25" customHeight="1" x14ac:dyDescent="0.3">
      <c r="A220" s="2">
        <v>45709</v>
      </c>
      <c r="B220" s="4">
        <f t="shared" si="15"/>
        <v>100.56499488229274</v>
      </c>
      <c r="C220" s="4">
        <f t="shared" si="16"/>
        <v>94.937063878480572</v>
      </c>
      <c r="D220" s="4">
        <f t="shared" si="17"/>
        <v>102.72920975120637</v>
      </c>
      <c r="E220" s="4">
        <f t="shared" si="18"/>
        <v>92.061909567289575</v>
      </c>
      <c r="F220" s="4">
        <f t="shared" si="19"/>
        <v>96.050325244420193</v>
      </c>
      <c r="G220" s="4">
        <f t="shared" si="20"/>
        <v>91.023701462430651</v>
      </c>
      <c r="H220" s="4">
        <f t="shared" si="21"/>
        <v>96.414342629482078</v>
      </c>
      <c r="I220" s="4">
        <f t="shared" si="22"/>
        <v>96.535463588992727</v>
      </c>
      <c r="J220" s="4">
        <f t="shared" si="23"/>
        <v>121.0719074877799</v>
      </c>
      <c r="K220" s="4">
        <f t="shared" si="24"/>
        <v>87.567166135162282</v>
      </c>
      <c r="L220" s="4">
        <f t="shared" si="25"/>
        <v>90.391274710293118</v>
      </c>
      <c r="M220" s="4">
        <f t="shared" si="26"/>
        <v>109.94932326936291</v>
      </c>
      <c r="N220" s="4">
        <f t="shared" si="27"/>
        <v>86.610966904607395</v>
      </c>
      <c r="O220" s="4">
        <f t="shared" si="28"/>
        <v>109.20655334377096</v>
      </c>
      <c r="P220" s="4">
        <f t="shared" si="29"/>
        <v>88.951070896205437</v>
      </c>
      <c r="Q220" s="4">
        <f t="shared" si="30"/>
        <v>86.973200349215588</v>
      </c>
      <c r="R220" s="4">
        <f t="shared" si="31"/>
        <v>97.46876910981041</v>
      </c>
      <c r="S220" s="4">
        <f t="shared" si="32"/>
        <v>94.136032841948122</v>
      </c>
      <c r="T220" s="4">
        <f t="shared" si="33"/>
        <v>119.21783811215425</v>
      </c>
      <c r="U220" s="4">
        <f t="shared" si="34"/>
        <v>97.727307650936595</v>
      </c>
      <c r="V220" s="4">
        <f t="shared" si="35"/>
        <v>97.782106998351566</v>
      </c>
      <c r="W220" s="4">
        <f t="shared" si="36"/>
        <v>83.312839059674516</v>
      </c>
      <c r="X220" s="4">
        <f t="shared" si="37"/>
        <v>88.885697874784626</v>
      </c>
      <c r="Y220" s="4">
        <f t="shared" si="38"/>
        <v>101.24498839417599</v>
      </c>
      <c r="Z220" s="4">
        <f t="shared" si="39"/>
        <v>87.138482477033037</v>
      </c>
      <c r="AA220" s="4">
        <f t="shared" si="40"/>
        <v>108.44331547849136</v>
      </c>
      <c r="AB220" s="4">
        <f t="shared" si="41"/>
        <v>102.01465201465203</v>
      </c>
      <c r="AC220" s="4">
        <f t="shared" si="42"/>
        <v>84.375</v>
      </c>
      <c r="AD220" s="4">
        <f t="shared" si="43"/>
        <v>89.849849849849846</v>
      </c>
      <c r="AE220" s="4">
        <f t="shared" si="44"/>
        <v>97.317102470668331</v>
      </c>
      <c r="AF220" s="4">
        <f t="shared" si="45"/>
        <v>97.958475256546535</v>
      </c>
      <c r="AG220" s="4">
        <f t="shared" si="46"/>
        <v>95.742753623188406</v>
      </c>
      <c r="AH220" s="4">
        <f t="shared" si="47"/>
        <v>102.10672862384985</v>
      </c>
      <c r="AI220" s="4">
        <f t="shared" si="48"/>
        <v>102.93988591487494</v>
      </c>
      <c r="AJ220" s="4">
        <f t="shared" si="49"/>
        <v>76.751519132862541</v>
      </c>
      <c r="AK220" s="4">
        <f t="shared" si="50"/>
        <v>99.54548246422209</v>
      </c>
      <c r="AL220" s="4">
        <f t="shared" si="51"/>
        <v>101.5792274783534</v>
      </c>
      <c r="AM220" s="4">
        <f t="shared" si="52"/>
        <v>71.422811100657185</v>
      </c>
      <c r="AN220" s="4">
        <f t="shared" si="53"/>
        <v>106.7837760639817</v>
      </c>
      <c r="AO220" s="4">
        <f t="shared" si="54"/>
        <v>100.91542449773169</v>
      </c>
      <c r="AP220" s="4">
        <f t="shared" si="55"/>
        <v>110.22008601062483</v>
      </c>
      <c r="AQ220" s="4">
        <f t="shared" si="56"/>
        <v>96.810165214074004</v>
      </c>
      <c r="AR220" s="4">
        <f t="shared" si="57"/>
        <v>96.511019553986017</v>
      </c>
      <c r="AS220" s="4">
        <f t="shared" si="58"/>
        <v>85.723881052695845</v>
      </c>
      <c r="AT220" s="4">
        <f t="shared" si="59"/>
        <v>100.23469754852417</v>
      </c>
      <c r="AU220" s="4">
        <f t="shared" si="60"/>
        <v>109.09486037161795</v>
      </c>
      <c r="AV220" s="4">
        <f t="shared" si="61"/>
        <v>84.134404674945216</v>
      </c>
      <c r="AW220" s="4">
        <f t="shared" si="62"/>
        <v>92.07164792620118</v>
      </c>
      <c r="AX220" s="4">
        <f t="shared" si="63"/>
        <v>107.66969259335673</v>
      </c>
    </row>
    <row r="221" spans="1:50" ht="14.25" customHeight="1" x14ac:dyDescent="0.3">
      <c r="A221" s="2">
        <v>45712</v>
      </c>
      <c r="B221" s="4">
        <f t="shared" si="15"/>
        <v>99.451381780962137</v>
      </c>
      <c r="C221" s="4">
        <f t="shared" si="16"/>
        <v>94.073234759586271</v>
      </c>
      <c r="D221" s="4">
        <f t="shared" si="17"/>
        <v>100.3509431597418</v>
      </c>
      <c r="E221" s="4">
        <f t="shared" si="18"/>
        <v>89.377378448370209</v>
      </c>
      <c r="F221" s="4">
        <f t="shared" si="19"/>
        <v>94.912943559381432</v>
      </c>
      <c r="G221" s="4">
        <f t="shared" si="20"/>
        <v>90.317700453857768</v>
      </c>
      <c r="H221" s="4">
        <f t="shared" si="21"/>
        <v>93.710491367861863</v>
      </c>
      <c r="I221" s="4">
        <f t="shared" si="22"/>
        <v>96.526850695491163</v>
      </c>
      <c r="J221" s="4">
        <f t="shared" si="23"/>
        <v>120.46919383444119</v>
      </c>
      <c r="K221" s="4">
        <f t="shared" si="24"/>
        <v>87.785592590974616</v>
      </c>
      <c r="L221" s="4">
        <f t="shared" si="25"/>
        <v>88.826175869120647</v>
      </c>
      <c r="M221" s="4">
        <f t="shared" si="26"/>
        <v>110.14337589108074</v>
      </c>
      <c r="N221" s="4">
        <f t="shared" si="27"/>
        <v>87.903958468526923</v>
      </c>
      <c r="O221" s="4">
        <f t="shared" si="28"/>
        <v>109.93625587116975</v>
      </c>
      <c r="P221" s="4">
        <f t="shared" si="29"/>
        <v>85.988127304584324</v>
      </c>
      <c r="Q221" s="4">
        <f t="shared" si="30"/>
        <v>86.748326675308874</v>
      </c>
      <c r="R221" s="4">
        <f t="shared" si="31"/>
        <v>96.467633441076245</v>
      </c>
      <c r="S221" s="4">
        <f t="shared" si="32"/>
        <v>94.238663929837656</v>
      </c>
      <c r="T221" s="4">
        <f t="shared" si="33"/>
        <v>117.85079928952042</v>
      </c>
      <c r="U221" s="4">
        <f t="shared" si="34"/>
        <v>97.515251164005733</v>
      </c>
      <c r="V221" s="4">
        <f t="shared" si="35"/>
        <v>95.938858084819429</v>
      </c>
      <c r="W221" s="4">
        <f t="shared" si="36"/>
        <v>80.538878842676311</v>
      </c>
      <c r="X221" s="4">
        <f t="shared" si="37"/>
        <v>87.831295642898183</v>
      </c>
      <c r="Y221" s="4">
        <f t="shared" si="38"/>
        <v>98.902722093268622</v>
      </c>
      <c r="Z221" s="4">
        <f t="shared" si="39"/>
        <v>87.223545423613487</v>
      </c>
      <c r="AA221" s="4">
        <f t="shared" si="40"/>
        <v>106.77563642387761</v>
      </c>
      <c r="AB221" s="4">
        <f t="shared" si="41"/>
        <v>98.251748251748253</v>
      </c>
      <c r="AC221" s="4">
        <f t="shared" si="42"/>
        <v>83.489046391752581</v>
      </c>
      <c r="AD221" s="4">
        <f t="shared" si="43"/>
        <v>89.189189189189179</v>
      </c>
      <c r="AE221" s="4">
        <f t="shared" si="44"/>
        <v>96.640943647710969</v>
      </c>
      <c r="AF221" s="4">
        <f t="shared" si="45"/>
        <v>97.463823140173119</v>
      </c>
      <c r="AG221" s="4">
        <f t="shared" si="46"/>
        <v>94.409937888198769</v>
      </c>
      <c r="AH221" s="4">
        <f t="shared" si="47"/>
        <v>102.35842968044109</v>
      </c>
      <c r="AI221" s="4">
        <f t="shared" si="48"/>
        <v>100.66549656281995</v>
      </c>
      <c r="AJ221" s="4">
        <f t="shared" si="49"/>
        <v>75.036951880440128</v>
      </c>
      <c r="AK221" s="4">
        <f t="shared" si="50"/>
        <v>98.016092377618065</v>
      </c>
      <c r="AL221" s="4">
        <f t="shared" si="51"/>
        <v>102.56893128364686</v>
      </c>
      <c r="AM221" s="4">
        <f t="shared" si="52"/>
        <v>71.674648594732631</v>
      </c>
      <c r="AN221" s="4">
        <f t="shared" si="53"/>
        <v>106.14824335904025</v>
      </c>
      <c r="AO221" s="4">
        <f t="shared" si="54"/>
        <v>99.967595593000652</v>
      </c>
      <c r="AP221" s="4">
        <f t="shared" si="55"/>
        <v>108.2553335019816</v>
      </c>
      <c r="AQ221" s="4">
        <f t="shared" si="56"/>
        <v>94.709041288845853</v>
      </c>
      <c r="AR221" s="4">
        <f t="shared" si="57"/>
        <v>96.576417500490479</v>
      </c>
      <c r="AS221" s="4">
        <f t="shared" si="58"/>
        <v>84.826280759601872</v>
      </c>
      <c r="AT221" s="4">
        <f t="shared" si="59"/>
        <v>98.881332122727983</v>
      </c>
      <c r="AU221" s="4">
        <f t="shared" si="60"/>
        <v>108.92100402042813</v>
      </c>
      <c r="AV221" s="4">
        <f t="shared" si="61"/>
        <v>85.065741417092781</v>
      </c>
      <c r="AW221" s="4">
        <f t="shared" si="62"/>
        <v>92.842376952214806</v>
      </c>
      <c r="AX221" s="4">
        <f t="shared" si="63"/>
        <v>106.16360635444609</v>
      </c>
    </row>
    <row r="222" spans="1:50" ht="14.25" customHeight="1" x14ac:dyDescent="0.3">
      <c r="A222" s="2">
        <v>45713</v>
      </c>
      <c r="B222" s="4">
        <f t="shared" si="15"/>
        <v>98.587512794268179</v>
      </c>
      <c r="C222" s="4">
        <f t="shared" si="16"/>
        <v>94.367161031210031</v>
      </c>
      <c r="D222" s="4">
        <f t="shared" si="17"/>
        <v>102.86394685717868</v>
      </c>
      <c r="E222" s="4">
        <f t="shared" si="18"/>
        <v>88.257607995233982</v>
      </c>
      <c r="F222" s="4">
        <f t="shared" si="19"/>
        <v>95.364780119191366</v>
      </c>
      <c r="G222" s="4">
        <f t="shared" si="20"/>
        <v>89.624306606152288</v>
      </c>
      <c r="H222" s="4">
        <f t="shared" si="21"/>
        <v>93.901726427622833</v>
      </c>
      <c r="I222" s="4">
        <f t="shared" si="22"/>
        <v>97.295551440506458</v>
      </c>
      <c r="J222" s="4">
        <f t="shared" si="23"/>
        <v>122.39989618329416</v>
      </c>
      <c r="K222" s="4">
        <f t="shared" si="24"/>
        <v>88.429950635620997</v>
      </c>
      <c r="L222" s="4">
        <f t="shared" si="25"/>
        <v>87.959100204498981</v>
      </c>
      <c r="M222" s="4">
        <f t="shared" si="26"/>
        <v>111.31349089514022</v>
      </c>
      <c r="N222" s="4">
        <f t="shared" si="27"/>
        <v>90.131408176508756</v>
      </c>
      <c r="O222" s="4">
        <f t="shared" si="28"/>
        <v>110.00055915902482</v>
      </c>
      <c r="P222" s="4">
        <f t="shared" si="29"/>
        <v>85.572321451920814</v>
      </c>
      <c r="Q222" s="4">
        <f t="shared" si="30"/>
        <v>85.377920050794984</v>
      </c>
      <c r="R222" s="4">
        <f t="shared" si="31"/>
        <v>95.781864243906682</v>
      </c>
      <c r="S222" s="4">
        <f t="shared" si="32"/>
        <v>94.150027990296721</v>
      </c>
      <c r="T222" s="4">
        <f t="shared" si="33"/>
        <v>118.94823648820095</v>
      </c>
      <c r="U222" s="4">
        <f t="shared" si="34"/>
        <v>98.308158028182007</v>
      </c>
      <c r="V222" s="4">
        <f t="shared" si="35"/>
        <v>95.519256706129184</v>
      </c>
      <c r="W222" s="4">
        <f t="shared" si="36"/>
        <v>81.60216998191683</v>
      </c>
      <c r="X222" s="4">
        <f t="shared" si="37"/>
        <v>88.647739394436684</v>
      </c>
      <c r="Y222" s="4">
        <f t="shared" si="38"/>
        <v>98.332981641696577</v>
      </c>
      <c r="Z222" s="4">
        <f t="shared" si="39"/>
        <v>87.325620959510047</v>
      </c>
      <c r="AA222" s="4">
        <f t="shared" si="40"/>
        <v>105.88657573582196</v>
      </c>
      <c r="AB222" s="4">
        <f t="shared" si="41"/>
        <v>97.002997002997006</v>
      </c>
      <c r="AC222" s="4">
        <f t="shared" si="42"/>
        <v>82.393685567010323</v>
      </c>
      <c r="AD222" s="4">
        <f t="shared" si="43"/>
        <v>88.301634968301641</v>
      </c>
      <c r="AE222" s="4">
        <f t="shared" si="44"/>
        <v>96.30858470004749</v>
      </c>
      <c r="AF222" s="4">
        <f t="shared" si="45"/>
        <v>96.533096131733657</v>
      </c>
      <c r="AG222" s="4">
        <f t="shared" si="46"/>
        <v>93.465320910973077</v>
      </c>
      <c r="AH222" s="4">
        <f t="shared" si="47"/>
        <v>103.74140251885456</v>
      </c>
      <c r="AI222" s="4">
        <f t="shared" si="48"/>
        <v>100.24133391838524</v>
      </c>
      <c r="AJ222" s="4">
        <f t="shared" si="49"/>
        <v>74.337329610773523</v>
      </c>
      <c r="AK222" s="4">
        <f t="shared" si="50"/>
        <v>97.426448006879184</v>
      </c>
      <c r="AL222" s="4">
        <f t="shared" si="51"/>
        <v>102.13907027204061</v>
      </c>
      <c r="AM222" s="4">
        <f t="shared" si="52"/>
        <v>70.173527351957048</v>
      </c>
      <c r="AN222" s="4">
        <f t="shared" si="53"/>
        <v>105.09497286489574</v>
      </c>
      <c r="AO222" s="4">
        <f t="shared" si="54"/>
        <v>100.80200907323396</v>
      </c>
      <c r="AP222" s="4">
        <f t="shared" si="55"/>
        <v>104.46917952609833</v>
      </c>
      <c r="AQ222" s="4">
        <f t="shared" si="56"/>
        <v>93.549901693224172</v>
      </c>
      <c r="AR222" s="4">
        <f t="shared" si="57"/>
        <v>95.700085017330466</v>
      </c>
      <c r="AS222" s="4">
        <f t="shared" si="58"/>
        <v>84.825602301330449</v>
      </c>
      <c r="AT222" s="4">
        <f t="shared" si="59"/>
        <v>98.375961489044599</v>
      </c>
      <c r="AU222" s="4">
        <f t="shared" si="60"/>
        <v>109.18722155818756</v>
      </c>
      <c r="AV222" s="4">
        <f t="shared" si="61"/>
        <v>82.406866325785245</v>
      </c>
      <c r="AW222" s="4">
        <f t="shared" si="62"/>
        <v>91.489717638342853</v>
      </c>
      <c r="AX222" s="4">
        <f t="shared" si="63"/>
        <v>106.68970497214774</v>
      </c>
    </row>
    <row r="223" spans="1:50" ht="14.25" customHeight="1" x14ac:dyDescent="0.3">
      <c r="A223" s="2">
        <v>45715</v>
      </c>
      <c r="B223" s="4">
        <f t="shared" si="15"/>
        <v>98.841351074718503</v>
      </c>
      <c r="C223" s="4">
        <f t="shared" si="16"/>
        <v>95.39702483789182</v>
      </c>
      <c r="D223" s="4">
        <f t="shared" si="17"/>
        <v>103.42796264962087</v>
      </c>
      <c r="E223" s="4">
        <f t="shared" si="18"/>
        <v>87.844229109168509</v>
      </c>
      <c r="F223" s="4">
        <f t="shared" si="19"/>
        <v>95.232345265453972</v>
      </c>
      <c r="G223" s="4">
        <f t="shared" si="20"/>
        <v>88.741805345436205</v>
      </c>
      <c r="H223" s="4">
        <f t="shared" si="21"/>
        <v>93.721115537848604</v>
      </c>
      <c r="I223" s="4">
        <f t="shared" si="22"/>
        <v>96.677576331768662</v>
      </c>
      <c r="J223" s="4">
        <f t="shared" si="23"/>
        <v>125.52304875059477</v>
      </c>
      <c r="K223" s="4">
        <f t="shared" si="24"/>
        <v>87.720064654230924</v>
      </c>
      <c r="L223" s="4">
        <f t="shared" si="25"/>
        <v>87.511929107021132</v>
      </c>
      <c r="M223" s="4">
        <f t="shared" si="26"/>
        <v>110.45921326160079</v>
      </c>
      <c r="N223" s="4">
        <f t="shared" si="27"/>
        <v>88.466904607397794</v>
      </c>
      <c r="O223" s="4">
        <f t="shared" si="28"/>
        <v>108.89901588011629</v>
      </c>
      <c r="P223" s="4">
        <f t="shared" si="29"/>
        <v>85.211433353382674</v>
      </c>
      <c r="Q223" s="4">
        <f t="shared" si="30"/>
        <v>87.171618296780323</v>
      </c>
      <c r="R223" s="4">
        <f t="shared" si="31"/>
        <v>91.269765003931141</v>
      </c>
      <c r="S223" s="4">
        <f t="shared" si="32"/>
        <v>94.859115506624377</v>
      </c>
      <c r="T223" s="4">
        <f t="shared" si="33"/>
        <v>122.14856635371731</v>
      </c>
      <c r="U223" s="4">
        <f t="shared" si="34"/>
        <v>99.054965656068958</v>
      </c>
      <c r="V223" s="4">
        <f t="shared" si="35"/>
        <v>94.620110894650082</v>
      </c>
      <c r="W223" s="4">
        <f t="shared" si="36"/>
        <v>82.835443037974684</v>
      </c>
      <c r="X223" s="4">
        <f t="shared" si="37"/>
        <v>88.532862886682537</v>
      </c>
      <c r="Y223" s="4">
        <f t="shared" si="38"/>
        <v>97.488921713441641</v>
      </c>
      <c r="Z223" s="4">
        <f t="shared" si="39"/>
        <v>85.896563456958148</v>
      </c>
      <c r="AA223" s="4">
        <f t="shared" si="40"/>
        <v>107.68126346015794</v>
      </c>
      <c r="AB223" s="4">
        <f t="shared" si="41"/>
        <v>98.06859806859805</v>
      </c>
      <c r="AC223" s="4">
        <f t="shared" si="42"/>
        <v>82.554768041237111</v>
      </c>
      <c r="AD223" s="4">
        <f t="shared" si="43"/>
        <v>86.559893226559893</v>
      </c>
      <c r="AE223" s="4">
        <f t="shared" si="44"/>
        <v>94.18572057822449</v>
      </c>
      <c r="AF223" s="4">
        <f t="shared" si="45"/>
        <v>96.051461176317446</v>
      </c>
      <c r="AG223" s="4">
        <f t="shared" si="46"/>
        <v>94.164078674948243</v>
      </c>
      <c r="AH223" s="4">
        <f t="shared" si="47"/>
        <v>105.02295734911769</v>
      </c>
      <c r="AI223" s="4">
        <f t="shared" si="48"/>
        <v>101.42606406318559</v>
      </c>
      <c r="AJ223" s="4">
        <f t="shared" si="49"/>
        <v>72.81983905403186</v>
      </c>
      <c r="AK223" s="4">
        <f t="shared" si="50"/>
        <v>95.815162868783645</v>
      </c>
      <c r="AL223" s="4">
        <f t="shared" si="51"/>
        <v>101.02757251345874</v>
      </c>
      <c r="AM223" s="4">
        <f t="shared" si="52"/>
        <v>67.98621967869498</v>
      </c>
      <c r="AN223" s="4">
        <f t="shared" si="53"/>
        <v>104.95215652670664</v>
      </c>
      <c r="AO223" s="4">
        <f t="shared" si="54"/>
        <v>100.19442644199611</v>
      </c>
      <c r="AP223" s="4">
        <f t="shared" si="55"/>
        <v>106.57728307614471</v>
      </c>
      <c r="AQ223" s="4">
        <f t="shared" si="56"/>
        <v>93.215365202335889</v>
      </c>
      <c r="AR223" s="4">
        <f t="shared" si="57"/>
        <v>94.248250604931016</v>
      </c>
      <c r="AS223" s="4">
        <f t="shared" si="58"/>
        <v>83.928002008236462</v>
      </c>
      <c r="AT223" s="4">
        <f t="shared" si="59"/>
        <v>103.95216966748325</v>
      </c>
      <c r="AU223" s="4">
        <f t="shared" si="60"/>
        <v>109.52950124959253</v>
      </c>
      <c r="AV223" s="4">
        <f t="shared" si="61"/>
        <v>82.216946676406138</v>
      </c>
      <c r="AW223" s="4">
        <f t="shared" si="62"/>
        <v>89.847885573625533</v>
      </c>
      <c r="AX223" s="4">
        <f t="shared" si="63"/>
        <v>107.97400453889006</v>
      </c>
    </row>
    <row r="224" spans="1:50" ht="14.25" customHeight="1" x14ac:dyDescent="0.3">
      <c r="A224" s="2">
        <v>45716</v>
      </c>
      <c r="B224" s="4">
        <f t="shared" si="15"/>
        <v>98.268167860798343</v>
      </c>
      <c r="C224" s="4">
        <f t="shared" si="16"/>
        <v>97.175166595615792</v>
      </c>
      <c r="D224" s="4">
        <f t="shared" si="17"/>
        <v>98.401955254747136</v>
      </c>
      <c r="E224" s="4">
        <f t="shared" si="18"/>
        <v>84.70011793456456</v>
      </c>
      <c r="F224" s="4">
        <f t="shared" si="19"/>
        <v>93.802827873641561</v>
      </c>
      <c r="G224" s="4">
        <f t="shared" si="20"/>
        <v>86.838124054462924</v>
      </c>
      <c r="H224" s="4">
        <f t="shared" si="21"/>
        <v>89.652058432934922</v>
      </c>
      <c r="I224" s="4">
        <f t="shared" si="22"/>
        <v>94.321949959088755</v>
      </c>
      <c r="J224" s="4">
        <f t="shared" si="23"/>
        <v>122.99828414055627</v>
      </c>
      <c r="K224" s="4">
        <f t="shared" si="24"/>
        <v>86.278450045869562</v>
      </c>
      <c r="L224" s="4">
        <f t="shared" si="25"/>
        <v>86.267211997273336</v>
      </c>
      <c r="M224" s="4">
        <f t="shared" si="26"/>
        <v>106.58039131714891</v>
      </c>
      <c r="N224" s="4">
        <f t="shared" si="27"/>
        <v>83.877352368591815</v>
      </c>
      <c r="O224" s="4">
        <f t="shared" si="28"/>
        <v>106.40516662938938</v>
      </c>
      <c r="P224" s="4">
        <f t="shared" si="29"/>
        <v>82.379246319202906</v>
      </c>
      <c r="Q224" s="4">
        <f t="shared" si="30"/>
        <v>84.301171988676941</v>
      </c>
      <c r="R224" s="4">
        <f t="shared" si="31"/>
        <v>88.481261465886249</v>
      </c>
      <c r="S224" s="4">
        <f t="shared" si="32"/>
        <v>94.751819369285315</v>
      </c>
      <c r="T224" s="4">
        <f t="shared" si="33"/>
        <v>118.77061659477289</v>
      </c>
      <c r="U224" s="4">
        <f t="shared" si="34"/>
        <v>94.572583247537537</v>
      </c>
      <c r="V224" s="4">
        <f t="shared" si="35"/>
        <v>93.346320995054697</v>
      </c>
      <c r="W224" s="4">
        <f t="shared" si="36"/>
        <v>80.325497287522609</v>
      </c>
      <c r="X224" s="4">
        <f t="shared" si="37"/>
        <v>87.749240994502358</v>
      </c>
      <c r="Y224" s="4">
        <f t="shared" si="38"/>
        <v>95.062249419708806</v>
      </c>
      <c r="Z224" s="4">
        <f t="shared" si="39"/>
        <v>83.78700238176252</v>
      </c>
      <c r="AA224" s="4">
        <f t="shared" si="40"/>
        <v>104.99751504776631</v>
      </c>
      <c r="AB224" s="4">
        <f t="shared" si="41"/>
        <v>92.457542457542445</v>
      </c>
      <c r="AC224" s="4">
        <f t="shared" si="42"/>
        <v>80.81507731958763</v>
      </c>
      <c r="AD224" s="4">
        <f t="shared" si="43"/>
        <v>82.836169502836171</v>
      </c>
      <c r="AE224" s="4">
        <f t="shared" si="44"/>
        <v>90.416506970385157</v>
      </c>
      <c r="AF224" s="4">
        <f t="shared" si="45"/>
        <v>94.580521988154374</v>
      </c>
      <c r="AG224" s="4">
        <f t="shared" si="46"/>
        <v>95.587474120082831</v>
      </c>
      <c r="AH224" s="4">
        <f t="shared" si="47"/>
        <v>100.94042153012117</v>
      </c>
      <c r="AI224" s="4">
        <f t="shared" si="48"/>
        <v>100.33640485593094</v>
      </c>
      <c r="AJ224" s="4">
        <f t="shared" si="49"/>
        <v>68.191821317129254</v>
      </c>
      <c r="AK224" s="4">
        <f t="shared" si="50"/>
        <v>94.451610261449943</v>
      </c>
      <c r="AL224" s="4">
        <f t="shared" si="51"/>
        <v>97.713548809694387</v>
      </c>
      <c r="AM224" s="4">
        <f t="shared" si="52"/>
        <v>68.640572718076413</v>
      </c>
      <c r="AN224" s="4">
        <f t="shared" si="53"/>
        <v>102.14938588974579</v>
      </c>
      <c r="AO224" s="4">
        <f t="shared" si="54"/>
        <v>98.590408295528192</v>
      </c>
      <c r="AP224" s="4">
        <f t="shared" si="55"/>
        <v>106.9820389577536</v>
      </c>
      <c r="AQ224" s="4">
        <f t="shared" si="56"/>
        <v>87.322827713707198</v>
      </c>
      <c r="AR224" s="4">
        <f t="shared" si="57"/>
        <v>92.047609705055251</v>
      </c>
      <c r="AS224" s="4">
        <f t="shared" si="58"/>
        <v>82.128730672419991</v>
      </c>
      <c r="AT224" s="4">
        <f t="shared" si="59"/>
        <v>105.75094649923767</v>
      </c>
      <c r="AU224" s="4">
        <f t="shared" si="60"/>
        <v>104.71585352602413</v>
      </c>
      <c r="AV224" s="4">
        <f t="shared" si="61"/>
        <v>81.555880204528847</v>
      </c>
      <c r="AW224" s="4">
        <f t="shared" si="62"/>
        <v>87.973042408020348</v>
      </c>
      <c r="AX224" s="4">
        <f t="shared" si="63"/>
        <v>102.13534144831856</v>
      </c>
    </row>
    <row r="225" spans="1:50" ht="14.25" customHeight="1" x14ac:dyDescent="0.3">
      <c r="A225" s="2">
        <v>45719</v>
      </c>
      <c r="B225" s="4">
        <f t="shared" si="15"/>
        <v>95.905834186284537</v>
      </c>
      <c r="C225" s="4">
        <f t="shared" si="16"/>
        <v>95.445264645830065</v>
      </c>
      <c r="D225" s="4">
        <f t="shared" si="17"/>
        <v>100.00626684213825</v>
      </c>
      <c r="E225" s="4">
        <f t="shared" si="18"/>
        <v>84.938418704178787</v>
      </c>
      <c r="F225" s="4">
        <f t="shared" si="19"/>
        <v>93.96642386943482</v>
      </c>
      <c r="G225" s="4">
        <f t="shared" si="20"/>
        <v>87.657589510842143</v>
      </c>
      <c r="H225" s="4">
        <f t="shared" si="21"/>
        <v>90.762284196547142</v>
      </c>
      <c r="I225" s="4">
        <f t="shared" si="22"/>
        <v>93.744886094483448</v>
      </c>
      <c r="J225" s="4">
        <f t="shared" si="23"/>
        <v>124.40413536544921</v>
      </c>
      <c r="K225" s="4">
        <f t="shared" si="24"/>
        <v>86.813594862609762</v>
      </c>
      <c r="L225" s="4">
        <f t="shared" si="25"/>
        <v>87.179277436946151</v>
      </c>
      <c r="M225" s="4">
        <f t="shared" si="26"/>
        <v>105.06142769197828</v>
      </c>
      <c r="N225" s="4">
        <f t="shared" si="27"/>
        <v>84.746917585983113</v>
      </c>
      <c r="O225" s="4">
        <f t="shared" si="28"/>
        <v>107.05658689331243</v>
      </c>
      <c r="P225" s="4">
        <f t="shared" si="29"/>
        <v>82.240644368315074</v>
      </c>
      <c r="Q225" s="4">
        <f t="shared" si="30"/>
        <v>83.869943649302883</v>
      </c>
      <c r="R225" s="4">
        <f t="shared" si="31"/>
        <v>90.336332663579967</v>
      </c>
      <c r="S225" s="4">
        <f t="shared" si="32"/>
        <v>93.977421160664306</v>
      </c>
      <c r="T225" s="4">
        <f t="shared" si="33"/>
        <v>116.62966252220247</v>
      </c>
      <c r="U225" s="4">
        <f t="shared" si="34"/>
        <v>94.718564162453717</v>
      </c>
      <c r="V225" s="4">
        <f t="shared" si="35"/>
        <v>94.230481043009135</v>
      </c>
      <c r="W225" s="4">
        <f t="shared" si="36"/>
        <v>80.339963833634727</v>
      </c>
      <c r="X225" s="4">
        <f t="shared" si="37"/>
        <v>86.407647493230485</v>
      </c>
      <c r="Y225" s="4">
        <f t="shared" si="38"/>
        <v>95.011605824013515</v>
      </c>
      <c r="Z225" s="4">
        <f t="shared" si="39"/>
        <v>87.577407281388247</v>
      </c>
      <c r="AA225" s="4">
        <f t="shared" si="40"/>
        <v>107.79722789773041</v>
      </c>
      <c r="AB225" s="4">
        <f t="shared" si="41"/>
        <v>94.422244422244418</v>
      </c>
      <c r="AC225" s="4">
        <f t="shared" si="42"/>
        <v>81.346649484536087</v>
      </c>
      <c r="AD225" s="4">
        <f t="shared" si="43"/>
        <v>82.902902902902895</v>
      </c>
      <c r="AE225" s="4">
        <f t="shared" si="44"/>
        <v>88.264468483104608</v>
      </c>
      <c r="AF225" s="4">
        <f t="shared" si="45"/>
        <v>94.001258325559192</v>
      </c>
      <c r="AG225" s="4">
        <f t="shared" si="46"/>
        <v>93.258281573498962</v>
      </c>
      <c r="AH225" s="4">
        <f t="shared" si="47"/>
        <v>100.75233722409693</v>
      </c>
      <c r="AI225" s="4">
        <f t="shared" si="48"/>
        <v>101.33830627468188</v>
      </c>
      <c r="AJ225" s="4">
        <f t="shared" si="49"/>
        <v>65.994416160289035</v>
      </c>
      <c r="AK225" s="4">
        <f t="shared" si="50"/>
        <v>97.350695084249523</v>
      </c>
      <c r="AL225" s="4">
        <f t="shared" si="51"/>
        <v>100.43600188320063</v>
      </c>
      <c r="AM225" s="4">
        <f t="shared" si="52"/>
        <v>69.989601092239013</v>
      </c>
      <c r="AN225" s="4">
        <f t="shared" si="53"/>
        <v>100.5784061696658</v>
      </c>
      <c r="AO225" s="4">
        <f t="shared" si="54"/>
        <v>100.12961762799742</v>
      </c>
      <c r="AP225" s="4">
        <f t="shared" si="55"/>
        <v>107.35306518256176</v>
      </c>
      <c r="AQ225" s="4">
        <f t="shared" si="56"/>
        <v>87.628018898377192</v>
      </c>
      <c r="AR225" s="4">
        <f t="shared" si="57"/>
        <v>92.05087960238049</v>
      </c>
      <c r="AS225" s="4">
        <f t="shared" si="58"/>
        <v>83.729892192980685</v>
      </c>
      <c r="AT225" s="4">
        <f t="shared" si="59"/>
        <v>106.4361948160965</v>
      </c>
      <c r="AU225" s="4">
        <f t="shared" si="60"/>
        <v>103.65098337498641</v>
      </c>
      <c r="AV225" s="4">
        <f t="shared" si="61"/>
        <v>81.782322863403948</v>
      </c>
      <c r="AW225" s="4">
        <f t="shared" si="62"/>
        <v>86.769749184461148</v>
      </c>
      <c r="AX225" s="4">
        <f t="shared" si="63"/>
        <v>101.50608623891068</v>
      </c>
    </row>
    <row r="226" spans="1:50" ht="14.25" customHeight="1" x14ac:dyDescent="0.3">
      <c r="A226" s="2">
        <v>45720</v>
      </c>
      <c r="B226" s="4">
        <f t="shared" si="15"/>
        <v>95.140225179119753</v>
      </c>
      <c r="C226" s="4">
        <f t="shared" si="16"/>
        <v>95.918687877224102</v>
      </c>
      <c r="D226" s="4">
        <f t="shared" si="17"/>
        <v>98.72469762486682</v>
      </c>
      <c r="E226" s="4">
        <f t="shared" si="18"/>
        <v>85.886758501623135</v>
      </c>
      <c r="F226" s="4">
        <f t="shared" si="19"/>
        <v>94.293615861021294</v>
      </c>
      <c r="G226" s="4">
        <f t="shared" si="20"/>
        <v>90.273575390821975</v>
      </c>
      <c r="H226" s="4">
        <f t="shared" si="21"/>
        <v>89.683930942895074</v>
      </c>
      <c r="I226" s="4">
        <f t="shared" si="22"/>
        <v>92.905128978080199</v>
      </c>
      <c r="J226" s="4">
        <f t="shared" si="23"/>
        <v>123.7999798134183</v>
      </c>
      <c r="K226" s="4">
        <f t="shared" si="24"/>
        <v>86.245686077497709</v>
      </c>
      <c r="L226" s="4">
        <f t="shared" si="25"/>
        <v>87.607361963190172</v>
      </c>
      <c r="M226" s="4">
        <f t="shared" si="26"/>
        <v>103.63971342665704</v>
      </c>
      <c r="N226" s="4">
        <f t="shared" si="27"/>
        <v>84.793964957819583</v>
      </c>
      <c r="O226" s="4">
        <f t="shared" si="28"/>
        <v>106.67635875643032</v>
      </c>
      <c r="P226" s="4">
        <f t="shared" si="29"/>
        <v>80.310677580480657</v>
      </c>
      <c r="Q226" s="4">
        <f t="shared" si="30"/>
        <v>82.885790629381717</v>
      </c>
      <c r="R226" s="4">
        <f t="shared" si="31"/>
        <v>90.592294924434356</v>
      </c>
      <c r="S226" s="4">
        <f t="shared" si="32"/>
        <v>93.468930770666176</v>
      </c>
      <c r="T226" s="4">
        <f t="shared" si="33"/>
        <v>113.56889114437961</v>
      </c>
      <c r="U226" s="4">
        <f t="shared" si="34"/>
        <v>93.689014551992258</v>
      </c>
      <c r="V226" s="4">
        <f t="shared" si="35"/>
        <v>94.035666117188669</v>
      </c>
      <c r="W226" s="4">
        <f t="shared" si="36"/>
        <v>82.31826401446655</v>
      </c>
      <c r="X226" s="4">
        <f t="shared" si="37"/>
        <v>86.809715270370063</v>
      </c>
      <c r="Y226" s="4">
        <f t="shared" si="38"/>
        <v>95.699514665541244</v>
      </c>
      <c r="Z226" s="4">
        <f t="shared" si="39"/>
        <v>90.068050357264383</v>
      </c>
      <c r="AA226" s="4">
        <f t="shared" si="40"/>
        <v>107.58186537081009</v>
      </c>
      <c r="AB226" s="4">
        <f t="shared" si="41"/>
        <v>93.240093240093231</v>
      </c>
      <c r="AC226" s="4">
        <f t="shared" si="42"/>
        <v>81.829896907216494</v>
      </c>
      <c r="AD226" s="4">
        <f t="shared" si="43"/>
        <v>82.642642642642642</v>
      </c>
      <c r="AE226" s="4">
        <f t="shared" si="44"/>
        <v>83.899754592102326</v>
      </c>
      <c r="AF226" s="4">
        <f t="shared" si="45"/>
        <v>92.512962922786528</v>
      </c>
      <c r="AG226" s="4">
        <f t="shared" si="46"/>
        <v>94.164078674948243</v>
      </c>
      <c r="AH226" s="4">
        <f t="shared" si="47"/>
        <v>98.951706588482608</v>
      </c>
      <c r="AI226" s="4">
        <f t="shared" si="48"/>
        <v>101.90141875091415</v>
      </c>
      <c r="AJ226" s="4">
        <f t="shared" si="49"/>
        <v>67.78781409098373</v>
      </c>
      <c r="AK226" s="4">
        <f t="shared" si="50"/>
        <v>98.05499252707655</v>
      </c>
      <c r="AL226" s="4">
        <f t="shared" si="51"/>
        <v>98.563036046916267</v>
      </c>
      <c r="AM226" s="4">
        <f t="shared" si="52"/>
        <v>70.738039487553152</v>
      </c>
      <c r="AN226" s="4">
        <f t="shared" si="53"/>
        <v>99.478720365609803</v>
      </c>
      <c r="AO226" s="4">
        <f t="shared" si="54"/>
        <v>99.886584575502283</v>
      </c>
      <c r="AP226" s="4">
        <f t="shared" si="55"/>
        <v>108.21317143098068</v>
      </c>
      <c r="AQ226" s="4">
        <f t="shared" si="56"/>
        <v>87.346303958681816</v>
      </c>
      <c r="AR226" s="4">
        <f t="shared" si="57"/>
        <v>91.67484140997972</v>
      </c>
      <c r="AS226" s="4">
        <f t="shared" si="58"/>
        <v>83.968031046250488</v>
      </c>
      <c r="AT226" s="4">
        <f t="shared" si="59"/>
        <v>108.42341493498706</v>
      </c>
      <c r="AU226" s="4">
        <f t="shared" si="60"/>
        <v>103.72161251765728</v>
      </c>
      <c r="AV226" s="4">
        <f t="shared" si="61"/>
        <v>81.822498173849539</v>
      </c>
      <c r="AW226" s="4">
        <f t="shared" si="62"/>
        <v>83.999904405702182</v>
      </c>
      <c r="AX226" s="4">
        <f t="shared" si="63"/>
        <v>101.87744996905303</v>
      </c>
    </row>
    <row r="227" spans="1:50" ht="14.25" customHeight="1" x14ac:dyDescent="0.3">
      <c r="A227" s="2">
        <v>45721</v>
      </c>
      <c r="B227" s="4">
        <f t="shared" si="15"/>
        <v>96.262026612077761</v>
      </c>
      <c r="C227" s="4">
        <f t="shared" si="16"/>
        <v>94.796831878660072</v>
      </c>
      <c r="D227" s="4">
        <f t="shared" si="17"/>
        <v>101.41317290217459</v>
      </c>
      <c r="E227" s="4">
        <f t="shared" si="18"/>
        <v>86.251504577563267</v>
      </c>
      <c r="F227" s="4">
        <f t="shared" si="19"/>
        <v>94.7065009932614</v>
      </c>
      <c r="G227" s="4">
        <f t="shared" si="20"/>
        <v>92.076399394856267</v>
      </c>
      <c r="H227" s="4">
        <f t="shared" si="21"/>
        <v>90.916334661354583</v>
      </c>
      <c r="I227" s="4">
        <f t="shared" si="22"/>
        <v>93.469273502433154</v>
      </c>
      <c r="J227" s="4">
        <f t="shared" si="23"/>
        <v>119.65884676942598</v>
      </c>
      <c r="K227" s="4">
        <f t="shared" si="24"/>
        <v>88.473635926783444</v>
      </c>
      <c r="L227" s="4">
        <f t="shared" si="25"/>
        <v>88.334014996591677</v>
      </c>
      <c r="M227" s="4">
        <f t="shared" si="26"/>
        <v>103.64952758223818</v>
      </c>
      <c r="N227" s="4">
        <f t="shared" si="27"/>
        <v>88.468526930564565</v>
      </c>
      <c r="O227" s="4">
        <f t="shared" si="28"/>
        <v>108.09103108924177</v>
      </c>
      <c r="P227" s="4">
        <f t="shared" si="29"/>
        <v>82.269410810952181</v>
      </c>
      <c r="Q227" s="4">
        <f t="shared" si="30"/>
        <v>83.729728299690464</v>
      </c>
      <c r="R227" s="4">
        <f t="shared" si="31"/>
        <v>91.414344369703855</v>
      </c>
      <c r="S227" s="4">
        <f t="shared" si="32"/>
        <v>94.649188281395809</v>
      </c>
      <c r="T227" s="4">
        <f t="shared" si="33"/>
        <v>114.29840142095915</v>
      </c>
      <c r="U227" s="4">
        <f t="shared" si="34"/>
        <v>94.858398512531323</v>
      </c>
      <c r="V227" s="4">
        <f t="shared" si="35"/>
        <v>97.767121234826917</v>
      </c>
      <c r="W227" s="4">
        <f t="shared" si="36"/>
        <v>82.104882459312847</v>
      </c>
      <c r="X227" s="4">
        <f t="shared" si="37"/>
        <v>91.302207270041862</v>
      </c>
      <c r="Y227" s="4">
        <f t="shared" si="38"/>
        <v>96.619539987339095</v>
      </c>
      <c r="Z227" s="4">
        <f t="shared" si="39"/>
        <v>93.542021095610778</v>
      </c>
      <c r="AA227" s="4">
        <f t="shared" si="40"/>
        <v>110.74051576564139</v>
      </c>
      <c r="AB227" s="4">
        <f t="shared" si="41"/>
        <v>94.93839493839495</v>
      </c>
      <c r="AC227" s="4">
        <f t="shared" si="42"/>
        <v>85.180412371134025</v>
      </c>
      <c r="AD227" s="4">
        <f t="shared" si="43"/>
        <v>85.525525525525509</v>
      </c>
      <c r="AE227" s="4">
        <f t="shared" si="44"/>
        <v>84.895115295948202</v>
      </c>
      <c r="AF227" s="4">
        <f t="shared" si="45"/>
        <v>93.903629618380208</v>
      </c>
      <c r="AG227" s="4">
        <f t="shared" si="46"/>
        <v>95.302795031055894</v>
      </c>
      <c r="AH227" s="4">
        <f t="shared" si="47"/>
        <v>101.2797108664786</v>
      </c>
      <c r="AI227" s="4">
        <f t="shared" si="48"/>
        <v>106.8451075032909</v>
      </c>
      <c r="AJ227" s="4">
        <f t="shared" si="49"/>
        <v>71.308917720479542</v>
      </c>
      <c r="AK227" s="4">
        <f t="shared" si="50"/>
        <v>97.932149949839271</v>
      </c>
      <c r="AL227" s="4">
        <f t="shared" si="51"/>
        <v>102.10836591406873</v>
      </c>
      <c r="AM227" s="4">
        <f t="shared" si="52"/>
        <v>72.241990365093628</v>
      </c>
      <c r="AN227" s="4">
        <f t="shared" si="53"/>
        <v>101.44958583261925</v>
      </c>
      <c r="AO227" s="4">
        <f t="shared" si="54"/>
        <v>100.64808813998705</v>
      </c>
      <c r="AP227" s="4">
        <f t="shared" si="55"/>
        <v>110.86094948983893</v>
      </c>
      <c r="AQ227" s="4">
        <f t="shared" si="56"/>
        <v>90.272030988643365</v>
      </c>
      <c r="AR227" s="4">
        <f t="shared" si="57"/>
        <v>92.848734549735141</v>
      </c>
      <c r="AS227" s="4">
        <f t="shared" si="58"/>
        <v>84.324221638748099</v>
      </c>
      <c r="AT227" s="4">
        <f t="shared" si="59"/>
        <v>108.14931560824354</v>
      </c>
      <c r="AU227" s="4">
        <f t="shared" si="60"/>
        <v>103.966098011518</v>
      </c>
      <c r="AV227" s="4">
        <f t="shared" si="61"/>
        <v>82.279035792549308</v>
      </c>
      <c r="AW227" s="4">
        <f t="shared" si="62"/>
        <v>85.766009057559714</v>
      </c>
      <c r="AX227" s="4">
        <f t="shared" si="63"/>
        <v>100.25273364968024</v>
      </c>
    </row>
    <row r="228" spans="1:50" ht="14.25" customHeight="1" x14ac:dyDescent="0.3">
      <c r="A228" s="2">
        <v>45722</v>
      </c>
      <c r="B228" s="4">
        <f t="shared" si="15"/>
        <v>99.04605936540429</v>
      </c>
      <c r="C228" s="4">
        <f t="shared" si="16"/>
        <v>94.864143238573902</v>
      </c>
      <c r="D228" s="4">
        <f t="shared" si="17"/>
        <v>101.95525474713294</v>
      </c>
      <c r="E228" s="4">
        <f t="shared" si="18"/>
        <v>87.577964473732209</v>
      </c>
      <c r="F228" s="4">
        <f t="shared" si="19"/>
        <v>94.889572702839544</v>
      </c>
      <c r="G228" s="4">
        <f t="shared" si="20"/>
        <v>92.290721129601607</v>
      </c>
      <c r="H228" s="4">
        <f t="shared" si="21"/>
        <v>91.147410358565722</v>
      </c>
      <c r="I228" s="4">
        <f t="shared" si="22"/>
        <v>95.557900176564331</v>
      </c>
      <c r="J228" s="4">
        <f t="shared" si="23"/>
        <v>121.27665710207201</v>
      </c>
      <c r="K228" s="4">
        <f t="shared" si="24"/>
        <v>88.615613123061465</v>
      </c>
      <c r="L228" s="4">
        <f t="shared" si="25"/>
        <v>88.88616223585548</v>
      </c>
      <c r="M228" s="4">
        <f t="shared" si="26"/>
        <v>104.08714970156045</v>
      </c>
      <c r="N228" s="4">
        <f t="shared" si="27"/>
        <v>88.981181051265409</v>
      </c>
      <c r="O228" s="4">
        <f t="shared" si="28"/>
        <v>107.45358980093937</v>
      </c>
      <c r="P228" s="4">
        <f t="shared" si="29"/>
        <v>82.923193598158946</v>
      </c>
      <c r="Q228" s="4">
        <f t="shared" si="30"/>
        <v>85.399084631868547</v>
      </c>
      <c r="R228" s="4">
        <f t="shared" si="31"/>
        <v>91.67030663055823</v>
      </c>
      <c r="S228" s="4">
        <f t="shared" si="32"/>
        <v>96.482552715058773</v>
      </c>
      <c r="T228" s="4">
        <f t="shared" si="33"/>
        <v>117.0673686881502</v>
      </c>
      <c r="U228" s="4">
        <f t="shared" si="34"/>
        <v>95.920217588395289</v>
      </c>
      <c r="V228" s="4">
        <f t="shared" si="35"/>
        <v>101.27378989959537</v>
      </c>
      <c r="W228" s="4">
        <f t="shared" si="36"/>
        <v>81.529837251356255</v>
      </c>
      <c r="X228" s="4">
        <f t="shared" si="37"/>
        <v>93.230491507343899</v>
      </c>
      <c r="Y228" s="4">
        <f t="shared" si="38"/>
        <v>98.164169656045573</v>
      </c>
      <c r="Z228" s="4">
        <f t="shared" si="39"/>
        <v>92.871725076556672</v>
      </c>
      <c r="AA228" s="4">
        <f t="shared" si="40"/>
        <v>111.66823126622121</v>
      </c>
      <c r="AB228" s="4">
        <f t="shared" si="41"/>
        <v>95.20479520479519</v>
      </c>
      <c r="AC228" s="4">
        <f t="shared" si="42"/>
        <v>85.905283505154642</v>
      </c>
      <c r="AD228" s="4">
        <f t="shared" si="43"/>
        <v>85.372038705372034</v>
      </c>
      <c r="AE228" s="4">
        <f t="shared" si="44"/>
        <v>85.375062210043993</v>
      </c>
      <c r="AF228" s="4">
        <f t="shared" si="45"/>
        <v>98.39671967543876</v>
      </c>
      <c r="AG228" s="4">
        <f t="shared" si="46"/>
        <v>99.016563146997939</v>
      </c>
      <c r="AH228" s="4">
        <f t="shared" si="47"/>
        <v>101.47332706385647</v>
      </c>
      <c r="AI228" s="4">
        <f t="shared" si="48"/>
        <v>110.01901418750913</v>
      </c>
      <c r="AJ228" s="4">
        <f t="shared" si="49"/>
        <v>72.241747413368358</v>
      </c>
      <c r="AK228" s="4">
        <f t="shared" si="50"/>
        <v>98.0140450013308</v>
      </c>
      <c r="AL228" s="4">
        <f t="shared" si="51"/>
        <v>104.28018750127931</v>
      </c>
      <c r="AM228" s="4">
        <f t="shared" si="52"/>
        <v>71.724167203118256</v>
      </c>
      <c r="AN228" s="4">
        <f t="shared" si="53"/>
        <v>101.49243073407597</v>
      </c>
      <c r="AO228" s="4">
        <f t="shared" si="54"/>
        <v>100.1701231367466</v>
      </c>
      <c r="AP228" s="4">
        <f t="shared" si="55"/>
        <v>115.00969727633021</v>
      </c>
      <c r="AQ228" s="4">
        <f t="shared" si="56"/>
        <v>88.238401267717236</v>
      </c>
      <c r="AR228" s="4">
        <f t="shared" si="57"/>
        <v>95.595448302923288</v>
      </c>
      <c r="AS228" s="4">
        <f t="shared" si="58"/>
        <v>85.134300814828393</v>
      </c>
      <c r="AT228" s="4">
        <f t="shared" si="59"/>
        <v>110.38493824199544</v>
      </c>
      <c r="AU228" s="4">
        <f t="shared" si="60"/>
        <v>104.1127893078344</v>
      </c>
      <c r="AV228" s="4">
        <f t="shared" si="61"/>
        <v>83.279766252739222</v>
      </c>
      <c r="AW228" s="4">
        <f t="shared" si="62"/>
        <v>87.199923524561754</v>
      </c>
      <c r="AX228" s="4">
        <f t="shared" si="63"/>
        <v>100.23726016092431</v>
      </c>
    </row>
    <row r="229" spans="1:50" ht="14.25" customHeight="1" x14ac:dyDescent="0.3">
      <c r="A229" s="2">
        <v>45723</v>
      </c>
      <c r="B229" s="4">
        <f t="shared" si="15"/>
        <v>102.33776867963151</v>
      </c>
      <c r="C229" s="4">
        <f t="shared" si="16"/>
        <v>94.754201350714624</v>
      </c>
      <c r="D229" s="4">
        <f t="shared" si="17"/>
        <v>102.1933947483863</v>
      </c>
      <c r="E229" s="4">
        <f t="shared" si="18"/>
        <v>87.811401962333889</v>
      </c>
      <c r="F229" s="4">
        <f t="shared" si="19"/>
        <v>94.616912709850794</v>
      </c>
      <c r="G229" s="4">
        <f t="shared" si="20"/>
        <v>92.378971255673207</v>
      </c>
      <c r="H229" s="4">
        <f t="shared" si="21"/>
        <v>89.561752988047814</v>
      </c>
      <c r="I229" s="4">
        <f t="shared" si="22"/>
        <v>94.937771844451163</v>
      </c>
      <c r="J229" s="4">
        <f t="shared" si="23"/>
        <v>121.18437558577133</v>
      </c>
      <c r="K229" s="4">
        <f t="shared" si="24"/>
        <v>88.222445502599257</v>
      </c>
      <c r="L229" s="4">
        <f t="shared" si="25"/>
        <v>88.471710974778446</v>
      </c>
      <c r="M229" s="4">
        <f t="shared" si="26"/>
        <v>104.06707529241723</v>
      </c>
      <c r="N229" s="4">
        <f t="shared" si="27"/>
        <v>88.509085009733937</v>
      </c>
      <c r="O229" s="4">
        <f t="shared" si="28"/>
        <v>108.2196376649519</v>
      </c>
      <c r="P229" s="4">
        <f t="shared" si="29"/>
        <v>81.484871466304043</v>
      </c>
      <c r="Q229" s="4">
        <f t="shared" si="30"/>
        <v>85.150400804254076</v>
      </c>
      <c r="R229" s="4">
        <f t="shared" si="31"/>
        <v>92.446929326461074</v>
      </c>
      <c r="S229" s="4">
        <f t="shared" si="32"/>
        <v>96.813771225975017</v>
      </c>
      <c r="T229" s="4">
        <f t="shared" si="33"/>
        <v>117.05785333671656</v>
      </c>
      <c r="U229" s="4">
        <f t="shared" si="34"/>
        <v>94.63712217834258</v>
      </c>
      <c r="V229" s="4">
        <f t="shared" si="35"/>
        <v>98.771167390978576</v>
      </c>
      <c r="W229" s="4">
        <f t="shared" si="36"/>
        <v>78.419529837251361</v>
      </c>
      <c r="X229" s="4">
        <f t="shared" si="37"/>
        <v>93.911545089029289</v>
      </c>
      <c r="Y229" s="4">
        <f t="shared" si="38"/>
        <v>98.286558345642533</v>
      </c>
      <c r="Z229" s="4">
        <f t="shared" si="39"/>
        <v>94.246342293297062</v>
      </c>
      <c r="AA229" s="4">
        <f t="shared" si="40"/>
        <v>111.67375338229608</v>
      </c>
      <c r="AB229" s="4">
        <f t="shared" si="41"/>
        <v>94.838494838494853</v>
      </c>
      <c r="AC229" s="4">
        <f t="shared" si="42"/>
        <v>84.826030927835049</v>
      </c>
      <c r="AD229" s="4">
        <f t="shared" si="43"/>
        <v>86.526526526526524</v>
      </c>
      <c r="AE229" s="4">
        <f t="shared" si="44"/>
        <v>86.662166568465381</v>
      </c>
      <c r="AF229" s="4">
        <f t="shared" si="45"/>
        <v>98.496517909443938</v>
      </c>
      <c r="AG229" s="4">
        <f t="shared" si="46"/>
        <v>98.511904761904759</v>
      </c>
      <c r="AH229" s="4">
        <f t="shared" si="47"/>
        <v>103.19005734727374</v>
      </c>
      <c r="AI229" s="4">
        <f t="shared" si="48"/>
        <v>110.83808688021062</v>
      </c>
      <c r="AJ229" s="4">
        <f t="shared" si="49"/>
        <v>72.855969781573322</v>
      </c>
      <c r="AK229" s="4">
        <f t="shared" si="50"/>
        <v>98.570931351473078</v>
      </c>
      <c r="AL229" s="4">
        <f t="shared" si="51"/>
        <v>104.40914580476121</v>
      </c>
      <c r="AM229" s="4">
        <f t="shared" si="52"/>
        <v>70.738746896244379</v>
      </c>
      <c r="AN229" s="4">
        <f t="shared" si="53"/>
        <v>100.79977149385888</v>
      </c>
      <c r="AO229" s="4">
        <f t="shared" si="54"/>
        <v>101.29617627997408</v>
      </c>
      <c r="AP229" s="4">
        <f t="shared" si="55"/>
        <v>116.59499114596508</v>
      </c>
      <c r="AQ229" s="4">
        <f t="shared" si="56"/>
        <v>87.58693546967163</v>
      </c>
      <c r="AR229" s="4">
        <f t="shared" si="57"/>
        <v>95.379635079458509</v>
      </c>
      <c r="AS229" s="4">
        <f t="shared" si="58"/>
        <v>84.347289219976517</v>
      </c>
      <c r="AT229" s="4">
        <f t="shared" si="59"/>
        <v>108.07222517259693</v>
      </c>
      <c r="AU229" s="4">
        <f t="shared" si="60"/>
        <v>104.53656416385961</v>
      </c>
      <c r="AV229" s="4">
        <f t="shared" si="61"/>
        <v>82.779401022644265</v>
      </c>
      <c r="AW229" s="4">
        <f t="shared" si="62"/>
        <v>87.289543178749369</v>
      </c>
      <c r="AX229" s="4">
        <f t="shared" si="63"/>
        <v>96.631937280792243</v>
      </c>
    </row>
    <row r="230" spans="1:50" ht="14.25" customHeight="1" x14ac:dyDescent="0.3">
      <c r="A230" s="2">
        <v>45726</v>
      </c>
      <c r="B230" s="4">
        <f t="shared" si="15"/>
        <v>101.4042988741044</v>
      </c>
      <c r="C230" s="4">
        <f t="shared" si="16"/>
        <v>94.656599878839558</v>
      </c>
      <c r="D230" s="4">
        <f t="shared" si="17"/>
        <v>102.20906185373191</v>
      </c>
      <c r="E230" s="4">
        <f t="shared" si="18"/>
        <v>87.287383433233217</v>
      </c>
      <c r="F230" s="4">
        <f t="shared" si="19"/>
        <v>94.640283566392696</v>
      </c>
      <c r="G230" s="4">
        <f t="shared" si="20"/>
        <v>91.893595562279373</v>
      </c>
      <c r="H230" s="4">
        <f t="shared" si="21"/>
        <v>90.382470119521912</v>
      </c>
      <c r="I230" s="4">
        <f t="shared" si="22"/>
        <v>96.798156840790668</v>
      </c>
      <c r="J230" s="4">
        <f t="shared" si="23"/>
        <v>120.29184029530084</v>
      </c>
      <c r="K230" s="4">
        <f t="shared" si="24"/>
        <v>88.462714603992836</v>
      </c>
      <c r="L230" s="4">
        <f t="shared" si="25"/>
        <v>86.644853442399452</v>
      </c>
      <c r="M230" s="4">
        <f t="shared" si="26"/>
        <v>103.37027024615686</v>
      </c>
      <c r="N230" s="4">
        <f t="shared" si="27"/>
        <v>87.689811810512651</v>
      </c>
      <c r="O230" s="4">
        <f t="shared" si="28"/>
        <v>107.4563855960635</v>
      </c>
      <c r="P230" s="4">
        <f t="shared" si="29"/>
        <v>81.032453777556938</v>
      </c>
      <c r="Q230" s="4">
        <f t="shared" si="30"/>
        <v>85.266806000158724</v>
      </c>
      <c r="R230" s="4">
        <f t="shared" si="31"/>
        <v>91.902681925395299</v>
      </c>
      <c r="S230" s="4">
        <f t="shared" si="32"/>
        <v>96.645829445792117</v>
      </c>
      <c r="T230" s="4">
        <f t="shared" si="33"/>
        <v>116.74384673940624</v>
      </c>
      <c r="U230" s="4">
        <f t="shared" si="34"/>
        <v>93.02211226700679</v>
      </c>
      <c r="V230" s="4">
        <f t="shared" si="35"/>
        <v>98.726210100404614</v>
      </c>
      <c r="W230" s="4">
        <f t="shared" si="36"/>
        <v>76.412296564195302</v>
      </c>
      <c r="X230" s="4">
        <f t="shared" si="37"/>
        <v>93.780257651595988</v>
      </c>
      <c r="Y230" s="4">
        <f t="shared" si="38"/>
        <v>94.19286769360626</v>
      </c>
      <c r="Z230" s="4">
        <f t="shared" si="39"/>
        <v>92.660768969037093</v>
      </c>
      <c r="AA230" s="4">
        <f t="shared" si="40"/>
        <v>111.93329283781543</v>
      </c>
      <c r="AB230" s="4">
        <f t="shared" si="41"/>
        <v>93.539793539793536</v>
      </c>
      <c r="AC230" s="4">
        <f t="shared" si="42"/>
        <v>87.403350515463941</v>
      </c>
      <c r="AD230" s="4">
        <f t="shared" si="43"/>
        <v>86.506506506506497</v>
      </c>
      <c r="AE230" s="4">
        <f t="shared" si="44"/>
        <v>84.472945066385989</v>
      </c>
      <c r="AF230" s="4">
        <f t="shared" si="45"/>
        <v>98.869676523550211</v>
      </c>
      <c r="AG230" s="4">
        <f t="shared" si="46"/>
        <v>97.088509316770171</v>
      </c>
      <c r="AH230" s="4">
        <f t="shared" si="47"/>
        <v>103.64920432962698</v>
      </c>
      <c r="AI230" s="4">
        <f t="shared" si="48"/>
        <v>110.46511627906976</v>
      </c>
      <c r="AJ230" s="4">
        <f t="shared" si="49"/>
        <v>71.111841024798821</v>
      </c>
      <c r="AK230" s="4">
        <f t="shared" si="50"/>
        <v>97.616854001596948</v>
      </c>
      <c r="AL230" s="4">
        <f t="shared" si="51"/>
        <v>102.15442245102655</v>
      </c>
      <c r="AM230" s="4">
        <f t="shared" si="52"/>
        <v>67.906989905277982</v>
      </c>
      <c r="AN230" s="4">
        <f t="shared" si="53"/>
        <v>101.36032562125106</v>
      </c>
      <c r="AO230" s="4">
        <f t="shared" si="54"/>
        <v>101.40959170447181</v>
      </c>
      <c r="AP230" s="4">
        <f t="shared" si="55"/>
        <v>116.22396492115692</v>
      </c>
      <c r="AQ230" s="4">
        <f t="shared" si="56"/>
        <v>87.264137101270649</v>
      </c>
      <c r="AR230" s="4">
        <f t="shared" si="57"/>
        <v>95.660846249427777</v>
      </c>
      <c r="AS230" s="4">
        <f t="shared" si="58"/>
        <v>83.444939718982596</v>
      </c>
      <c r="AT230" s="4">
        <f t="shared" si="59"/>
        <v>107.17283675671972</v>
      </c>
      <c r="AU230" s="4">
        <f t="shared" si="60"/>
        <v>104.02042812126481</v>
      </c>
      <c r="AV230" s="4">
        <f t="shared" si="61"/>
        <v>81.826150474799135</v>
      </c>
      <c r="AW230" s="4">
        <f t="shared" si="62"/>
        <v>85.625007468304503</v>
      </c>
      <c r="AX230" s="4">
        <f t="shared" si="63"/>
        <v>92.892510831442138</v>
      </c>
    </row>
    <row r="231" spans="1:50" ht="14.25" customHeight="1" x14ac:dyDescent="0.3">
      <c r="A231" s="2">
        <v>45727</v>
      </c>
      <c r="B231" s="4">
        <f t="shared" si="15"/>
        <v>102.13306038894574</v>
      </c>
      <c r="C231" s="4">
        <f t="shared" si="16"/>
        <v>94.54441427898314</v>
      </c>
      <c r="D231" s="4">
        <f t="shared" si="17"/>
        <v>104.2144513379708</v>
      </c>
      <c r="E231" s="4">
        <f t="shared" si="18"/>
        <v>86.938443020583833</v>
      </c>
      <c r="F231" s="4">
        <f t="shared" si="19"/>
        <v>97.020215790908736</v>
      </c>
      <c r="G231" s="4">
        <f t="shared" si="20"/>
        <v>92.013363590519404</v>
      </c>
      <c r="H231" s="4">
        <f t="shared" si="21"/>
        <v>88.265604249667973</v>
      </c>
      <c r="I231" s="4">
        <f t="shared" si="22"/>
        <v>95.471771241548595</v>
      </c>
      <c r="J231" s="4">
        <f t="shared" si="23"/>
        <v>120.2601185240725</v>
      </c>
      <c r="K231" s="4">
        <f t="shared" si="24"/>
        <v>88.724826350967618</v>
      </c>
      <c r="L231" s="4">
        <f t="shared" si="25"/>
        <v>87.128834355828218</v>
      </c>
      <c r="M231" s="4">
        <f t="shared" si="26"/>
        <v>103.91361758696682</v>
      </c>
      <c r="N231" s="4">
        <f t="shared" si="27"/>
        <v>85.840363400389336</v>
      </c>
      <c r="O231" s="4">
        <f t="shared" si="28"/>
        <v>108.20845448445537</v>
      </c>
      <c r="P231" s="4">
        <f t="shared" si="29"/>
        <v>82.002667433771805</v>
      </c>
      <c r="Q231" s="4">
        <f t="shared" si="30"/>
        <v>87.584327627715012</v>
      </c>
      <c r="R231" s="4">
        <f t="shared" si="31"/>
        <v>91.196383331877357</v>
      </c>
      <c r="S231" s="4">
        <f t="shared" si="32"/>
        <v>95.694159358089209</v>
      </c>
      <c r="T231" s="4">
        <f t="shared" si="33"/>
        <v>114.52676985536665</v>
      </c>
      <c r="U231" s="4">
        <f t="shared" si="34"/>
        <v>93.624475621187202</v>
      </c>
      <c r="V231" s="4">
        <f t="shared" si="35"/>
        <v>98.995953843848355</v>
      </c>
      <c r="W231" s="4">
        <f t="shared" si="36"/>
        <v>75.251356238698023</v>
      </c>
      <c r="X231" s="4">
        <f t="shared" si="37"/>
        <v>93.132025929268892</v>
      </c>
      <c r="Y231" s="4">
        <f t="shared" si="38"/>
        <v>95.682633466976171</v>
      </c>
      <c r="Z231" s="4">
        <f t="shared" si="39"/>
        <v>94.310990132698208</v>
      </c>
      <c r="AA231" s="4">
        <f t="shared" si="40"/>
        <v>112.50207079352808</v>
      </c>
      <c r="AB231" s="4">
        <f t="shared" si="41"/>
        <v>92.490842490842468</v>
      </c>
      <c r="AC231" s="4">
        <f t="shared" si="42"/>
        <v>86.114690721649495</v>
      </c>
      <c r="AD231" s="4">
        <f t="shared" si="43"/>
        <v>86.493159826493155</v>
      </c>
      <c r="AE231" s="4">
        <f t="shared" si="44"/>
        <v>85.806385181710539</v>
      </c>
      <c r="AF231" s="4">
        <f t="shared" si="45"/>
        <v>99.251513244961259</v>
      </c>
      <c r="AG231" s="4">
        <f t="shared" si="46"/>
        <v>98.097826086956516</v>
      </c>
      <c r="AH231" s="4">
        <f t="shared" si="47"/>
        <v>103.78750161346835</v>
      </c>
      <c r="AI231" s="4">
        <f t="shared" si="48"/>
        <v>110.24572180781045</v>
      </c>
      <c r="AJ231" s="4">
        <f t="shared" si="49"/>
        <v>71.460009853834777</v>
      </c>
      <c r="AK231" s="4">
        <f t="shared" si="50"/>
        <v>98.828900763671356</v>
      </c>
      <c r="AL231" s="4">
        <f t="shared" si="51"/>
        <v>102.05207459112029</v>
      </c>
      <c r="AM231" s="4">
        <f t="shared" si="52"/>
        <v>70.676494931416727</v>
      </c>
      <c r="AN231" s="4">
        <f t="shared" si="53"/>
        <v>101.20322764924306</v>
      </c>
      <c r="AO231" s="4">
        <f t="shared" si="54"/>
        <v>103.19993519118601</v>
      </c>
      <c r="AP231" s="4">
        <f t="shared" si="55"/>
        <v>117.29488152458048</v>
      </c>
      <c r="AQ231" s="4">
        <f t="shared" si="56"/>
        <v>86.815153916131109</v>
      </c>
      <c r="AR231" s="4">
        <f t="shared" si="57"/>
        <v>94.549081158851607</v>
      </c>
      <c r="AS231" s="4">
        <f t="shared" si="58"/>
        <v>83.244116070641056</v>
      </c>
      <c r="AT231" s="4">
        <f t="shared" si="59"/>
        <v>109.33993455878574</v>
      </c>
      <c r="AU231" s="4">
        <f t="shared" si="60"/>
        <v>104.29751168097361</v>
      </c>
      <c r="AV231" s="4">
        <f t="shared" si="61"/>
        <v>81.566837107377651</v>
      </c>
      <c r="AW231" s="4">
        <f t="shared" si="62"/>
        <v>87.245330816016804</v>
      </c>
      <c r="AX231" s="4">
        <f t="shared" si="63"/>
        <v>67.665566329688488</v>
      </c>
    </row>
    <row r="232" spans="1:50" ht="14.25" customHeight="1" x14ac:dyDescent="0.3">
      <c r="A232" s="2">
        <v>45728</v>
      </c>
      <c r="B232" s="4">
        <f t="shared" si="15"/>
        <v>102.93142272262025</v>
      </c>
      <c r="C232" s="4">
        <f t="shared" si="16"/>
        <v>95.983755525140808</v>
      </c>
      <c r="D232" s="4">
        <f t="shared" si="17"/>
        <v>102.95481606818322</v>
      </c>
      <c r="E232" s="4">
        <f t="shared" si="18"/>
        <v>85.258179430752961</v>
      </c>
      <c r="F232" s="4">
        <f t="shared" si="19"/>
        <v>96.907256650956271</v>
      </c>
      <c r="G232" s="4">
        <f t="shared" si="20"/>
        <v>91.156076651538058</v>
      </c>
      <c r="H232" s="4">
        <f t="shared" si="21"/>
        <v>84.507304116865853</v>
      </c>
      <c r="I232" s="4">
        <f t="shared" si="22"/>
        <v>94.436070797984598</v>
      </c>
      <c r="J232" s="4">
        <f t="shared" si="23"/>
        <v>122.33789453952966</v>
      </c>
      <c r="K232" s="4">
        <f t="shared" si="24"/>
        <v>90.079070377004044</v>
      </c>
      <c r="L232" s="4">
        <f t="shared" si="25"/>
        <v>87.079754601226995</v>
      </c>
      <c r="M232" s="4">
        <f t="shared" si="26"/>
        <v>103.85250216357522</v>
      </c>
      <c r="N232" s="4">
        <f t="shared" si="27"/>
        <v>86.090201168072696</v>
      </c>
      <c r="O232" s="4">
        <f t="shared" si="28"/>
        <v>110.8560724670096</v>
      </c>
      <c r="P232" s="4">
        <f t="shared" si="29"/>
        <v>80.577420957661019</v>
      </c>
      <c r="Q232" s="4">
        <f t="shared" si="30"/>
        <v>88.724569433053773</v>
      </c>
      <c r="R232" s="4">
        <f t="shared" si="31"/>
        <v>91.905302699397211</v>
      </c>
      <c r="S232" s="4">
        <f t="shared" si="32"/>
        <v>94.345960067176719</v>
      </c>
      <c r="T232" s="4">
        <f t="shared" si="33"/>
        <v>115.41804110631817</v>
      </c>
      <c r="U232" s="4">
        <f t="shared" si="34"/>
        <v>92.780859597092686</v>
      </c>
      <c r="V232" s="4">
        <f t="shared" si="35"/>
        <v>98.950996553274379</v>
      </c>
      <c r="W232" s="4">
        <f t="shared" si="36"/>
        <v>74.307414104882469</v>
      </c>
      <c r="X232" s="4">
        <f t="shared" si="37"/>
        <v>92.582259785016831</v>
      </c>
      <c r="Y232" s="4">
        <f t="shared" si="38"/>
        <v>94.703523950200477</v>
      </c>
      <c r="Z232" s="4">
        <f t="shared" si="39"/>
        <v>94.191902007485552</v>
      </c>
      <c r="AA232" s="4">
        <f t="shared" si="40"/>
        <v>111.5909216411729</v>
      </c>
      <c r="AB232" s="4">
        <f t="shared" si="41"/>
        <v>89.427239427239428</v>
      </c>
      <c r="AC232" s="4">
        <f t="shared" si="42"/>
        <v>86.050257731958766</v>
      </c>
      <c r="AD232" s="4">
        <f t="shared" si="43"/>
        <v>89.195862529195864</v>
      </c>
      <c r="AE232" s="4">
        <f t="shared" si="44"/>
        <v>85.979143188929754</v>
      </c>
      <c r="AF232" s="4">
        <f t="shared" si="45"/>
        <v>97.685114876445439</v>
      </c>
      <c r="AG232" s="4">
        <f t="shared" si="46"/>
        <v>98.524844720496901</v>
      </c>
      <c r="AH232" s="4">
        <f t="shared" si="47"/>
        <v>101.21056222455793</v>
      </c>
      <c r="AI232" s="4">
        <f t="shared" si="48"/>
        <v>109.91663010092148</v>
      </c>
      <c r="AJ232" s="4">
        <f t="shared" si="49"/>
        <v>74.077845294793889</v>
      </c>
      <c r="AK232" s="4">
        <f t="shared" si="50"/>
        <v>98.229019511496006</v>
      </c>
      <c r="AL232" s="4">
        <f t="shared" si="51"/>
        <v>102.70505393732215</v>
      </c>
      <c r="AM232" s="4">
        <f t="shared" si="52"/>
        <v>70.958043590523559</v>
      </c>
      <c r="AN232" s="4">
        <f t="shared" si="53"/>
        <v>100.61411025421307</v>
      </c>
      <c r="AO232" s="4">
        <f t="shared" si="54"/>
        <v>102.39792611795204</v>
      </c>
      <c r="AP232" s="4">
        <f t="shared" si="55"/>
        <v>116.34201871995953</v>
      </c>
      <c r="AQ232" s="4">
        <f t="shared" si="56"/>
        <v>84.414707867476594</v>
      </c>
      <c r="AR232" s="4">
        <f t="shared" si="57"/>
        <v>95.108233601464903</v>
      </c>
      <c r="AS232" s="4">
        <f t="shared" si="58"/>
        <v>83.365560101225967</v>
      </c>
      <c r="AT232" s="4">
        <f t="shared" si="59"/>
        <v>109.11722885580663</v>
      </c>
      <c r="AU232" s="4">
        <f t="shared" si="60"/>
        <v>102.73280452026515</v>
      </c>
      <c r="AV232" s="4">
        <f t="shared" si="61"/>
        <v>80.726807888970058</v>
      </c>
      <c r="AW232" s="4">
        <f t="shared" si="62"/>
        <v>86.279828408235446</v>
      </c>
      <c r="AX232" s="4">
        <f t="shared" si="63"/>
        <v>70.631318341242007</v>
      </c>
    </row>
    <row r="233" spans="1:50" ht="14.25" customHeight="1" x14ac:dyDescent="0.3">
      <c r="A233" s="2">
        <v>45729</v>
      </c>
      <c r="B233" s="4">
        <f t="shared" si="15"/>
        <v>102.18219037871035</v>
      </c>
      <c r="C233" s="4">
        <f t="shared" si="16"/>
        <v>95.72797235746819</v>
      </c>
      <c r="D233" s="4">
        <f t="shared" si="17"/>
        <v>102.30619790687471</v>
      </c>
      <c r="E233" s="4">
        <f t="shared" si="18"/>
        <v>85.376113995306937</v>
      </c>
      <c r="F233" s="4">
        <f t="shared" si="19"/>
        <v>97.382464067308064</v>
      </c>
      <c r="G233" s="4">
        <f t="shared" si="20"/>
        <v>91.761220373171966</v>
      </c>
      <c r="H233" s="4">
        <f t="shared" si="21"/>
        <v>83.922974767596287</v>
      </c>
      <c r="I233" s="4">
        <f t="shared" si="22"/>
        <v>93.656603936092338</v>
      </c>
      <c r="J233" s="4">
        <f t="shared" si="23"/>
        <v>121.4136374778308</v>
      </c>
      <c r="K233" s="4">
        <f t="shared" si="24"/>
        <v>90.002621117469744</v>
      </c>
      <c r="L233" s="4">
        <f t="shared" si="25"/>
        <v>86.906612133606004</v>
      </c>
      <c r="M233" s="4">
        <f t="shared" si="26"/>
        <v>102.7256586636689</v>
      </c>
      <c r="N233" s="4">
        <f t="shared" si="27"/>
        <v>85.772225827384801</v>
      </c>
      <c r="O233" s="4">
        <f t="shared" si="28"/>
        <v>110.99865801834039</v>
      </c>
      <c r="P233" s="4">
        <f t="shared" si="29"/>
        <v>80.271450613248248</v>
      </c>
      <c r="Q233" s="4">
        <f t="shared" si="30"/>
        <v>89.073785020767744</v>
      </c>
      <c r="R233" s="4">
        <f t="shared" si="31"/>
        <v>91.308639818292988</v>
      </c>
      <c r="S233" s="4">
        <f t="shared" si="32"/>
        <v>94.252659078186241</v>
      </c>
      <c r="T233" s="4">
        <f t="shared" si="33"/>
        <v>114.6568129916265</v>
      </c>
      <c r="U233" s="4">
        <f t="shared" si="34"/>
        <v>92.51041074419534</v>
      </c>
      <c r="V233" s="4">
        <f t="shared" si="35"/>
        <v>99.475498276637182</v>
      </c>
      <c r="W233" s="4">
        <f t="shared" si="36"/>
        <v>72.849909584086816</v>
      </c>
      <c r="X233" s="4">
        <f t="shared" si="37"/>
        <v>91.835562484614769</v>
      </c>
      <c r="Y233" s="4">
        <f t="shared" si="38"/>
        <v>95.138214813251736</v>
      </c>
      <c r="Z233" s="4">
        <f t="shared" si="39"/>
        <v>95.294317795168453</v>
      </c>
      <c r="AA233" s="4">
        <f t="shared" si="40"/>
        <v>110.57485228339499</v>
      </c>
      <c r="AB233" s="4">
        <f t="shared" si="41"/>
        <v>87.912087912087898</v>
      </c>
      <c r="AC233" s="4">
        <f t="shared" si="42"/>
        <v>86.227448453608247</v>
      </c>
      <c r="AD233" s="4">
        <f t="shared" si="43"/>
        <v>87.487487487487499</v>
      </c>
      <c r="AE233" s="4">
        <f t="shared" si="44"/>
        <v>85.860729587954992</v>
      </c>
      <c r="AF233" s="4">
        <f t="shared" si="45"/>
        <v>96.817304145965778</v>
      </c>
      <c r="AG233" s="4">
        <f t="shared" si="46"/>
        <v>97.903726708074529</v>
      </c>
      <c r="AH233" s="4">
        <f t="shared" si="47"/>
        <v>101.04644944773287</v>
      </c>
      <c r="AI233" s="4">
        <f t="shared" si="48"/>
        <v>110.34079274535613</v>
      </c>
      <c r="AJ233" s="4">
        <f t="shared" si="49"/>
        <v>73.115454097552956</v>
      </c>
      <c r="AK233" s="4">
        <f t="shared" si="50"/>
        <v>97.053825522592774</v>
      </c>
      <c r="AL233" s="4">
        <f t="shared" si="51"/>
        <v>102.66002087896339</v>
      </c>
      <c r="AM233" s="4">
        <f t="shared" si="52"/>
        <v>71.057788215986022</v>
      </c>
      <c r="AN233" s="4">
        <f t="shared" si="53"/>
        <v>98.939588688946003</v>
      </c>
      <c r="AO233" s="4">
        <f t="shared" si="54"/>
        <v>100.84251458198314</v>
      </c>
      <c r="AP233" s="4">
        <f t="shared" si="55"/>
        <v>114.23391516991315</v>
      </c>
      <c r="AQ233" s="4">
        <f t="shared" si="56"/>
        <v>84.552630806702481</v>
      </c>
      <c r="AR233" s="4">
        <f t="shared" si="57"/>
        <v>95.605257994898963</v>
      </c>
      <c r="AS233" s="4">
        <f t="shared" si="58"/>
        <v>82.848574898400869</v>
      </c>
      <c r="AT233" s="4">
        <f t="shared" si="59"/>
        <v>106.13639867747075</v>
      </c>
      <c r="AU233" s="4">
        <f t="shared" si="60"/>
        <v>102.803433662936</v>
      </c>
      <c r="AV233" s="4">
        <f t="shared" si="61"/>
        <v>80.931336742147565</v>
      </c>
      <c r="AW233" s="4">
        <f t="shared" si="62"/>
        <v>84.341654020337685</v>
      </c>
      <c r="AX233" s="4">
        <f t="shared" si="63"/>
        <v>69.357334433670331</v>
      </c>
    </row>
    <row r="234" spans="1:50" ht="14.25" customHeight="1" x14ac:dyDescent="0.3">
      <c r="A234" s="2">
        <v>45733</v>
      </c>
      <c r="B234" s="4">
        <f t="shared" si="15"/>
        <v>101.44114636642783</v>
      </c>
      <c r="C234" s="4">
        <f t="shared" si="16"/>
        <v>95.941124997195374</v>
      </c>
      <c r="D234" s="4">
        <f t="shared" si="17"/>
        <v>102.72294290906811</v>
      </c>
      <c r="E234" s="4">
        <f t="shared" si="18"/>
        <v>85.051489987720217</v>
      </c>
      <c r="F234" s="4">
        <f t="shared" si="19"/>
        <v>98.858723172204265</v>
      </c>
      <c r="G234" s="4">
        <f t="shared" si="20"/>
        <v>91.168683812405433</v>
      </c>
      <c r="H234" s="4">
        <f t="shared" si="21"/>
        <v>84.464807436918989</v>
      </c>
      <c r="I234" s="4">
        <f t="shared" si="22"/>
        <v>93.503725076439437</v>
      </c>
      <c r="J234" s="4">
        <f t="shared" si="23"/>
        <v>123.71923348665523</v>
      </c>
      <c r="K234" s="4">
        <f t="shared" si="24"/>
        <v>89.107072648639203</v>
      </c>
      <c r="L234" s="4">
        <f t="shared" si="25"/>
        <v>86.528970688479873</v>
      </c>
      <c r="M234" s="4">
        <f t="shared" si="26"/>
        <v>103.08164485247542</v>
      </c>
      <c r="N234" s="4">
        <f t="shared" si="27"/>
        <v>87.772550292018167</v>
      </c>
      <c r="O234" s="4">
        <f t="shared" si="28"/>
        <v>111.44598523820173</v>
      </c>
      <c r="P234" s="4">
        <f t="shared" si="29"/>
        <v>80.815397892204302</v>
      </c>
      <c r="Q234" s="4">
        <f t="shared" si="30"/>
        <v>90.176988809227751</v>
      </c>
      <c r="R234" s="4">
        <f t="shared" si="31"/>
        <v>92.13855158556828</v>
      </c>
      <c r="S234" s="4">
        <f t="shared" si="32"/>
        <v>96.487217764508316</v>
      </c>
      <c r="T234" s="4">
        <f t="shared" si="33"/>
        <v>118.72621162141587</v>
      </c>
      <c r="U234" s="4">
        <f t="shared" si="34"/>
        <v>92.73168707838407</v>
      </c>
      <c r="V234" s="4">
        <f t="shared" si="35"/>
        <v>99.400569459013937</v>
      </c>
      <c r="W234" s="4">
        <f t="shared" si="36"/>
        <v>73.667269439421347</v>
      </c>
      <c r="X234" s="4">
        <f t="shared" si="37"/>
        <v>93.308443423319957</v>
      </c>
      <c r="Y234" s="4">
        <f t="shared" si="38"/>
        <v>96.957163958641075</v>
      </c>
      <c r="Z234" s="4">
        <f t="shared" si="39"/>
        <v>95.246682545083388</v>
      </c>
      <c r="AA234" s="4">
        <f t="shared" si="40"/>
        <v>111.07184273013419</v>
      </c>
      <c r="AB234" s="4">
        <f t="shared" si="41"/>
        <v>86.530136530136531</v>
      </c>
      <c r="AC234" s="4">
        <f t="shared" si="42"/>
        <v>86.130798969072188</v>
      </c>
      <c r="AD234" s="4">
        <f t="shared" si="43"/>
        <v>88.228228228228218</v>
      </c>
      <c r="AE234" s="4">
        <f t="shared" si="44"/>
        <v>85.647356287647796</v>
      </c>
      <c r="AF234" s="4">
        <f t="shared" si="45"/>
        <v>96.30746534180895</v>
      </c>
      <c r="AG234" s="4">
        <f t="shared" si="46"/>
        <v>99.831780538302283</v>
      </c>
      <c r="AH234" s="4">
        <f t="shared" si="47"/>
        <v>100.23602736442258</v>
      </c>
      <c r="AI234" s="4">
        <f t="shared" si="48"/>
        <v>111.02091560626005</v>
      </c>
      <c r="AJ234" s="4">
        <f t="shared" si="49"/>
        <v>72.103793726391856</v>
      </c>
      <c r="AK234" s="4">
        <f t="shared" si="50"/>
        <v>98.247445898081608</v>
      </c>
      <c r="AL234" s="4">
        <f t="shared" si="51"/>
        <v>103.37645589830716</v>
      </c>
      <c r="AM234" s="4">
        <f t="shared" si="52"/>
        <v>72.998210256011205</v>
      </c>
      <c r="AN234" s="4">
        <f t="shared" si="53"/>
        <v>102.41716652385031</v>
      </c>
      <c r="AO234" s="4">
        <f t="shared" si="54"/>
        <v>102.04147764095917</v>
      </c>
      <c r="AP234" s="4">
        <f t="shared" si="55"/>
        <v>114.80731933552575</v>
      </c>
      <c r="AQ234" s="4">
        <f t="shared" si="56"/>
        <v>84.520350969862378</v>
      </c>
      <c r="AR234" s="4">
        <f t="shared" si="57"/>
        <v>97.612974952586484</v>
      </c>
      <c r="AS234" s="4">
        <f t="shared" si="58"/>
        <v>83.540602335253368</v>
      </c>
      <c r="AT234" s="4">
        <f t="shared" si="59"/>
        <v>106.77025337056516</v>
      </c>
      <c r="AU234" s="4">
        <f t="shared" si="60"/>
        <v>102.18950342279692</v>
      </c>
      <c r="AV234" s="4">
        <f t="shared" si="61"/>
        <v>84.054054054054077</v>
      </c>
      <c r="AW234" s="4">
        <f t="shared" si="62"/>
        <v>83.48011041141396</v>
      </c>
      <c r="AX234" s="4">
        <f t="shared" si="63"/>
        <v>69.87827522178668</v>
      </c>
    </row>
    <row r="235" spans="1:50" ht="14.25" customHeight="1" x14ac:dyDescent="0.3">
      <c r="A235" s="2">
        <v>45734</v>
      </c>
      <c r="B235" s="4">
        <f t="shared" si="15"/>
        <v>101.43705220061412</v>
      </c>
      <c r="C235" s="4">
        <f t="shared" si="16"/>
        <v>97.16394803563017</v>
      </c>
      <c r="D235" s="4">
        <f t="shared" si="17"/>
        <v>101.98032211568591</v>
      </c>
      <c r="E235" s="4">
        <f t="shared" si="18"/>
        <v>86.382813164901691</v>
      </c>
      <c r="F235" s="4">
        <f t="shared" si="19"/>
        <v>102.04105480465857</v>
      </c>
      <c r="G235" s="4">
        <f t="shared" si="20"/>
        <v>92.876954109934431</v>
      </c>
      <c r="H235" s="4">
        <f t="shared" si="21"/>
        <v>85.490039840637436</v>
      </c>
      <c r="I235" s="4">
        <f t="shared" si="22"/>
        <v>94.802118771801403</v>
      </c>
      <c r="J235" s="4">
        <f t="shared" si="23"/>
        <v>125.19285395008146</v>
      </c>
      <c r="K235" s="4">
        <f t="shared" si="24"/>
        <v>89.358263072823377</v>
      </c>
      <c r="L235" s="4">
        <f t="shared" si="25"/>
        <v>89.180640763462833</v>
      </c>
      <c r="M235" s="4">
        <f t="shared" si="26"/>
        <v>104.51674205722546</v>
      </c>
      <c r="N235" s="4">
        <f t="shared" si="27"/>
        <v>90.571057754704739</v>
      </c>
      <c r="O235" s="4">
        <f t="shared" si="28"/>
        <v>113.73294564974276</v>
      </c>
      <c r="P235" s="4">
        <f t="shared" si="29"/>
        <v>81.497947122048174</v>
      </c>
      <c r="Q235" s="4">
        <f t="shared" si="30"/>
        <v>92.47863700097885</v>
      </c>
      <c r="R235" s="4">
        <f t="shared" si="31"/>
        <v>93.457674499868958</v>
      </c>
      <c r="S235" s="4">
        <f t="shared" si="32"/>
        <v>97.52285874230266</v>
      </c>
      <c r="T235" s="4">
        <f t="shared" si="33"/>
        <v>117.01662014717076</v>
      </c>
      <c r="U235" s="4">
        <f t="shared" si="34"/>
        <v>94.70934431519585</v>
      </c>
      <c r="V235" s="4">
        <f t="shared" si="35"/>
        <v>101.10894650082423</v>
      </c>
      <c r="W235" s="4">
        <f t="shared" si="36"/>
        <v>78.911392405063296</v>
      </c>
      <c r="X235" s="4">
        <f t="shared" si="37"/>
        <v>95.084926561089688</v>
      </c>
      <c r="Y235" s="4">
        <f t="shared" si="38"/>
        <v>97.961595273264408</v>
      </c>
      <c r="Z235" s="4">
        <f t="shared" si="39"/>
        <v>97.077237155495084</v>
      </c>
      <c r="AA235" s="4">
        <f t="shared" si="40"/>
        <v>112.43580540062949</v>
      </c>
      <c r="AB235" s="4">
        <f t="shared" si="41"/>
        <v>86.996336996336993</v>
      </c>
      <c r="AC235" s="4">
        <f t="shared" si="42"/>
        <v>87.242268041237125</v>
      </c>
      <c r="AD235" s="4">
        <f t="shared" si="43"/>
        <v>90.764097430764096</v>
      </c>
      <c r="AE235" s="4">
        <f t="shared" si="44"/>
        <v>87.104358421380795</v>
      </c>
      <c r="AF235" s="4">
        <f t="shared" si="45"/>
        <v>98.667910528713676</v>
      </c>
      <c r="AG235" s="4">
        <f t="shared" si="46"/>
        <v>100.75051759834368</v>
      </c>
      <c r="AH235" s="4">
        <f t="shared" si="47"/>
        <v>101.51297228522434</v>
      </c>
      <c r="AI235" s="4">
        <f t="shared" si="48"/>
        <v>113.10516308322363</v>
      </c>
      <c r="AJ235" s="4">
        <f t="shared" si="49"/>
        <v>73.96288388898013</v>
      </c>
      <c r="AK235" s="4">
        <f t="shared" si="50"/>
        <v>99.160575722211973</v>
      </c>
      <c r="AL235" s="4">
        <f t="shared" si="51"/>
        <v>104.95568337666059</v>
      </c>
      <c r="AM235" s="4">
        <f t="shared" si="52"/>
        <v>74.422931360134697</v>
      </c>
      <c r="AN235" s="4">
        <f t="shared" si="53"/>
        <v>104.07740645529849</v>
      </c>
      <c r="AO235" s="4">
        <f t="shared" si="54"/>
        <v>103.78321451717434</v>
      </c>
      <c r="AP235" s="4">
        <f t="shared" si="55"/>
        <v>117.6912049919892</v>
      </c>
      <c r="AQ235" s="4">
        <f t="shared" si="56"/>
        <v>83.965724682337068</v>
      </c>
      <c r="AR235" s="4">
        <f t="shared" si="57"/>
        <v>98.66261199398339</v>
      </c>
      <c r="AS235" s="4">
        <f t="shared" si="58"/>
        <v>84.76386259863088</v>
      </c>
      <c r="AT235" s="4">
        <f t="shared" si="59"/>
        <v>110.03374847960529</v>
      </c>
      <c r="AU235" s="4">
        <f t="shared" si="60"/>
        <v>102.88492882755622</v>
      </c>
      <c r="AV235" s="4">
        <f t="shared" si="61"/>
        <v>85.003652300949597</v>
      </c>
      <c r="AW235" s="4">
        <f t="shared" si="62"/>
        <v>85.19005341331389</v>
      </c>
      <c r="AX235" s="4">
        <f t="shared" si="63"/>
        <v>70.296059418196833</v>
      </c>
    </row>
    <row r="236" spans="1:50" ht="14.25" customHeight="1" x14ac:dyDescent="0.3">
      <c r="A236" s="2">
        <v>45735</v>
      </c>
      <c r="B236" s="4">
        <f t="shared" si="15"/>
        <v>102.1207778915046</v>
      </c>
      <c r="C236" s="4">
        <f t="shared" si="16"/>
        <v>97.831452354775735</v>
      </c>
      <c r="D236" s="4">
        <f t="shared" si="17"/>
        <v>102.5976060663032</v>
      </c>
      <c r="E236" s="4">
        <f t="shared" si="18"/>
        <v>85.036900144682605</v>
      </c>
      <c r="F236" s="4">
        <f t="shared" si="19"/>
        <v>102.29423908386241</v>
      </c>
      <c r="G236" s="4">
        <f t="shared" si="20"/>
        <v>93.935955622793728</v>
      </c>
      <c r="H236" s="4">
        <f t="shared" si="21"/>
        <v>84.278884462151382</v>
      </c>
      <c r="I236" s="4">
        <f t="shared" si="22"/>
        <v>94.743981740665788</v>
      </c>
      <c r="J236" s="4">
        <f t="shared" si="23"/>
        <v>125.90082620795062</v>
      </c>
      <c r="K236" s="4">
        <f t="shared" si="24"/>
        <v>88.036783015158804</v>
      </c>
      <c r="L236" s="4">
        <f t="shared" si="25"/>
        <v>90.51261077027948</v>
      </c>
      <c r="M236" s="4">
        <f t="shared" si="26"/>
        <v>103.63346805492357</v>
      </c>
      <c r="N236" s="4">
        <f t="shared" si="27"/>
        <v>90.496430889033093</v>
      </c>
      <c r="O236" s="4">
        <f t="shared" si="28"/>
        <v>113.03679266383358</v>
      </c>
      <c r="P236" s="4">
        <f t="shared" si="29"/>
        <v>80.778786056120722</v>
      </c>
      <c r="Q236" s="4">
        <f t="shared" si="30"/>
        <v>91.661155057012081</v>
      </c>
      <c r="R236" s="4">
        <f t="shared" si="31"/>
        <v>95.511924521708735</v>
      </c>
      <c r="S236" s="4">
        <f t="shared" si="32"/>
        <v>98.157305467437965</v>
      </c>
      <c r="T236" s="4">
        <f t="shared" si="33"/>
        <v>116.86437452423242</v>
      </c>
      <c r="U236" s="4">
        <f t="shared" si="34"/>
        <v>94.543387064554324</v>
      </c>
      <c r="V236" s="4">
        <f t="shared" si="35"/>
        <v>102.29282181927171</v>
      </c>
      <c r="W236" s="4">
        <f t="shared" si="36"/>
        <v>80.842676311030743</v>
      </c>
      <c r="X236" s="4">
        <f t="shared" si="37"/>
        <v>96.291129892508422</v>
      </c>
      <c r="Y236" s="4">
        <f t="shared" si="38"/>
        <v>98.151508757121746</v>
      </c>
      <c r="Z236" s="4">
        <f t="shared" si="39"/>
        <v>98.67301803334469</v>
      </c>
      <c r="AA236" s="4">
        <f t="shared" si="40"/>
        <v>114.12557291954275</v>
      </c>
      <c r="AB236" s="4">
        <f t="shared" si="41"/>
        <v>88.478188478188486</v>
      </c>
      <c r="AC236" s="4">
        <f t="shared" si="42"/>
        <v>89.304123711340225</v>
      </c>
      <c r="AD236" s="4">
        <f t="shared" si="43"/>
        <v>91.057724391057732</v>
      </c>
      <c r="AE236" s="4">
        <f t="shared" si="44"/>
        <v>88.345127022899021</v>
      </c>
      <c r="AF236" s="4">
        <f t="shared" si="45"/>
        <v>98.960796650250558</v>
      </c>
      <c r="AG236" s="4">
        <f t="shared" si="46"/>
        <v>102.44565217391306</v>
      </c>
      <c r="AH236" s="4">
        <f t="shared" si="47"/>
        <v>100.68042263649943</v>
      </c>
      <c r="AI236" s="4">
        <f t="shared" si="48"/>
        <v>115.98654380576275</v>
      </c>
      <c r="AJ236" s="4">
        <f t="shared" si="49"/>
        <v>75.16505173263262</v>
      </c>
      <c r="AK236" s="4">
        <f t="shared" si="50"/>
        <v>100.65720778821938</v>
      </c>
      <c r="AL236" s="4">
        <f t="shared" si="51"/>
        <v>104.41323971915743</v>
      </c>
      <c r="AM236" s="4">
        <f t="shared" si="52"/>
        <v>74.00697504969547</v>
      </c>
      <c r="AN236" s="4">
        <f t="shared" si="53"/>
        <v>106.03399028848901</v>
      </c>
      <c r="AO236" s="4">
        <f t="shared" si="54"/>
        <v>107.67174335709655</v>
      </c>
      <c r="AP236" s="4">
        <f t="shared" si="55"/>
        <v>117.80925879079179</v>
      </c>
      <c r="AQ236" s="4">
        <f t="shared" si="56"/>
        <v>81.940898553276398</v>
      </c>
      <c r="AR236" s="4">
        <f t="shared" si="57"/>
        <v>98.041331502190843</v>
      </c>
      <c r="AS236" s="4">
        <f t="shared" si="58"/>
        <v>87.216489249828683</v>
      </c>
      <c r="AT236" s="4">
        <f t="shared" si="59"/>
        <v>114.42790331146252</v>
      </c>
      <c r="AU236" s="4">
        <f t="shared" si="60"/>
        <v>103.21090948603717</v>
      </c>
      <c r="AV236" s="4">
        <f t="shared" si="61"/>
        <v>85.617238860482104</v>
      </c>
      <c r="AW236" s="4">
        <f t="shared" si="62"/>
        <v>84.529257829770458</v>
      </c>
      <c r="AX236" s="4">
        <f t="shared" si="63"/>
        <v>71.456571074891698</v>
      </c>
    </row>
    <row r="237" spans="1:50" ht="14.25" customHeight="1" x14ac:dyDescent="0.3">
      <c r="A237" s="2">
        <v>45736</v>
      </c>
      <c r="B237" s="4">
        <f t="shared" si="15"/>
        <v>103.92221084953941</v>
      </c>
      <c r="C237" s="4">
        <f t="shared" si="16"/>
        <v>99.214700801005179</v>
      </c>
      <c r="D237" s="4">
        <f t="shared" si="17"/>
        <v>106.86532556244907</v>
      </c>
      <c r="E237" s="4">
        <f t="shared" si="18"/>
        <v>86.642998699072336</v>
      </c>
      <c r="F237" s="4">
        <f t="shared" si="19"/>
        <v>102.96420363806334</v>
      </c>
      <c r="G237" s="4">
        <f t="shared" si="20"/>
        <v>94.496974281391815</v>
      </c>
      <c r="H237" s="4">
        <f t="shared" si="21"/>
        <v>85.819389110225757</v>
      </c>
      <c r="I237" s="4">
        <f t="shared" si="22"/>
        <v>96.567761939623637</v>
      </c>
      <c r="J237" s="4">
        <f t="shared" si="23"/>
        <v>125.15248078669991</v>
      </c>
      <c r="K237" s="4">
        <f t="shared" si="24"/>
        <v>88.233366825389879</v>
      </c>
      <c r="L237" s="4">
        <f t="shared" si="25"/>
        <v>91.371506475800956</v>
      </c>
      <c r="M237" s="4">
        <f t="shared" si="26"/>
        <v>104.65637072526613</v>
      </c>
      <c r="N237" s="4">
        <f t="shared" si="27"/>
        <v>91.761842959117459</v>
      </c>
      <c r="O237" s="4">
        <f t="shared" si="28"/>
        <v>113.82520688883919</v>
      </c>
      <c r="P237" s="4">
        <f t="shared" si="29"/>
        <v>81.69669708935902</v>
      </c>
      <c r="Q237" s="4">
        <f t="shared" si="30"/>
        <v>92.608270060054494</v>
      </c>
      <c r="R237" s="4">
        <f t="shared" si="31"/>
        <v>95.642089630470849</v>
      </c>
      <c r="S237" s="4">
        <f t="shared" si="32"/>
        <v>98.371897742116062</v>
      </c>
      <c r="T237" s="4">
        <f t="shared" si="33"/>
        <v>117.47335701598575</v>
      </c>
      <c r="U237" s="4">
        <f t="shared" si="34"/>
        <v>98.132980930282585</v>
      </c>
      <c r="V237" s="4">
        <f t="shared" si="35"/>
        <v>102.42769369099356</v>
      </c>
      <c r="W237" s="4">
        <f t="shared" si="36"/>
        <v>81.18264014466547</v>
      </c>
      <c r="X237" s="4">
        <f t="shared" si="37"/>
        <v>96.615245753671957</v>
      </c>
      <c r="Y237" s="4">
        <f t="shared" si="38"/>
        <v>99.426039248786665</v>
      </c>
      <c r="Z237" s="4">
        <f t="shared" si="39"/>
        <v>101.07179312691395</v>
      </c>
      <c r="AA237" s="4">
        <f t="shared" si="40"/>
        <v>115.99204815285216</v>
      </c>
      <c r="AB237" s="4">
        <f t="shared" si="41"/>
        <v>89.244089244089238</v>
      </c>
      <c r="AC237" s="4">
        <f t="shared" si="42"/>
        <v>90.318943298969074</v>
      </c>
      <c r="AD237" s="4">
        <f t="shared" si="43"/>
        <v>92.098765432098745</v>
      </c>
      <c r="AE237" s="4">
        <f t="shared" si="44"/>
        <v>90.612146832865221</v>
      </c>
      <c r="AF237" s="4">
        <f t="shared" si="45"/>
        <v>99.242835137656456</v>
      </c>
      <c r="AG237" s="4">
        <f t="shared" si="46"/>
        <v>102.58799171842649</v>
      </c>
      <c r="AH237" s="4">
        <f t="shared" si="47"/>
        <v>102.41190463019308</v>
      </c>
      <c r="AI237" s="4">
        <f t="shared" si="48"/>
        <v>116.30832236360975</v>
      </c>
      <c r="AJ237" s="4">
        <f t="shared" si="49"/>
        <v>76.101166037116101</v>
      </c>
      <c r="AK237" s="4">
        <f t="shared" si="50"/>
        <v>101.06463566938967</v>
      </c>
      <c r="AL237" s="4">
        <f t="shared" si="51"/>
        <v>107.042556240149</v>
      </c>
      <c r="AM237" s="4">
        <f t="shared" si="52"/>
        <v>73.875397033127953</v>
      </c>
      <c r="AN237" s="4">
        <f t="shared" si="53"/>
        <v>106.9944301628106</v>
      </c>
      <c r="AO237" s="4">
        <f t="shared" si="54"/>
        <v>109.25955930006481</v>
      </c>
      <c r="AP237" s="4">
        <f t="shared" si="55"/>
        <v>119.05725609241924</v>
      </c>
      <c r="AQ237" s="4">
        <f t="shared" si="56"/>
        <v>82.786043372362585</v>
      </c>
      <c r="AR237" s="4">
        <f t="shared" si="57"/>
        <v>98.884965012098618</v>
      </c>
      <c r="AS237" s="4">
        <f t="shared" si="58"/>
        <v>87.851526191881561</v>
      </c>
      <c r="AT237" s="4">
        <f t="shared" si="59"/>
        <v>114.41933770750177</v>
      </c>
      <c r="AU237" s="4">
        <f t="shared" si="60"/>
        <v>104.94947299793547</v>
      </c>
      <c r="AV237" s="4">
        <f t="shared" si="61"/>
        <v>86.720233747260778</v>
      </c>
      <c r="AW237" s="4">
        <f t="shared" si="62"/>
        <v>85.966757082940006</v>
      </c>
      <c r="AX237" s="4">
        <f t="shared" si="63"/>
        <v>70.569424386218287</v>
      </c>
    </row>
    <row r="238" spans="1:50" ht="14.25" customHeight="1" x14ac:dyDescent="0.3">
      <c r="A238" s="2">
        <v>45737</v>
      </c>
      <c r="B238" s="4">
        <f t="shared" si="15"/>
        <v>104.51177072671443</v>
      </c>
      <c r="C238" s="4">
        <f t="shared" si="16"/>
        <v>99.303327424891734</v>
      </c>
      <c r="D238" s="4">
        <f t="shared" si="17"/>
        <v>108.15316162185876</v>
      </c>
      <c r="E238" s="4">
        <f t="shared" si="18"/>
        <v>87.006528954759318</v>
      </c>
      <c r="F238" s="4">
        <f t="shared" si="19"/>
        <v>104.63132473805163</v>
      </c>
      <c r="G238" s="4">
        <f t="shared" si="20"/>
        <v>94.957135653050941</v>
      </c>
      <c r="H238" s="4">
        <f t="shared" si="21"/>
        <v>84.597609561752989</v>
      </c>
      <c r="I238" s="4">
        <f t="shared" si="22"/>
        <v>96.731406916153489</v>
      </c>
      <c r="J238" s="4">
        <f t="shared" si="23"/>
        <v>128.56112929505571</v>
      </c>
      <c r="K238" s="4">
        <f t="shared" si="24"/>
        <v>88.582849154689612</v>
      </c>
      <c r="L238" s="4">
        <f t="shared" si="25"/>
        <v>93.141104294478509</v>
      </c>
      <c r="M238" s="4">
        <f t="shared" si="26"/>
        <v>104.67956782027605</v>
      </c>
      <c r="N238" s="4">
        <f t="shared" si="27"/>
        <v>90.91012329656067</v>
      </c>
      <c r="O238" s="4">
        <f t="shared" si="28"/>
        <v>116.24916126146275</v>
      </c>
      <c r="P238" s="4">
        <f t="shared" si="29"/>
        <v>81.942519417348777</v>
      </c>
      <c r="Q238" s="4">
        <f t="shared" si="30"/>
        <v>94.420487314479217</v>
      </c>
      <c r="R238" s="4">
        <f t="shared" si="31"/>
        <v>95.891936751987416</v>
      </c>
      <c r="S238" s="4">
        <f t="shared" si="32"/>
        <v>99.846053368165727</v>
      </c>
      <c r="T238" s="4">
        <f t="shared" si="33"/>
        <v>117.18155290535397</v>
      </c>
      <c r="U238" s="4">
        <f t="shared" si="34"/>
        <v>97.198703074819065</v>
      </c>
      <c r="V238" s="4">
        <f t="shared" si="35"/>
        <v>105.28997452420201</v>
      </c>
      <c r="W238" s="4">
        <f t="shared" si="36"/>
        <v>82.285714285714292</v>
      </c>
      <c r="X238" s="4">
        <f t="shared" si="37"/>
        <v>97.546566012964632</v>
      </c>
      <c r="Y238" s="4">
        <f t="shared" si="38"/>
        <v>102.30850390377717</v>
      </c>
      <c r="Z238" s="4">
        <f t="shared" si="39"/>
        <v>100.62606328683228</v>
      </c>
      <c r="AA238" s="4">
        <f t="shared" si="40"/>
        <v>116.9252857695069</v>
      </c>
      <c r="AB238" s="4">
        <f t="shared" si="41"/>
        <v>88.011988011988024</v>
      </c>
      <c r="AC238" s="4">
        <f t="shared" si="42"/>
        <v>91.204896907216522</v>
      </c>
      <c r="AD238" s="4">
        <f t="shared" si="43"/>
        <v>93.82048715382048</v>
      </c>
      <c r="AE238" s="4">
        <f t="shared" si="44"/>
        <v>92.303687983021661</v>
      </c>
      <c r="AF238" s="4">
        <f t="shared" si="45"/>
        <v>99.815590219773057</v>
      </c>
      <c r="AG238" s="4">
        <f t="shared" si="46"/>
        <v>104.91718426501035</v>
      </c>
      <c r="AH238" s="4">
        <f t="shared" si="47"/>
        <v>104.59239180542497</v>
      </c>
      <c r="AI238" s="4">
        <f t="shared" si="48"/>
        <v>115.02120813222172</v>
      </c>
      <c r="AJ238" s="4">
        <f t="shared" si="49"/>
        <v>75.257020857283635</v>
      </c>
      <c r="AK238" s="4">
        <f t="shared" si="50"/>
        <v>101.11582007657188</v>
      </c>
      <c r="AL238" s="4">
        <f t="shared" si="51"/>
        <v>108.61052545391274</v>
      </c>
      <c r="AM238" s="4">
        <f t="shared" si="52"/>
        <v>72.86380260467881</v>
      </c>
      <c r="AN238" s="4">
        <f t="shared" si="53"/>
        <v>110.42559268780347</v>
      </c>
      <c r="AO238" s="4">
        <f t="shared" si="54"/>
        <v>110.1101749837978</v>
      </c>
      <c r="AP238" s="4">
        <f t="shared" si="55"/>
        <v>117.26958428197992</v>
      </c>
      <c r="AQ238" s="4">
        <f t="shared" si="56"/>
        <v>82.70974557619509</v>
      </c>
      <c r="AR238" s="4">
        <f t="shared" si="57"/>
        <v>99.656660780851468</v>
      </c>
      <c r="AS238" s="4">
        <f t="shared" si="58"/>
        <v>89.713215688669052</v>
      </c>
      <c r="AT238" s="4">
        <f t="shared" si="59"/>
        <v>115.94401521251262</v>
      </c>
      <c r="AU238" s="4">
        <f t="shared" si="60"/>
        <v>104.44420297729002</v>
      </c>
      <c r="AV238" s="4">
        <f t="shared" si="61"/>
        <v>87.666179693206729</v>
      </c>
      <c r="AW238" s="4">
        <f t="shared" si="62"/>
        <v>86.727926679173578</v>
      </c>
      <c r="AX238" s="4">
        <f t="shared" si="63"/>
        <v>70.858262842995686</v>
      </c>
    </row>
    <row r="239" spans="1:50" ht="14.25" customHeight="1" x14ac:dyDescent="0.3">
      <c r="A239" s="2">
        <v>45740</v>
      </c>
      <c r="B239" s="4">
        <f t="shared" si="15"/>
        <v>106.62026612077788</v>
      </c>
      <c r="C239" s="4">
        <f t="shared" si="16"/>
        <v>100.96703987076221</v>
      </c>
      <c r="D239" s="4">
        <f t="shared" si="17"/>
        <v>107.71448267218146</v>
      </c>
      <c r="E239" s="4">
        <f t="shared" si="18"/>
        <v>88.243018152196385</v>
      </c>
      <c r="F239" s="4">
        <f t="shared" si="19"/>
        <v>105.80376270790323</v>
      </c>
      <c r="G239" s="4">
        <f t="shared" si="20"/>
        <v>98.436712052445785</v>
      </c>
      <c r="H239" s="4">
        <f t="shared" si="21"/>
        <v>84.608233731739716</v>
      </c>
      <c r="I239" s="4">
        <f t="shared" si="22"/>
        <v>97.162051591232085</v>
      </c>
      <c r="J239" s="4">
        <f t="shared" si="23"/>
        <v>131.07003301948006</v>
      </c>
      <c r="K239" s="4">
        <f t="shared" si="24"/>
        <v>89.751430693285556</v>
      </c>
      <c r="L239" s="4">
        <f t="shared" si="25"/>
        <v>94.937968643490109</v>
      </c>
      <c r="M239" s="4">
        <f t="shared" si="26"/>
        <v>106.36983307013554</v>
      </c>
      <c r="N239" s="4">
        <f t="shared" si="27"/>
        <v>90.029201817001933</v>
      </c>
      <c r="O239" s="4">
        <f t="shared" si="28"/>
        <v>121.68139118765376</v>
      </c>
      <c r="P239" s="4">
        <f t="shared" si="29"/>
        <v>83.901252647820286</v>
      </c>
      <c r="Q239" s="4">
        <f t="shared" si="30"/>
        <v>94.436360750284393</v>
      </c>
      <c r="R239" s="4">
        <f t="shared" si="31"/>
        <v>96.542325500131042</v>
      </c>
      <c r="S239" s="4">
        <f t="shared" si="32"/>
        <v>102.4304907632021</v>
      </c>
      <c r="T239" s="4">
        <f t="shared" si="33"/>
        <v>120.15668612027403</v>
      </c>
      <c r="U239" s="4">
        <f t="shared" si="34"/>
        <v>94.629438972294352</v>
      </c>
      <c r="V239" s="4">
        <f t="shared" si="35"/>
        <v>109.98051850741794</v>
      </c>
      <c r="W239" s="4">
        <f t="shared" si="36"/>
        <v>80.578661844484643</v>
      </c>
      <c r="X239" s="4">
        <f t="shared" si="37"/>
        <v>98.531221793714607</v>
      </c>
      <c r="Y239" s="4">
        <f t="shared" si="38"/>
        <v>102.90356615319689</v>
      </c>
      <c r="Z239" s="4">
        <f t="shared" si="39"/>
        <v>102.79006464783942</v>
      </c>
      <c r="AA239" s="4">
        <f t="shared" si="40"/>
        <v>117.21795792147549</v>
      </c>
      <c r="AB239" s="4">
        <f t="shared" si="41"/>
        <v>89.7102897102897</v>
      </c>
      <c r="AC239" s="4">
        <f t="shared" si="42"/>
        <v>94.023840206185582</v>
      </c>
      <c r="AD239" s="4">
        <f t="shared" si="43"/>
        <v>95.228561895228552</v>
      </c>
      <c r="AE239" s="4">
        <f t="shared" si="44"/>
        <v>92.963829507296452</v>
      </c>
      <c r="AF239" s="4">
        <f t="shared" si="45"/>
        <v>100.77452107695311</v>
      </c>
      <c r="AG239" s="4">
        <f t="shared" si="46"/>
        <v>105.07246376811594</v>
      </c>
      <c r="AH239" s="4">
        <f t="shared" si="47"/>
        <v>104.34806660397192</v>
      </c>
      <c r="AI239" s="4">
        <f t="shared" si="48"/>
        <v>115.85490712300714</v>
      </c>
      <c r="AJ239" s="4">
        <f t="shared" si="49"/>
        <v>76.426342584989314</v>
      </c>
      <c r="AK239" s="4">
        <f t="shared" si="50"/>
        <v>102.90932170423601</v>
      </c>
      <c r="AL239" s="4">
        <f t="shared" si="51"/>
        <v>111.03105234069552</v>
      </c>
      <c r="AM239" s="4">
        <f t="shared" si="52"/>
        <v>71.514774230516196</v>
      </c>
      <c r="AN239" s="4">
        <f t="shared" si="53"/>
        <v>112.09654384461581</v>
      </c>
      <c r="AO239" s="4">
        <f t="shared" si="54"/>
        <v>110.15878159429681</v>
      </c>
      <c r="AP239" s="4">
        <f t="shared" si="55"/>
        <v>118.30677122860274</v>
      </c>
      <c r="AQ239" s="4">
        <f t="shared" si="56"/>
        <v>85.609061830560208</v>
      </c>
      <c r="AR239" s="4">
        <f t="shared" si="57"/>
        <v>99.669740370152368</v>
      </c>
      <c r="AS239" s="4">
        <f t="shared" si="58"/>
        <v>89.770884641740096</v>
      </c>
      <c r="AT239" s="4">
        <f t="shared" si="59"/>
        <v>116.8348380244291</v>
      </c>
      <c r="AU239" s="4">
        <f t="shared" si="60"/>
        <v>105.44931000760623</v>
      </c>
      <c r="AV239" s="4">
        <f t="shared" si="61"/>
        <v>88.407596785975159</v>
      </c>
      <c r="AW239" s="4">
        <f t="shared" si="62"/>
        <v>86.664595456880974</v>
      </c>
      <c r="AX239" s="4">
        <f t="shared" si="63"/>
        <v>69.058180317722318</v>
      </c>
    </row>
    <row r="240" spans="1:50" ht="14.25" customHeight="1" x14ac:dyDescent="0.3">
      <c r="A240" s="2">
        <v>45741</v>
      </c>
      <c r="B240" s="4">
        <f t="shared" si="15"/>
        <v>105.25690890481066</v>
      </c>
      <c r="C240" s="4">
        <f t="shared" si="16"/>
        <v>102.16966950122284</v>
      </c>
      <c r="D240" s="4">
        <f t="shared" si="17"/>
        <v>108.44770320235632</v>
      </c>
      <c r="E240" s="4">
        <f t="shared" si="18"/>
        <v>88.94333061800144</v>
      </c>
      <c r="F240" s="4">
        <f t="shared" si="19"/>
        <v>104.67806645113544</v>
      </c>
      <c r="G240" s="4">
        <f t="shared" si="20"/>
        <v>97.434442763489656</v>
      </c>
      <c r="H240" s="4">
        <f t="shared" si="21"/>
        <v>86.504648074369186</v>
      </c>
      <c r="I240" s="4">
        <f t="shared" si="22"/>
        <v>97.812325050600776</v>
      </c>
      <c r="J240" s="4">
        <f t="shared" si="23"/>
        <v>130.73983821896675</v>
      </c>
      <c r="K240" s="4">
        <f t="shared" si="24"/>
        <v>89.511161591892019</v>
      </c>
      <c r="L240" s="4">
        <f t="shared" si="25"/>
        <v>94.603953646898432</v>
      </c>
      <c r="M240" s="4">
        <f t="shared" si="26"/>
        <v>105.89384652445064</v>
      </c>
      <c r="N240" s="4">
        <f t="shared" si="27"/>
        <v>88.773523685918221</v>
      </c>
      <c r="O240" s="4">
        <f t="shared" si="28"/>
        <v>121.33750838738536</v>
      </c>
      <c r="P240" s="4">
        <f t="shared" si="29"/>
        <v>84.986532074583536</v>
      </c>
      <c r="Q240" s="4">
        <f t="shared" si="30"/>
        <v>93.375486123971527</v>
      </c>
      <c r="R240" s="4">
        <f t="shared" si="31"/>
        <v>99.774613435834723</v>
      </c>
      <c r="S240" s="4">
        <f t="shared" si="32"/>
        <v>104.36182123530509</v>
      </c>
      <c r="T240" s="4">
        <f t="shared" si="33"/>
        <v>123.38556204009134</v>
      </c>
      <c r="U240" s="4">
        <f t="shared" si="34"/>
        <v>93.848825237795225</v>
      </c>
      <c r="V240" s="4">
        <f t="shared" si="35"/>
        <v>109.98051850741794</v>
      </c>
      <c r="W240" s="4">
        <f t="shared" si="36"/>
        <v>75.880650994575049</v>
      </c>
      <c r="X240" s="4">
        <f t="shared" si="37"/>
        <v>97.025518995651112</v>
      </c>
      <c r="Y240" s="4">
        <f t="shared" si="38"/>
        <v>102.23675880987551</v>
      </c>
      <c r="Z240" s="4">
        <f t="shared" si="39"/>
        <v>102.0857434501531</v>
      </c>
      <c r="AA240" s="4">
        <f t="shared" si="40"/>
        <v>117.25661273399966</v>
      </c>
      <c r="AB240" s="4">
        <f t="shared" si="41"/>
        <v>90.243090243090251</v>
      </c>
      <c r="AC240" s="4">
        <f t="shared" si="42"/>
        <v>93.75</v>
      </c>
      <c r="AD240" s="4">
        <f t="shared" si="43"/>
        <v>94.801468134801453</v>
      </c>
      <c r="AE240" s="4">
        <f t="shared" si="44"/>
        <v>91.596066609080665</v>
      </c>
      <c r="AF240" s="4">
        <f t="shared" si="45"/>
        <v>101.13249300327598</v>
      </c>
      <c r="AG240" s="4">
        <f t="shared" si="46"/>
        <v>103.07971014492753</v>
      </c>
      <c r="AH240" s="4">
        <f t="shared" si="47"/>
        <v>103.94700448083202</v>
      </c>
      <c r="AI240" s="4">
        <f t="shared" si="48"/>
        <v>114.61898493491296</v>
      </c>
      <c r="AJ240" s="4">
        <f t="shared" si="49"/>
        <v>74.734767613729673</v>
      </c>
      <c r="AK240" s="4">
        <f t="shared" si="50"/>
        <v>105.21262002743484</v>
      </c>
      <c r="AL240" s="4">
        <f t="shared" si="51"/>
        <v>111.17536282316335</v>
      </c>
      <c r="AM240" s="4">
        <f t="shared" si="52"/>
        <v>73.358988688535035</v>
      </c>
      <c r="AN240" s="4">
        <f t="shared" si="53"/>
        <v>111.19680091402455</v>
      </c>
      <c r="AO240" s="4">
        <f t="shared" si="54"/>
        <v>109.05703175631886</v>
      </c>
      <c r="AP240" s="4">
        <f t="shared" si="55"/>
        <v>116.94915254237289</v>
      </c>
      <c r="AQ240" s="4">
        <f t="shared" si="56"/>
        <v>85.4241864013851</v>
      </c>
      <c r="AR240" s="4">
        <f t="shared" si="57"/>
        <v>98.829376757569833</v>
      </c>
      <c r="AS240" s="4">
        <f t="shared" si="58"/>
        <v>90.163033522623195</v>
      </c>
      <c r="AT240" s="4">
        <f t="shared" si="59"/>
        <v>116.20954893529544</v>
      </c>
      <c r="AU240" s="4">
        <f t="shared" si="60"/>
        <v>105.47647506247964</v>
      </c>
      <c r="AV240" s="4">
        <f t="shared" si="61"/>
        <v>86.040905770635518</v>
      </c>
      <c r="AW240" s="4">
        <f t="shared" si="62"/>
        <v>86.702833176001036</v>
      </c>
      <c r="AX240" s="4">
        <f t="shared" si="63"/>
        <v>65.715906746441107</v>
      </c>
    </row>
    <row r="241" spans="1:50" ht="14.25" customHeight="1" x14ac:dyDescent="0.3">
      <c r="A241" s="2">
        <v>45742</v>
      </c>
      <c r="B241" s="4">
        <f t="shared" si="15"/>
        <v>104.2415557830092</v>
      </c>
      <c r="C241" s="4">
        <f t="shared" si="16"/>
        <v>101.33500863829119</v>
      </c>
      <c r="D241" s="4">
        <f t="shared" si="17"/>
        <v>108.95218399448517</v>
      </c>
      <c r="E241" s="4">
        <f t="shared" si="18"/>
        <v>88.409585526875716</v>
      </c>
      <c r="F241" s="4">
        <f t="shared" si="19"/>
        <v>104.07042418104623</v>
      </c>
      <c r="G241" s="4">
        <f t="shared" si="20"/>
        <v>96.318709026727177</v>
      </c>
      <c r="H241" s="4">
        <f t="shared" si="21"/>
        <v>84.964143426294811</v>
      </c>
      <c r="I241" s="4">
        <f t="shared" si="22"/>
        <v>96.720640799276509</v>
      </c>
      <c r="J241" s="4">
        <f t="shared" si="23"/>
        <v>127.83873805026458</v>
      </c>
      <c r="K241" s="4">
        <f t="shared" si="24"/>
        <v>88.976016775151805</v>
      </c>
      <c r="L241" s="4">
        <f t="shared" si="25"/>
        <v>93.927743694614847</v>
      </c>
      <c r="M241" s="4">
        <f t="shared" si="26"/>
        <v>104.69295075970486</v>
      </c>
      <c r="N241" s="4">
        <f t="shared" si="27"/>
        <v>88.976314081765082</v>
      </c>
      <c r="O241" s="4">
        <f t="shared" si="28"/>
        <v>119.93401923507045</v>
      </c>
      <c r="P241" s="4">
        <f t="shared" si="29"/>
        <v>85.431104369884153</v>
      </c>
      <c r="Q241" s="4">
        <f t="shared" si="30"/>
        <v>93.068599698404725</v>
      </c>
      <c r="R241" s="4">
        <f t="shared" si="31"/>
        <v>99.607757491045689</v>
      </c>
      <c r="S241" s="4">
        <f t="shared" si="32"/>
        <v>102.28120918081731</v>
      </c>
      <c r="T241" s="4">
        <f t="shared" si="33"/>
        <v>123.28089317432122</v>
      </c>
      <c r="U241" s="4">
        <f t="shared" si="34"/>
        <v>93.965609969728163</v>
      </c>
      <c r="V241" s="4">
        <f t="shared" si="35"/>
        <v>106.29402068035365</v>
      </c>
      <c r="W241" s="4">
        <f t="shared" si="36"/>
        <v>73.522603978300182</v>
      </c>
      <c r="X241" s="4">
        <f t="shared" si="37"/>
        <v>96.955772544514645</v>
      </c>
      <c r="Y241" s="4">
        <f t="shared" si="38"/>
        <v>101.16902300063305</v>
      </c>
      <c r="Z241" s="4">
        <f t="shared" si="39"/>
        <v>101.91902007485542</v>
      </c>
      <c r="AA241" s="4">
        <f t="shared" si="40"/>
        <v>116.67679054613728</v>
      </c>
      <c r="AB241" s="4">
        <f t="shared" si="41"/>
        <v>89.044289044289044</v>
      </c>
      <c r="AC241" s="4">
        <f t="shared" si="42"/>
        <v>93.701675257731964</v>
      </c>
      <c r="AD241" s="4">
        <f t="shared" si="43"/>
        <v>94.527861194527844</v>
      </c>
      <c r="AE241" s="4">
        <f t="shared" si="44"/>
        <v>91.265423800561749</v>
      </c>
      <c r="AF241" s="4">
        <f t="shared" si="45"/>
        <v>100.80272492569371</v>
      </c>
      <c r="AG241" s="4">
        <f t="shared" si="46"/>
        <v>102.17391304347827</v>
      </c>
      <c r="AH241" s="4">
        <f t="shared" si="47"/>
        <v>103.42055282034262</v>
      </c>
      <c r="AI241" s="4">
        <f t="shared" si="48"/>
        <v>113.94617522305104</v>
      </c>
      <c r="AJ241" s="4">
        <f t="shared" si="49"/>
        <v>73.138446378715713</v>
      </c>
      <c r="AK241" s="4">
        <f t="shared" si="50"/>
        <v>105.71013246524576</v>
      </c>
      <c r="AL241" s="4">
        <f t="shared" si="51"/>
        <v>110.60323828628744</v>
      </c>
      <c r="AM241" s="4">
        <f t="shared" si="52"/>
        <v>75.295873685104098</v>
      </c>
      <c r="AN241" s="4">
        <f t="shared" si="53"/>
        <v>110.06141102542128</v>
      </c>
      <c r="AO241" s="4">
        <f t="shared" si="54"/>
        <v>108.29552819183409</v>
      </c>
      <c r="AP241" s="4">
        <f t="shared" si="55"/>
        <v>116.58655873176488</v>
      </c>
      <c r="AQ241" s="4">
        <f t="shared" si="56"/>
        <v>83.123514393872696</v>
      </c>
      <c r="AR241" s="4">
        <f t="shared" si="57"/>
        <v>96.540448629913016</v>
      </c>
      <c r="AS241" s="4">
        <f t="shared" si="58"/>
        <v>88.468244760605998</v>
      </c>
      <c r="AT241" s="4">
        <f t="shared" si="59"/>
        <v>115.12171723228204</v>
      </c>
      <c r="AU241" s="4">
        <f t="shared" si="60"/>
        <v>104.27577963707486</v>
      </c>
      <c r="AV241" s="4">
        <f t="shared" si="61"/>
        <v>85.069393718042349</v>
      </c>
      <c r="AW241" s="4">
        <f t="shared" si="62"/>
        <v>87.133007516101657</v>
      </c>
      <c r="AX241" s="4">
        <f t="shared" si="63"/>
        <v>67.598514545079439</v>
      </c>
    </row>
    <row r="242" spans="1:50" ht="14.25" customHeight="1" x14ac:dyDescent="0.3">
      <c r="A242" s="2">
        <v>45743</v>
      </c>
      <c r="B242" s="4">
        <f t="shared" si="15"/>
        <v>104.66325486182188</v>
      </c>
      <c r="C242" s="4">
        <f t="shared" si="16"/>
        <v>102.38843142094281</v>
      </c>
      <c r="D242" s="4">
        <f t="shared" si="17"/>
        <v>108.08422635833803</v>
      </c>
      <c r="E242" s="4">
        <f t="shared" si="18"/>
        <v>88.7840581648409</v>
      </c>
      <c r="F242" s="4">
        <f t="shared" si="19"/>
        <v>104.12885132240098</v>
      </c>
      <c r="G242" s="4">
        <f t="shared" si="20"/>
        <v>97.365103378719112</v>
      </c>
      <c r="H242" s="4">
        <f t="shared" si="21"/>
        <v>85.18193891102257</v>
      </c>
      <c r="I242" s="4">
        <f t="shared" si="22"/>
        <v>96.664656991516324</v>
      </c>
      <c r="J242" s="4">
        <f t="shared" si="23"/>
        <v>129.82711634680547</v>
      </c>
      <c r="K242" s="4">
        <f t="shared" si="24"/>
        <v>89.434712332357677</v>
      </c>
      <c r="L242" s="4">
        <f t="shared" si="25"/>
        <v>95.476482617586896</v>
      </c>
      <c r="M242" s="4">
        <f t="shared" si="26"/>
        <v>104.58276455840763</v>
      </c>
      <c r="N242" s="4">
        <f t="shared" si="27"/>
        <v>88.676184295911725</v>
      </c>
      <c r="O242" s="4">
        <f t="shared" si="28"/>
        <v>119.02538581972712</v>
      </c>
      <c r="P242" s="4">
        <f t="shared" si="29"/>
        <v>85.261120845210385</v>
      </c>
      <c r="Q242" s="4">
        <f t="shared" si="30"/>
        <v>91.613534749596553</v>
      </c>
      <c r="R242" s="4">
        <f t="shared" si="31"/>
        <v>101.33310037564429</v>
      </c>
      <c r="S242" s="4">
        <f t="shared" si="32"/>
        <v>102.47714125769734</v>
      </c>
      <c r="T242" s="4">
        <f t="shared" si="33"/>
        <v>127.23610758690687</v>
      </c>
      <c r="U242" s="4">
        <f t="shared" si="34"/>
        <v>94.892204619143484</v>
      </c>
      <c r="V242" s="4">
        <f t="shared" si="35"/>
        <v>108.09231230331184</v>
      </c>
      <c r="W242" s="4">
        <f t="shared" si="36"/>
        <v>74.603978300180842</v>
      </c>
      <c r="X242" s="4">
        <f t="shared" si="37"/>
        <v>98.198900467711496</v>
      </c>
      <c r="Y242" s="4">
        <f t="shared" si="38"/>
        <v>102.20299641274531</v>
      </c>
      <c r="Z242" s="4">
        <f t="shared" si="39"/>
        <v>102.29669955767268</v>
      </c>
      <c r="AA242" s="4">
        <f t="shared" si="40"/>
        <v>117.04125020707936</v>
      </c>
      <c r="AB242" s="4">
        <f t="shared" si="41"/>
        <v>90.642690642690624</v>
      </c>
      <c r="AC242" s="4">
        <f t="shared" si="42"/>
        <v>95.199742268041248</v>
      </c>
      <c r="AD242" s="4">
        <f t="shared" si="43"/>
        <v>89.229229229229219</v>
      </c>
      <c r="AE242" s="4">
        <f t="shared" si="44"/>
        <v>91.233389203196609</v>
      </c>
      <c r="AF242" s="4">
        <f t="shared" si="45"/>
        <v>101.45141344672726</v>
      </c>
      <c r="AG242" s="4">
        <f t="shared" si="46"/>
        <v>102.7044513457557</v>
      </c>
      <c r="AH242" s="4">
        <f t="shared" si="47"/>
        <v>103.3569360697756</v>
      </c>
      <c r="AI242" s="4">
        <f t="shared" si="48"/>
        <v>113.6609624104139</v>
      </c>
      <c r="AJ242" s="4">
        <f t="shared" si="49"/>
        <v>74.159960584660865</v>
      </c>
      <c r="AK242" s="4">
        <f t="shared" si="50"/>
        <v>107.22928567041336</v>
      </c>
      <c r="AL242" s="4">
        <f t="shared" si="51"/>
        <v>109.42521441876649</v>
      </c>
      <c r="AM242" s="4">
        <f t="shared" si="52"/>
        <v>76.71564292838903</v>
      </c>
      <c r="AN242" s="4">
        <f t="shared" si="53"/>
        <v>110.31848043416166</v>
      </c>
      <c r="AO242" s="4">
        <f t="shared" si="54"/>
        <v>110.48282566429035</v>
      </c>
      <c r="AP242" s="4">
        <f t="shared" si="55"/>
        <v>116.9322877139725</v>
      </c>
      <c r="AQ242" s="4">
        <f t="shared" si="56"/>
        <v>83.569563048390407</v>
      </c>
      <c r="AR242" s="4">
        <f t="shared" si="57"/>
        <v>96.978614871493036</v>
      </c>
      <c r="AS242" s="4">
        <f t="shared" si="58"/>
        <v>88.091700419965662</v>
      </c>
      <c r="AT242" s="4">
        <f t="shared" si="59"/>
        <v>116.23524574717763</v>
      </c>
      <c r="AU242" s="4">
        <f t="shared" si="60"/>
        <v>105.78615668803653</v>
      </c>
      <c r="AV242" s="4">
        <f t="shared" si="61"/>
        <v>84.894083272461657</v>
      </c>
      <c r="AW242" s="4">
        <f t="shared" si="62"/>
        <v>90.146617754250968</v>
      </c>
      <c r="AX242" s="4">
        <f t="shared" si="63"/>
        <v>69.481122343717757</v>
      </c>
    </row>
    <row r="243" spans="1:50" ht="14.25" customHeight="1" x14ac:dyDescent="0.3">
      <c r="A243" s="2">
        <v>45744</v>
      </c>
      <c r="B243" s="4">
        <f t="shared" si="15"/>
        <v>104.40941658137153</v>
      </c>
      <c r="C243" s="4">
        <f t="shared" si="16"/>
        <v>102.54885682873748</v>
      </c>
      <c r="D243" s="4">
        <f t="shared" si="17"/>
        <v>108.62944162436547</v>
      </c>
      <c r="E243" s="4">
        <f t="shared" si="18"/>
        <v>87.688604116767394</v>
      </c>
      <c r="F243" s="4">
        <f t="shared" si="19"/>
        <v>105.04031472753475</v>
      </c>
      <c r="G243" s="4">
        <f t="shared" si="20"/>
        <v>97.264246091780109</v>
      </c>
      <c r="H243" s="4">
        <f t="shared" si="21"/>
        <v>83.434262948207177</v>
      </c>
      <c r="I243" s="4">
        <f t="shared" si="22"/>
        <v>97.2761724301279</v>
      </c>
      <c r="J243" s="4">
        <f t="shared" si="23"/>
        <v>128.98648940925409</v>
      </c>
      <c r="K243" s="4">
        <f t="shared" si="24"/>
        <v>89.500240269101397</v>
      </c>
      <c r="L243" s="4">
        <f t="shared" si="25"/>
        <v>95.222903885480576</v>
      </c>
      <c r="M243" s="4">
        <f t="shared" si="26"/>
        <v>102.8001570264893</v>
      </c>
      <c r="N243" s="4">
        <f t="shared" si="27"/>
        <v>86.49578195976639</v>
      </c>
      <c r="O243" s="4">
        <f t="shared" si="28"/>
        <v>121.40460747036454</v>
      </c>
      <c r="P243" s="4">
        <f t="shared" si="29"/>
        <v>83.29192709014356</v>
      </c>
      <c r="Q243" s="4">
        <f t="shared" si="30"/>
        <v>91.785496970819338</v>
      </c>
      <c r="R243" s="4">
        <f t="shared" si="31"/>
        <v>100.54643137940072</v>
      </c>
      <c r="S243" s="4">
        <f t="shared" si="32"/>
        <v>102.81768986751261</v>
      </c>
      <c r="T243" s="4">
        <f t="shared" si="33"/>
        <v>127.33760466886575</v>
      </c>
      <c r="U243" s="4">
        <f t="shared" si="34"/>
        <v>94.145396991256519</v>
      </c>
      <c r="V243" s="4">
        <f t="shared" si="35"/>
        <v>107.17818072830812</v>
      </c>
      <c r="W243" s="4">
        <f t="shared" si="36"/>
        <v>72.947558770343591</v>
      </c>
      <c r="X243" s="4">
        <f t="shared" si="37"/>
        <v>97.066546319849024</v>
      </c>
      <c r="Y243" s="4">
        <f t="shared" si="38"/>
        <v>103.97974256172189</v>
      </c>
      <c r="Z243" s="4">
        <f t="shared" si="39"/>
        <v>102.52466825450834</v>
      </c>
      <c r="AA243" s="4">
        <f t="shared" si="40"/>
        <v>117.42227621624606</v>
      </c>
      <c r="AB243" s="4">
        <f t="shared" si="41"/>
        <v>87.329337329337321</v>
      </c>
      <c r="AC243" s="4">
        <f t="shared" si="42"/>
        <v>93.540592783505161</v>
      </c>
      <c r="AD243" s="4">
        <f t="shared" si="43"/>
        <v>90.016683350016677</v>
      </c>
      <c r="AE243" s="4">
        <f t="shared" si="44"/>
        <v>90.141352660873736</v>
      </c>
      <c r="AF243" s="4">
        <f t="shared" si="45"/>
        <v>101.56205931486342</v>
      </c>
      <c r="AG243" s="4">
        <f t="shared" si="46"/>
        <v>103.05383022774328</v>
      </c>
      <c r="AH243" s="4">
        <f t="shared" si="47"/>
        <v>103.75799819291551</v>
      </c>
      <c r="AI243" s="4">
        <f t="shared" si="48"/>
        <v>112.79801082346057</v>
      </c>
      <c r="AJ243" s="4">
        <f t="shared" si="49"/>
        <v>74.728198390540314</v>
      </c>
      <c r="AK243" s="4">
        <f t="shared" si="50"/>
        <v>106.92013185103289</v>
      </c>
      <c r="AL243" s="4">
        <f t="shared" si="51"/>
        <v>109.46513008412992</v>
      </c>
      <c r="AM243" s="4">
        <f t="shared" si="52"/>
        <v>75.341147841342377</v>
      </c>
      <c r="AN243" s="4">
        <f t="shared" si="53"/>
        <v>110.52913453299055</v>
      </c>
      <c r="AO243" s="4">
        <f t="shared" si="54"/>
        <v>111.09850939727804</v>
      </c>
      <c r="AP243" s="4">
        <f t="shared" si="55"/>
        <v>115.09402141833208</v>
      </c>
      <c r="AQ243" s="4">
        <f t="shared" si="56"/>
        <v>83.237961088123953</v>
      </c>
      <c r="AR243" s="4">
        <f t="shared" si="57"/>
        <v>94.316918448760717</v>
      </c>
      <c r="AS243" s="4">
        <f t="shared" si="58"/>
        <v>89.776312307911496</v>
      </c>
      <c r="AT243" s="4">
        <f t="shared" si="59"/>
        <v>112.38072396484678</v>
      </c>
      <c r="AU243" s="4">
        <f t="shared" si="60"/>
        <v>108.8666739106813</v>
      </c>
      <c r="AV243" s="4">
        <f t="shared" si="61"/>
        <v>83.579254930606297</v>
      </c>
      <c r="AW243" s="4">
        <f t="shared" si="62"/>
        <v>88.973197748754288</v>
      </c>
      <c r="AX243" s="4">
        <f t="shared" si="63"/>
        <v>67.036311120280601</v>
      </c>
    </row>
    <row r="244" spans="1:50" ht="14.25" customHeight="1" x14ac:dyDescent="0.3">
      <c r="A244" s="2">
        <v>45748</v>
      </c>
      <c r="B244" s="4">
        <f t="shared" si="15"/>
        <v>102.56704196519959</v>
      </c>
      <c r="C244" s="4">
        <f t="shared" si="16"/>
        <v>99.163095425071248</v>
      </c>
      <c r="D244" s="4">
        <f t="shared" si="17"/>
        <v>108.04975872657766</v>
      </c>
      <c r="E244" s="4">
        <f t="shared" si="18"/>
        <v>86.342691096548293</v>
      </c>
      <c r="F244" s="4">
        <f t="shared" si="19"/>
        <v>102.71101935885952</v>
      </c>
      <c r="G244" s="4">
        <f t="shared" si="20"/>
        <v>97.289460413514888</v>
      </c>
      <c r="H244" s="4">
        <f t="shared" si="21"/>
        <v>81.088977423638781</v>
      </c>
      <c r="I244" s="4">
        <f t="shared" si="22"/>
        <v>96.199560742431416</v>
      </c>
      <c r="J244" s="4">
        <f t="shared" si="23"/>
        <v>125.41923204475654</v>
      </c>
      <c r="K244" s="4">
        <f t="shared" si="24"/>
        <v>88.823118256083163</v>
      </c>
      <c r="L244" s="4">
        <f t="shared" si="25"/>
        <v>93.709611451942749</v>
      </c>
      <c r="M244" s="4">
        <f t="shared" si="26"/>
        <v>102.4339105841207</v>
      </c>
      <c r="N244" s="4">
        <f t="shared" si="27"/>
        <v>85.590525632706033</v>
      </c>
      <c r="O244" s="4">
        <f t="shared" si="28"/>
        <v>119.98993513755312</v>
      </c>
      <c r="P244" s="4">
        <f t="shared" si="29"/>
        <v>80.041319072151467</v>
      </c>
      <c r="Q244" s="4">
        <f t="shared" si="30"/>
        <v>89.862165665758354</v>
      </c>
      <c r="R244" s="4">
        <f t="shared" si="31"/>
        <v>99.402900323228778</v>
      </c>
      <c r="S244" s="4">
        <f t="shared" si="32"/>
        <v>101.28755364806865</v>
      </c>
      <c r="T244" s="4">
        <f t="shared" si="33"/>
        <v>122.88124841410809</v>
      </c>
      <c r="U244" s="4">
        <f t="shared" si="34"/>
        <v>91.79740922292055</v>
      </c>
      <c r="V244" s="4">
        <f t="shared" si="35"/>
        <v>105.54473250412109</v>
      </c>
      <c r="W244" s="4">
        <f t="shared" si="36"/>
        <v>73.059674502712483</v>
      </c>
      <c r="X244" s="4">
        <f t="shared" si="37"/>
        <v>96.393698203003211</v>
      </c>
      <c r="Y244" s="4">
        <f t="shared" si="38"/>
        <v>104.69297320109729</v>
      </c>
      <c r="Z244" s="4">
        <f t="shared" si="39"/>
        <v>99.353521605988448</v>
      </c>
      <c r="AA244" s="4">
        <f t="shared" si="40"/>
        <v>116.65470208183774</v>
      </c>
      <c r="AB244" s="4">
        <f t="shared" si="41"/>
        <v>87.445887445887465</v>
      </c>
      <c r="AC244" s="4">
        <f t="shared" si="42"/>
        <v>93.202319587628878</v>
      </c>
      <c r="AD244" s="4">
        <f t="shared" si="43"/>
        <v>89.669669669669673</v>
      </c>
      <c r="AE244" s="4">
        <f t="shared" si="44"/>
        <v>91.447906596266833</v>
      </c>
      <c r="AF244" s="4">
        <f t="shared" si="45"/>
        <v>100.49248258954722</v>
      </c>
      <c r="AG244" s="4">
        <f t="shared" si="46"/>
        <v>102.9114906832298</v>
      </c>
      <c r="AH244" s="4">
        <f t="shared" si="47"/>
        <v>102.98537736718852</v>
      </c>
      <c r="AI244" s="4">
        <f t="shared" si="48"/>
        <v>111.9789381307591</v>
      </c>
      <c r="AJ244" s="4">
        <f t="shared" si="49"/>
        <v>75.684020364591888</v>
      </c>
      <c r="AK244" s="4">
        <f t="shared" si="50"/>
        <v>107.2415699281371</v>
      </c>
      <c r="AL244" s="4">
        <f t="shared" si="51"/>
        <v>108.63611241888931</v>
      </c>
      <c r="AM244" s="4">
        <f t="shared" si="52"/>
        <v>78.900828375577419</v>
      </c>
      <c r="AN244" s="4">
        <f t="shared" si="53"/>
        <v>110.34347329334476</v>
      </c>
      <c r="AO244" s="4">
        <f t="shared" si="54"/>
        <v>112.26506804925469</v>
      </c>
      <c r="AP244" s="4">
        <f t="shared" si="55"/>
        <v>111.94029850746267</v>
      </c>
      <c r="AQ244" s="4">
        <f t="shared" si="56"/>
        <v>81.882207940839862</v>
      </c>
      <c r="AR244" s="4">
        <f t="shared" si="57"/>
        <v>94.450984239094879</v>
      </c>
      <c r="AS244" s="4">
        <f t="shared" si="58"/>
        <v>89.994775871310026</v>
      </c>
      <c r="AT244" s="4">
        <f t="shared" si="59"/>
        <v>109.20288489541399</v>
      </c>
      <c r="AU244" s="4">
        <f t="shared" si="60"/>
        <v>107.81810279256764</v>
      </c>
      <c r="AV244" s="4">
        <f t="shared" si="61"/>
        <v>84.163623082541989</v>
      </c>
      <c r="AW244" s="4">
        <f t="shared" si="62"/>
        <v>89.907632009750614</v>
      </c>
      <c r="AX244" s="4">
        <f t="shared" si="63"/>
        <v>70.425005157829602</v>
      </c>
    </row>
    <row r="245" spans="1:50" ht="14.25" customHeight="1" x14ac:dyDescent="0.3">
      <c r="A245" s="2">
        <v>45749</v>
      </c>
      <c r="B245" s="4">
        <f t="shared" si="15"/>
        <v>102.44831115660185</v>
      </c>
      <c r="C245" s="4">
        <f t="shared" si="16"/>
        <v>100.79315219098478</v>
      </c>
      <c r="D245" s="4">
        <f t="shared" si="17"/>
        <v>109.95801215767375</v>
      </c>
      <c r="E245" s="4">
        <f t="shared" si="18"/>
        <v>86.176123721868962</v>
      </c>
      <c r="F245" s="4">
        <f t="shared" si="19"/>
        <v>103.70817590464692</v>
      </c>
      <c r="G245" s="4">
        <f t="shared" si="20"/>
        <v>97.82526475037821</v>
      </c>
      <c r="H245" s="4">
        <f t="shared" si="21"/>
        <v>82.345285524568396</v>
      </c>
      <c r="I245" s="4">
        <f t="shared" si="22"/>
        <v>96.373971835838262</v>
      </c>
      <c r="J245" s="4">
        <f t="shared" si="23"/>
        <v>125.00108142401913</v>
      </c>
      <c r="K245" s="4">
        <f t="shared" si="24"/>
        <v>89.347341750032754</v>
      </c>
      <c r="L245" s="4">
        <f t="shared" si="25"/>
        <v>93.248807089297884</v>
      </c>
      <c r="M245" s="4">
        <f t="shared" si="26"/>
        <v>104.53057109463523</v>
      </c>
      <c r="N245" s="4">
        <f t="shared" si="27"/>
        <v>85.579169370538622</v>
      </c>
      <c r="O245" s="4">
        <f t="shared" si="28"/>
        <v>120.47640348915229</v>
      </c>
      <c r="P245" s="4">
        <f t="shared" si="29"/>
        <v>79.894871727817147</v>
      </c>
      <c r="Q245" s="4">
        <f t="shared" si="30"/>
        <v>90.671710891822528</v>
      </c>
      <c r="R245" s="4">
        <f t="shared" si="31"/>
        <v>98.287324189744027</v>
      </c>
      <c r="S245" s="4">
        <f t="shared" si="32"/>
        <v>101.18025751072963</v>
      </c>
      <c r="T245" s="4">
        <f t="shared" si="33"/>
        <v>122.49111900532858</v>
      </c>
      <c r="U245" s="4">
        <f t="shared" si="34"/>
        <v>95.224119120426565</v>
      </c>
      <c r="V245" s="4">
        <f t="shared" si="35"/>
        <v>105.42484639592386</v>
      </c>
      <c r="W245" s="4">
        <f t="shared" si="36"/>
        <v>76.683544303797476</v>
      </c>
      <c r="X245" s="4">
        <f t="shared" si="37"/>
        <v>98.092229424796912</v>
      </c>
      <c r="Y245" s="4">
        <f t="shared" si="38"/>
        <v>105.77759020890485</v>
      </c>
      <c r="Z245" s="4">
        <f t="shared" si="39"/>
        <v>96.087104457298409</v>
      </c>
      <c r="AA245" s="4">
        <f t="shared" si="40"/>
        <v>116.61604726931361</v>
      </c>
      <c r="AB245" s="4">
        <f t="shared" si="41"/>
        <v>87.778887778887778</v>
      </c>
      <c r="AC245" s="4">
        <f t="shared" si="42"/>
        <v>92.38079896907216</v>
      </c>
      <c r="AD245" s="4">
        <f t="shared" si="43"/>
        <v>89.67634300967633</v>
      </c>
      <c r="AE245" s="4">
        <f t="shared" si="44"/>
        <v>92.36203671393676</v>
      </c>
      <c r="AF245" s="4">
        <f t="shared" si="45"/>
        <v>100.08678107304796</v>
      </c>
      <c r="AG245" s="4">
        <f t="shared" si="46"/>
        <v>102.87267080745342</v>
      </c>
      <c r="AH245" s="4">
        <f t="shared" si="47"/>
        <v>101.91126846268742</v>
      </c>
      <c r="AI245" s="4">
        <f t="shared" si="48"/>
        <v>113.12710253034956</v>
      </c>
      <c r="AJ245" s="4">
        <f t="shared" si="49"/>
        <v>75.473805222532434</v>
      </c>
      <c r="AK245" s="4">
        <f t="shared" si="50"/>
        <v>107.13920111377269</v>
      </c>
      <c r="AL245" s="4">
        <f t="shared" si="51"/>
        <v>109.62479274558368</v>
      </c>
      <c r="AM245" s="4">
        <f t="shared" si="52"/>
        <v>80.396997757514455</v>
      </c>
      <c r="AN245" s="4">
        <f t="shared" si="53"/>
        <v>111.3860325621251</v>
      </c>
      <c r="AO245" s="4">
        <f t="shared" si="54"/>
        <v>112.79163966299417</v>
      </c>
      <c r="AP245" s="4">
        <f t="shared" si="55"/>
        <v>111.51024538325322</v>
      </c>
      <c r="AQ245" s="4">
        <f t="shared" si="56"/>
        <v>83.519676027819344</v>
      </c>
      <c r="AR245" s="4">
        <f t="shared" si="57"/>
        <v>94.980707605781163</v>
      </c>
      <c r="AS245" s="4">
        <f t="shared" si="58"/>
        <v>91.349657039343782</v>
      </c>
      <c r="AT245" s="4">
        <f t="shared" si="59"/>
        <v>109.53694344988266</v>
      </c>
      <c r="AU245" s="4">
        <f t="shared" si="60"/>
        <v>115.47321525589483</v>
      </c>
      <c r="AV245" s="4">
        <f t="shared" si="61"/>
        <v>84.002921840759683</v>
      </c>
      <c r="AW245" s="4">
        <f t="shared" si="62"/>
        <v>90.431010790206344</v>
      </c>
      <c r="AX245" s="4">
        <f t="shared" si="63"/>
        <v>72.462347844027235</v>
      </c>
    </row>
    <row r="246" spans="1:50" ht="14.25" customHeight="1" x14ac:dyDescent="0.3">
      <c r="A246" s="2">
        <v>45750</v>
      </c>
      <c r="B246" s="4">
        <f t="shared" si="15"/>
        <v>102.24769703172979</v>
      </c>
      <c r="C246" s="4">
        <f t="shared" si="16"/>
        <v>100.67760102313265</v>
      </c>
      <c r="D246" s="4">
        <f t="shared" si="17"/>
        <v>109.41906373378455</v>
      </c>
      <c r="E246" s="4">
        <f t="shared" si="18"/>
        <v>82.75237388904425</v>
      </c>
      <c r="F246" s="4">
        <f t="shared" si="19"/>
        <v>103.57574105090951</v>
      </c>
      <c r="G246" s="4">
        <f t="shared" si="20"/>
        <v>98.23499747856782</v>
      </c>
      <c r="H246" s="4">
        <f t="shared" si="21"/>
        <v>79.4953519256308</v>
      </c>
      <c r="I246" s="4">
        <f t="shared" si="22"/>
        <v>96.660350544765535</v>
      </c>
      <c r="J246" s="4">
        <f t="shared" si="23"/>
        <v>123.92542499963952</v>
      </c>
      <c r="K246" s="4">
        <f t="shared" si="24"/>
        <v>89.423791009567068</v>
      </c>
      <c r="L246" s="4">
        <f t="shared" si="25"/>
        <v>93.255623721881392</v>
      </c>
      <c r="M246" s="4">
        <f t="shared" si="26"/>
        <v>104.28075622529734</v>
      </c>
      <c r="N246" s="4">
        <f t="shared" si="27"/>
        <v>84.732316677482146</v>
      </c>
      <c r="O246" s="4">
        <f t="shared" si="28"/>
        <v>119.24625363453364</v>
      </c>
      <c r="P246" s="4">
        <f t="shared" si="29"/>
        <v>76.890086037814783</v>
      </c>
      <c r="Q246" s="4">
        <f t="shared" si="30"/>
        <v>93.65327125056217</v>
      </c>
      <c r="R246" s="4">
        <f t="shared" si="31"/>
        <v>101.39425176902246</v>
      </c>
      <c r="S246" s="4">
        <f t="shared" si="32"/>
        <v>101.68408285127822</v>
      </c>
      <c r="T246" s="4">
        <f t="shared" si="33"/>
        <v>121.82504440497335</v>
      </c>
      <c r="U246" s="4">
        <f t="shared" si="34"/>
        <v>96.118444304439365</v>
      </c>
      <c r="V246" s="4">
        <f t="shared" si="35"/>
        <v>107.56781057994904</v>
      </c>
      <c r="W246" s="4">
        <f t="shared" si="36"/>
        <v>76.274864376130211</v>
      </c>
      <c r="X246" s="4">
        <f t="shared" si="37"/>
        <v>98.457372610158373</v>
      </c>
      <c r="Y246" s="4">
        <f t="shared" si="38"/>
        <v>102.68411057185061</v>
      </c>
      <c r="Z246" s="4">
        <f t="shared" si="39"/>
        <v>97.822388567540003</v>
      </c>
      <c r="AA246" s="4">
        <f t="shared" si="40"/>
        <v>115.30730575956707</v>
      </c>
      <c r="AB246" s="4">
        <f t="shared" si="41"/>
        <v>85.364635364635362</v>
      </c>
      <c r="AC246" s="4">
        <f t="shared" si="42"/>
        <v>96.359536082474236</v>
      </c>
      <c r="AD246" s="4">
        <f t="shared" si="43"/>
        <v>87.280613947280614</v>
      </c>
      <c r="AE246" s="4">
        <f t="shared" si="44"/>
        <v>90.522907597347995</v>
      </c>
      <c r="AF246" s="4">
        <f t="shared" si="45"/>
        <v>101.94172650944829</v>
      </c>
      <c r="AG246" s="4">
        <f t="shared" si="46"/>
        <v>102.75621118012424</v>
      </c>
      <c r="AH246" s="4">
        <f t="shared" si="47"/>
        <v>103.52197082849295</v>
      </c>
      <c r="AI246" s="4">
        <f t="shared" si="48"/>
        <v>112.34459558285796</v>
      </c>
      <c r="AJ246" s="4">
        <f t="shared" si="49"/>
        <v>75.680735752997194</v>
      </c>
      <c r="AK246" s="4">
        <f t="shared" si="50"/>
        <v>108.58874352517249</v>
      </c>
      <c r="AL246" s="4">
        <f t="shared" si="51"/>
        <v>110.10889812294022</v>
      </c>
      <c r="AM246" s="4">
        <f t="shared" si="52"/>
        <v>80.295130905978311</v>
      </c>
      <c r="AN246" s="4">
        <f t="shared" si="53"/>
        <v>110.12924878606111</v>
      </c>
      <c r="AO246" s="4">
        <f t="shared" si="54"/>
        <v>112.26506804925469</v>
      </c>
      <c r="AP246" s="4">
        <f t="shared" si="55"/>
        <v>110.06830255502149</v>
      </c>
      <c r="AQ246" s="4">
        <f t="shared" si="56"/>
        <v>80.36799013997711</v>
      </c>
      <c r="AR246" s="4">
        <f t="shared" si="57"/>
        <v>97.815708586750389</v>
      </c>
      <c r="AS246" s="4">
        <f t="shared" si="58"/>
        <v>90.524651781292192</v>
      </c>
      <c r="AT246" s="4">
        <f t="shared" si="59"/>
        <v>112.06379661829955</v>
      </c>
      <c r="AU246" s="4">
        <f t="shared" si="60"/>
        <v>116.37509507769207</v>
      </c>
      <c r="AV246" s="4">
        <f t="shared" si="61"/>
        <v>84.10883856829804</v>
      </c>
      <c r="AW246" s="4">
        <f t="shared" si="62"/>
        <v>89.69971441203532</v>
      </c>
      <c r="AX246" s="4">
        <f t="shared" si="63"/>
        <v>73.179286156385388</v>
      </c>
    </row>
    <row r="247" spans="1:50" ht="14.25" customHeight="1" x14ac:dyDescent="0.3">
      <c r="A247" s="2">
        <v>45751</v>
      </c>
      <c r="B247" s="4">
        <f t="shared" ref="B247:B310" si="64">B78/$B$13*100</f>
        <v>98.644831115660182</v>
      </c>
      <c r="C247" s="4">
        <f t="shared" ref="C247:C310" si="65">C78/$C$13*100</f>
        <v>101.93744530952009</v>
      </c>
      <c r="D247" s="4">
        <f t="shared" ref="D247:D310" si="66">D78/$D$13*100</f>
        <v>109.25925925925925</v>
      </c>
      <c r="E247" s="4">
        <f t="shared" ref="E247:E310" si="67">E78/$E$13*100</f>
        <v>80.229546863791654</v>
      </c>
      <c r="F247" s="4">
        <f t="shared" ref="F247:F310" si="68">F78/$F$13*100</f>
        <v>104.02368246796246</v>
      </c>
      <c r="G247" s="4">
        <f t="shared" ref="G247:G310" si="69">G78/$G$13*100</f>
        <v>96.753656076651524</v>
      </c>
      <c r="H247" s="4">
        <f t="shared" ref="H247:H310" si="70">H78/$H$13*100</f>
        <v>77.112881806108902</v>
      </c>
      <c r="I247" s="4">
        <f t="shared" ref="I247:I310" si="71">I78/$I$13*100</f>
        <v>96.660350544765535</v>
      </c>
      <c r="J247" s="4">
        <f t="shared" ref="J247:J310" si="72">J78/$J$13*100</f>
        <v>125.7177050740415</v>
      </c>
      <c r="K247" s="4">
        <f t="shared" ref="K247:K310" si="73">K78/$K$13*100</f>
        <v>89.489318946310775</v>
      </c>
      <c r="L247" s="4">
        <f t="shared" ref="L247:L310" si="74">L78/$L$13*100</f>
        <v>88.892978868438988</v>
      </c>
      <c r="M247" s="4">
        <f t="shared" ref="M247:M310" si="75">M78/$M$13*100</f>
        <v>102.441940347778</v>
      </c>
      <c r="N247" s="4">
        <f t="shared" ref="N247:N310" si="76">N78/$N$13*100</f>
        <v>84.248864373783249</v>
      </c>
      <c r="O247" s="4">
        <f t="shared" ref="O247:O310" si="77">O78/$O$13*100</f>
        <v>119.20990829791991</v>
      </c>
      <c r="P247" s="4">
        <f t="shared" ref="P247:P310" si="78">P78/$P$13*100</f>
        <v>74.37956013494076</v>
      </c>
      <c r="Q247" s="4">
        <f t="shared" ref="Q247:Q310" si="79">Q78/$Q$13*100</f>
        <v>90.44419164528162</v>
      </c>
      <c r="R247" s="4">
        <f t="shared" ref="R247:R310" si="80">R78/$R$13*100</f>
        <v>100.45120992399754</v>
      </c>
      <c r="S247" s="4">
        <f t="shared" ref="S247:S310" si="81">S78/$S$13*100</f>
        <v>101.81936928531444</v>
      </c>
      <c r="T247" s="4">
        <f t="shared" ref="T247:T310" si="82">T78/$T$13*100</f>
        <v>121.30804364374524</v>
      </c>
      <c r="U247" s="4">
        <f t="shared" ref="U247:U310" si="83">U78/$U$13*100</f>
        <v>94.540313782135016</v>
      </c>
      <c r="V247" s="4">
        <f t="shared" ref="V247:V310" si="84">V78/$V$13*100</f>
        <v>105.02023078075825</v>
      </c>
      <c r="W247" s="4">
        <f t="shared" ref="W247:W310" si="85">W78/$W$13*100</f>
        <v>76.141048824593142</v>
      </c>
      <c r="X247" s="4">
        <f t="shared" ref="X247:X310" si="86">X78/$X$13*100</f>
        <v>94.227455485353246</v>
      </c>
      <c r="Y247" s="4">
        <f t="shared" ref="Y247:Y310" si="87">Y78/$Y$13*100</f>
        <v>95.38299219244567</v>
      </c>
      <c r="Z247" s="4">
        <f t="shared" ref="Z247:Z310" si="88">Z78/$Z$13*100</f>
        <v>95.270500170125899</v>
      </c>
      <c r="AA247" s="4">
        <f t="shared" ref="AA247:AA310" si="89">AA78/$AA$13*100</f>
        <v>111.07736484620905</v>
      </c>
      <c r="AB247" s="4">
        <f t="shared" ref="AB247:AB310" si="90">AB78/$AB$13*100</f>
        <v>82.017982017982021</v>
      </c>
      <c r="AC247" s="4">
        <f t="shared" ref="AC247:AC310" si="91">AC78/AC$13*100</f>
        <v>94.68427835051547</v>
      </c>
      <c r="AD247" s="4">
        <f t="shared" ref="AD247:AD310" si="92">AD78/$AD$13*100</f>
        <v>81.928595261928606</v>
      </c>
      <c r="AE247" s="4">
        <f t="shared" ref="AE247:AE310" si="93">AE78/$AE$13*100</f>
        <v>87.924672932481371</v>
      </c>
      <c r="AF247" s="4">
        <f t="shared" ref="AF247:AF310" si="94">AF78/$AF$13*100</f>
        <v>102.23027357733278</v>
      </c>
      <c r="AG247" s="4">
        <f t="shared" ref="AG247:AG310" si="95">AG78/$AG$13*100</f>
        <v>99.650621118012424</v>
      </c>
      <c r="AH247" s="4">
        <f t="shared" ref="AH247:AH310" si="96">AH78/$AH$13*100</f>
        <v>104.28260588962033</v>
      </c>
      <c r="AI247" s="4">
        <f t="shared" ref="AI247:AI310" si="97">AI78/$AI$13*100</f>
        <v>102.66929940032176</v>
      </c>
      <c r="AJ247" s="4">
        <f t="shared" ref="AJ247:AJ310" si="98">AJ78/$AJ$13*100</f>
        <v>73.02348497290194</v>
      </c>
      <c r="AK247" s="4">
        <f t="shared" ref="AK247:AK310" si="99">AK78/$AK$13*100</f>
        <v>107.15558012407101</v>
      </c>
      <c r="AL247" s="4">
        <f t="shared" ref="AL247:AL310" si="100">AL78/$AL$13*100</f>
        <v>107.42226680040119</v>
      </c>
      <c r="AM247" s="4">
        <f t="shared" ref="AM247:AM310" si="101">AM78/$AM$13*100</f>
        <v>78.704168759417399</v>
      </c>
      <c r="AN247" s="4">
        <f t="shared" ref="AN247:AN310" si="102">AN78/$AN$13*100</f>
        <v>108.01199657240785</v>
      </c>
      <c r="AO247" s="4">
        <f t="shared" ref="AO247:AO310" si="103">AO78/$AO$13*100</f>
        <v>111.64128321451716</v>
      </c>
      <c r="AP247" s="4">
        <f t="shared" ref="AP247:AP310" si="104">AP78/$AP$13*100</f>
        <v>101.18053798802597</v>
      </c>
      <c r="AQ247" s="4">
        <f t="shared" ref="AQ247:AQ310" si="105">AQ78/$AQ$13*100</f>
        <v>77.527364498048541</v>
      </c>
      <c r="AR247" s="4">
        <f t="shared" ref="AR247:AR310" si="106">AR78/$AR$13*100</f>
        <v>92.554443790464973</v>
      </c>
      <c r="AS247" s="4">
        <f t="shared" ref="AS247:AS310" si="107">AS78/$AS$13*100</f>
        <v>91.110839727802542</v>
      </c>
      <c r="AT247" s="4">
        <f t="shared" ref="AT247:AT310" si="108">AT78/$AT$13*100</f>
        <v>111.96957497473147</v>
      </c>
      <c r="AU247" s="4">
        <f t="shared" ref="AU247:AU310" si="109">AU78/$AU$13*100</f>
        <v>118.20601977615995</v>
      </c>
      <c r="AV247" s="4">
        <f t="shared" ref="AV247:AV310" si="110">AV78/$AV$13*100</f>
        <v>81.077428780131484</v>
      </c>
      <c r="AW247" s="4">
        <f t="shared" ref="AW247:AW310" si="111">AW78/$AW$13*100</f>
        <v>87.449663627564604</v>
      </c>
      <c r="AX247" s="4">
        <f t="shared" ref="AX247:AX310" si="112">AX78/$AX$13*100</f>
        <v>70.352795543635253</v>
      </c>
    </row>
    <row r="248" spans="1:50" ht="14.25" customHeight="1" x14ac:dyDescent="0.3">
      <c r="A248" s="2">
        <v>45754</v>
      </c>
      <c r="B248" s="4">
        <f t="shared" si="64"/>
        <v>95.451381780962123</v>
      </c>
      <c r="C248" s="4">
        <f t="shared" si="65"/>
        <v>98.594314433799283</v>
      </c>
      <c r="D248" s="4">
        <f t="shared" si="66"/>
        <v>105.69969292473522</v>
      </c>
      <c r="E248" s="4">
        <f t="shared" si="67"/>
        <v>79.613125995452833</v>
      </c>
      <c r="F248" s="4">
        <f t="shared" si="68"/>
        <v>100.30382113504459</v>
      </c>
      <c r="G248" s="4">
        <f t="shared" si="69"/>
        <v>94.162884518406443</v>
      </c>
      <c r="H248" s="4">
        <f t="shared" si="70"/>
        <v>74.196547144754305</v>
      </c>
      <c r="I248" s="4">
        <f t="shared" si="71"/>
        <v>96.869213212178636</v>
      </c>
      <c r="J248" s="4">
        <f t="shared" si="72"/>
        <v>123.54187994751489</v>
      </c>
      <c r="K248" s="4">
        <f t="shared" si="73"/>
        <v>88.692062382595779</v>
      </c>
      <c r="L248" s="4">
        <f t="shared" si="74"/>
        <v>83.667348329925005</v>
      </c>
      <c r="M248" s="4">
        <f t="shared" si="75"/>
        <v>101.08357199575315</v>
      </c>
      <c r="N248" s="4">
        <f t="shared" si="76"/>
        <v>80.832251784555481</v>
      </c>
      <c r="O248" s="4">
        <f t="shared" si="77"/>
        <v>113.94822187430103</v>
      </c>
      <c r="P248" s="4">
        <f t="shared" si="78"/>
        <v>71.869034232066724</v>
      </c>
      <c r="Q248" s="4">
        <f t="shared" si="79"/>
        <v>88.168999179872472</v>
      </c>
      <c r="R248" s="4">
        <f t="shared" si="80"/>
        <v>97.768847733030483</v>
      </c>
      <c r="S248" s="4">
        <f t="shared" si="81"/>
        <v>97.774771412576982</v>
      </c>
      <c r="T248" s="4">
        <f t="shared" si="82"/>
        <v>117.52410555696524</v>
      </c>
      <c r="U248" s="4">
        <f t="shared" si="83"/>
        <v>92.880741275719529</v>
      </c>
      <c r="V248" s="4">
        <f t="shared" si="84"/>
        <v>104.84040161846247</v>
      </c>
      <c r="W248" s="4">
        <f t="shared" si="85"/>
        <v>75.815551537070533</v>
      </c>
      <c r="X248" s="4">
        <f t="shared" si="86"/>
        <v>91.133995240830416</v>
      </c>
      <c r="Y248" s="4">
        <f t="shared" si="87"/>
        <v>92.779067313779279</v>
      </c>
      <c r="Z248" s="4">
        <f t="shared" si="88"/>
        <v>92.582511058183087</v>
      </c>
      <c r="AA248" s="4">
        <f t="shared" si="89"/>
        <v>102.74449168921531</v>
      </c>
      <c r="AB248" s="4">
        <f t="shared" si="90"/>
        <v>80.885780885780889</v>
      </c>
      <c r="AC248" s="4">
        <f t="shared" si="91"/>
        <v>93.234536082474222</v>
      </c>
      <c r="AD248" s="4">
        <f t="shared" si="92"/>
        <v>77.377377377377371</v>
      </c>
      <c r="AE248" s="4">
        <f t="shared" si="93"/>
        <v>83.596570009896411</v>
      </c>
      <c r="AF248" s="4">
        <f t="shared" si="94"/>
        <v>101.59243269043021</v>
      </c>
      <c r="AG248" s="4">
        <f t="shared" si="95"/>
        <v>97.696687370600415</v>
      </c>
      <c r="AH248" s="4">
        <f t="shared" si="96"/>
        <v>103.67686378639524</v>
      </c>
      <c r="AI248" s="4">
        <f t="shared" si="97"/>
        <v>94.690653795524341</v>
      </c>
      <c r="AJ248" s="4">
        <f t="shared" si="98"/>
        <v>70.13302676958449</v>
      </c>
      <c r="AK248" s="4">
        <f t="shared" si="99"/>
        <v>102.7414368486784</v>
      </c>
      <c r="AL248" s="4">
        <f t="shared" si="100"/>
        <v>103.68349947802588</v>
      </c>
      <c r="AM248" s="4">
        <f t="shared" si="101"/>
        <v>67.075784693090739</v>
      </c>
      <c r="AN248" s="4">
        <f t="shared" si="102"/>
        <v>104.31305341331046</v>
      </c>
      <c r="AO248" s="4">
        <f t="shared" si="103"/>
        <v>107.89857420609204</v>
      </c>
      <c r="AP248" s="4">
        <f t="shared" si="104"/>
        <v>94.746605953284416</v>
      </c>
      <c r="AQ248" s="4">
        <f t="shared" si="105"/>
        <v>75.593508818264525</v>
      </c>
      <c r="AR248" s="4">
        <f t="shared" si="106"/>
        <v>90.556536524753113</v>
      </c>
      <c r="AS248" s="4">
        <f t="shared" si="107"/>
        <v>90.686803308162524</v>
      </c>
      <c r="AT248" s="4">
        <f t="shared" si="108"/>
        <v>105.18561663782913</v>
      </c>
      <c r="AU248" s="4">
        <f t="shared" si="109"/>
        <v>113.80528088666739</v>
      </c>
      <c r="AV248" s="4">
        <f t="shared" si="110"/>
        <v>79.46676406135866</v>
      </c>
      <c r="AW248" s="4">
        <f t="shared" si="111"/>
        <v>84.287882227825108</v>
      </c>
      <c r="AX248" s="4">
        <f t="shared" si="112"/>
        <v>69.723540334227366</v>
      </c>
    </row>
    <row r="249" spans="1:50" ht="14.25" customHeight="1" x14ac:dyDescent="0.3">
      <c r="A249" s="2">
        <v>45755</v>
      </c>
      <c r="B249" s="4">
        <f t="shared" si="64"/>
        <v>96.80245649948823</v>
      </c>
      <c r="C249" s="4">
        <f t="shared" si="65"/>
        <v>99.237137920976465</v>
      </c>
      <c r="D249" s="4">
        <f t="shared" si="66"/>
        <v>107.81475214639345</v>
      </c>
      <c r="E249" s="4">
        <f t="shared" si="67"/>
        <v>80.072706051137388</v>
      </c>
      <c r="F249" s="4">
        <f t="shared" si="68"/>
        <v>101.26592139601918</v>
      </c>
      <c r="G249" s="4">
        <f t="shared" si="69"/>
        <v>96.89863842662632</v>
      </c>
      <c r="H249" s="4">
        <f t="shared" si="70"/>
        <v>75.899070385126151</v>
      </c>
      <c r="I249" s="4">
        <f t="shared" si="71"/>
        <v>98.585332242366846</v>
      </c>
      <c r="J249" s="4">
        <f t="shared" si="72"/>
        <v>127.20718642308191</v>
      </c>
      <c r="K249" s="4">
        <f t="shared" si="73"/>
        <v>90.111834345375925</v>
      </c>
      <c r="L249" s="4">
        <f t="shared" si="74"/>
        <v>86.192229038854805</v>
      </c>
      <c r="M249" s="4">
        <f t="shared" si="75"/>
        <v>102.23584308057421</v>
      </c>
      <c r="N249" s="4">
        <f t="shared" si="76"/>
        <v>81.883517196625561</v>
      </c>
      <c r="O249" s="4">
        <f t="shared" si="77"/>
        <v>114.91556698725117</v>
      </c>
      <c r="P249" s="4">
        <f t="shared" si="78"/>
        <v>73.398885954130591</v>
      </c>
      <c r="Q249" s="4">
        <f t="shared" si="79"/>
        <v>89.333051138918989</v>
      </c>
      <c r="R249" s="4">
        <f t="shared" si="80"/>
        <v>98.457674499868958</v>
      </c>
      <c r="S249" s="4">
        <f t="shared" si="81"/>
        <v>100.56447098339243</v>
      </c>
      <c r="T249" s="4">
        <f t="shared" si="82"/>
        <v>120.73077899010403</v>
      </c>
      <c r="U249" s="4">
        <f t="shared" si="83"/>
        <v>95.957096977426758</v>
      </c>
      <c r="V249" s="4">
        <f t="shared" si="84"/>
        <v>105.7845047205155</v>
      </c>
      <c r="W249" s="4">
        <f t="shared" si="85"/>
        <v>77.826401446654614</v>
      </c>
      <c r="X249" s="4">
        <f t="shared" si="86"/>
        <v>92.832526462624102</v>
      </c>
      <c r="Y249" s="4">
        <f t="shared" si="87"/>
        <v>95.657311669128504</v>
      </c>
      <c r="Z249" s="4">
        <f t="shared" si="88"/>
        <v>95.763865260292619</v>
      </c>
      <c r="AA249" s="4">
        <f t="shared" si="89"/>
        <v>105.42824010160695</v>
      </c>
      <c r="AB249" s="4">
        <f t="shared" si="90"/>
        <v>82.334332334332345</v>
      </c>
      <c r="AC249" s="4">
        <f t="shared" si="91"/>
        <v>93.089561855670112</v>
      </c>
      <c r="AD249" s="4">
        <f t="shared" si="92"/>
        <v>78.591925258591928</v>
      </c>
      <c r="AE249" s="4">
        <f t="shared" si="93"/>
        <v>85.78464741921276</v>
      </c>
      <c r="AF249" s="4">
        <f t="shared" si="94"/>
        <v>103.88562254572275</v>
      </c>
      <c r="AG249" s="4">
        <f t="shared" si="95"/>
        <v>99.081262939958592</v>
      </c>
      <c r="AH249" s="4">
        <f t="shared" si="96"/>
        <v>104.89387988419909</v>
      </c>
      <c r="AI249" s="4">
        <f t="shared" si="97"/>
        <v>95.275705718882548</v>
      </c>
      <c r="AJ249" s="4">
        <f t="shared" si="98"/>
        <v>73.841353259977012</v>
      </c>
      <c r="AK249" s="4">
        <f t="shared" si="99"/>
        <v>106.05613905779742</v>
      </c>
      <c r="AL249" s="4">
        <f t="shared" si="100"/>
        <v>107.08349538411153</v>
      </c>
      <c r="AM249" s="4">
        <f t="shared" si="101"/>
        <v>67.447174255982915</v>
      </c>
      <c r="AN249" s="4">
        <f t="shared" si="102"/>
        <v>106.25535561268207</v>
      </c>
      <c r="AO249" s="4">
        <f t="shared" si="103"/>
        <v>111.10661049902785</v>
      </c>
      <c r="AP249" s="4">
        <f t="shared" si="104"/>
        <v>95.851252213508715</v>
      </c>
      <c r="AQ249" s="4">
        <f t="shared" si="105"/>
        <v>77.14294098658921</v>
      </c>
      <c r="AR249" s="4">
        <f t="shared" si="106"/>
        <v>93.685828264992466</v>
      </c>
      <c r="AS249" s="4">
        <f t="shared" si="107"/>
        <v>91.667853968641666</v>
      </c>
      <c r="AT249" s="4">
        <f t="shared" si="108"/>
        <v>109.88813321227281</v>
      </c>
      <c r="AU249" s="4">
        <f t="shared" si="109"/>
        <v>116.239269803325</v>
      </c>
      <c r="AV249" s="4">
        <f t="shared" si="110"/>
        <v>80.931336742147565</v>
      </c>
      <c r="AW249" s="4">
        <f t="shared" si="111"/>
        <v>85.417089870589209</v>
      </c>
      <c r="AX249" s="4">
        <f t="shared" si="112"/>
        <v>70.110377553125645</v>
      </c>
    </row>
    <row r="250" spans="1:50" ht="14.25" customHeight="1" x14ac:dyDescent="0.3">
      <c r="A250" s="2">
        <v>45756</v>
      </c>
      <c r="B250" s="4">
        <f t="shared" si="64"/>
        <v>97.060388945752294</v>
      </c>
      <c r="C250" s="4">
        <f t="shared" si="65"/>
        <v>99.003791873275148</v>
      </c>
      <c r="D250" s="4">
        <f t="shared" si="66"/>
        <v>107.51081030268845</v>
      </c>
      <c r="E250" s="4">
        <f t="shared" si="67"/>
        <v>78.945640676482384</v>
      </c>
      <c r="F250" s="4">
        <f t="shared" si="68"/>
        <v>101.33603396564483</v>
      </c>
      <c r="G250" s="4">
        <f t="shared" si="69"/>
        <v>93.570347957639939</v>
      </c>
      <c r="H250" s="4">
        <f t="shared" si="70"/>
        <v>74.565737051792837</v>
      </c>
      <c r="I250" s="4">
        <f t="shared" si="71"/>
        <v>101.20149864346928</v>
      </c>
      <c r="J250" s="4">
        <f t="shared" si="72"/>
        <v>125.96138595302295</v>
      </c>
      <c r="K250" s="4">
        <f t="shared" si="73"/>
        <v>90.930933554672137</v>
      </c>
      <c r="L250" s="4">
        <f t="shared" si="74"/>
        <v>83.276073619631902</v>
      </c>
      <c r="M250" s="4">
        <f t="shared" si="75"/>
        <v>102.2224601411454</v>
      </c>
      <c r="N250" s="4">
        <f t="shared" si="76"/>
        <v>81.865671641791039</v>
      </c>
      <c r="O250" s="4">
        <f t="shared" si="77"/>
        <v>114.7785730261686</v>
      </c>
      <c r="P250" s="4">
        <f t="shared" si="78"/>
        <v>72.177619707628338</v>
      </c>
      <c r="Q250" s="4">
        <f t="shared" si="79"/>
        <v>87.420302124394823</v>
      </c>
      <c r="R250" s="4">
        <f t="shared" si="80"/>
        <v>99.56364112867999</v>
      </c>
      <c r="S250" s="4">
        <f t="shared" si="81"/>
        <v>99.052994961746606</v>
      </c>
      <c r="T250" s="4">
        <f t="shared" si="82"/>
        <v>120.25501141842172</v>
      </c>
      <c r="U250" s="4">
        <f t="shared" si="83"/>
        <v>97.550593911827548</v>
      </c>
      <c r="V250" s="4">
        <f t="shared" si="84"/>
        <v>104.70552974674061</v>
      </c>
      <c r="W250" s="4">
        <f t="shared" si="85"/>
        <v>76.452079566003619</v>
      </c>
      <c r="X250" s="4">
        <f t="shared" si="86"/>
        <v>92.869451054402234</v>
      </c>
      <c r="Y250" s="4">
        <f t="shared" si="87"/>
        <v>93.665330238446927</v>
      </c>
      <c r="Z250" s="4">
        <f t="shared" si="88"/>
        <v>95.321537938074172</v>
      </c>
      <c r="AA250" s="4">
        <f t="shared" si="89"/>
        <v>104.42873709205367</v>
      </c>
      <c r="AB250" s="4">
        <f t="shared" si="90"/>
        <v>78.8045288045288</v>
      </c>
      <c r="AC250" s="4">
        <f t="shared" si="91"/>
        <v>94.523195876288668</v>
      </c>
      <c r="AD250" s="4">
        <f t="shared" si="92"/>
        <v>77.797797797797799</v>
      </c>
      <c r="AE250" s="4">
        <f t="shared" si="93"/>
        <v>86.634136295770858</v>
      </c>
      <c r="AF250" s="4">
        <f t="shared" si="94"/>
        <v>104.6210921398043</v>
      </c>
      <c r="AG250" s="4">
        <f t="shared" si="95"/>
        <v>96.946169772256738</v>
      </c>
      <c r="AH250" s="4">
        <f t="shared" si="96"/>
        <v>108.09592299607237</v>
      </c>
      <c r="AI250" s="4">
        <f t="shared" si="97"/>
        <v>93.008629515869529</v>
      </c>
      <c r="AJ250" s="4">
        <f t="shared" si="98"/>
        <v>72.563639349646905</v>
      </c>
      <c r="AK250" s="4">
        <f t="shared" si="99"/>
        <v>104.73353397620949</v>
      </c>
      <c r="AL250" s="4">
        <f t="shared" si="100"/>
        <v>107.6351503490062</v>
      </c>
      <c r="AM250" s="4">
        <f t="shared" si="101"/>
        <v>65.367392703786749</v>
      </c>
      <c r="AN250" s="4">
        <f t="shared" si="102"/>
        <v>105.80191373893173</v>
      </c>
      <c r="AO250" s="4">
        <f t="shared" si="103"/>
        <v>110.95268956578093</v>
      </c>
      <c r="AP250" s="4">
        <f t="shared" si="104"/>
        <v>95.117632178092578</v>
      </c>
      <c r="AQ250" s="4">
        <f t="shared" si="105"/>
        <v>74.698476978607275</v>
      </c>
      <c r="AR250" s="4">
        <f t="shared" si="106"/>
        <v>92.577333071741535</v>
      </c>
      <c r="AS250" s="4">
        <f t="shared" si="107"/>
        <v>92.733033454777356</v>
      </c>
      <c r="AT250" s="4">
        <f t="shared" si="108"/>
        <v>106.99295907354428</v>
      </c>
      <c r="AU250" s="4">
        <f t="shared" si="109"/>
        <v>118.41247419319787</v>
      </c>
      <c r="AV250" s="4">
        <f t="shared" si="110"/>
        <v>79.915997078159236</v>
      </c>
      <c r="AW250" s="4">
        <f t="shared" si="111"/>
        <v>86.295362481627961</v>
      </c>
      <c r="AX250" s="4">
        <f t="shared" si="112"/>
        <v>69.99690530224882</v>
      </c>
    </row>
    <row r="251" spans="1:50" ht="14.25" customHeight="1" x14ac:dyDescent="0.3">
      <c r="A251" s="2">
        <v>45758</v>
      </c>
      <c r="B251" s="4">
        <f t="shared" si="64"/>
        <v>99.811668372569102</v>
      </c>
      <c r="C251" s="4">
        <f t="shared" si="65"/>
        <v>101.34622719827684</v>
      </c>
      <c r="D251" s="4">
        <f t="shared" si="66"/>
        <v>110.08334900043866</v>
      </c>
      <c r="E251" s="4">
        <f t="shared" si="67"/>
        <v>78.578462960035992</v>
      </c>
      <c r="F251" s="4">
        <f t="shared" si="68"/>
        <v>102.18127994390993</v>
      </c>
      <c r="G251" s="4">
        <f t="shared" si="69"/>
        <v>95.039082198688845</v>
      </c>
      <c r="H251" s="4">
        <f t="shared" si="70"/>
        <v>74.871181938911022</v>
      </c>
      <c r="I251" s="4">
        <f t="shared" si="71"/>
        <v>101.89698979372122</v>
      </c>
      <c r="J251" s="4">
        <f t="shared" si="72"/>
        <v>128.63322422966564</v>
      </c>
      <c r="K251" s="4">
        <f t="shared" si="73"/>
        <v>92.077672447686851</v>
      </c>
      <c r="L251" s="4">
        <f t="shared" si="74"/>
        <v>84.96114519427401</v>
      </c>
      <c r="M251" s="4">
        <f t="shared" si="75"/>
        <v>103.48625572120662</v>
      </c>
      <c r="N251" s="4">
        <f t="shared" si="76"/>
        <v>83.723231667748209</v>
      </c>
      <c r="O251" s="4">
        <f t="shared" si="77"/>
        <v>118.04965332140458</v>
      </c>
      <c r="P251" s="4">
        <f t="shared" si="78"/>
        <v>72.729412380030851</v>
      </c>
      <c r="Q251" s="4">
        <f t="shared" si="79"/>
        <v>89.290721976771863</v>
      </c>
      <c r="R251" s="4">
        <f t="shared" si="80"/>
        <v>100.4861535773565</v>
      </c>
      <c r="S251" s="4">
        <f t="shared" si="81"/>
        <v>99.734092181377136</v>
      </c>
      <c r="T251" s="4">
        <f t="shared" si="82"/>
        <v>123.46485663537172</v>
      </c>
      <c r="U251" s="4">
        <f t="shared" si="83"/>
        <v>99.417612981544963</v>
      </c>
      <c r="V251" s="4">
        <f t="shared" si="84"/>
        <v>107.9274689045407</v>
      </c>
      <c r="W251" s="4">
        <f t="shared" si="85"/>
        <v>78.553345388788429</v>
      </c>
      <c r="X251" s="4">
        <f t="shared" si="86"/>
        <v>95.556740789365719</v>
      </c>
      <c r="Y251" s="4">
        <f t="shared" si="87"/>
        <v>97.223042836041373</v>
      </c>
      <c r="Z251" s="4">
        <f t="shared" si="88"/>
        <v>96.971759101735302</v>
      </c>
      <c r="AA251" s="4">
        <f t="shared" si="89"/>
        <v>109.36550886299629</v>
      </c>
      <c r="AB251" s="4">
        <f t="shared" si="90"/>
        <v>79.836829836829821</v>
      </c>
      <c r="AC251" s="4">
        <f t="shared" si="91"/>
        <v>97.970360824742301</v>
      </c>
      <c r="AD251" s="4">
        <f t="shared" si="92"/>
        <v>79.419419419419413</v>
      </c>
      <c r="AE251" s="4">
        <f t="shared" si="93"/>
        <v>88.882850621528391</v>
      </c>
      <c r="AF251" s="4">
        <f t="shared" si="94"/>
        <v>103.85958822380836</v>
      </c>
      <c r="AG251" s="4">
        <f t="shared" si="95"/>
        <v>101.4751552795031</v>
      </c>
      <c r="AH251" s="4">
        <f t="shared" si="96"/>
        <v>108.85840202098431</v>
      </c>
      <c r="AI251" s="4">
        <f t="shared" si="97"/>
        <v>97.572034518063461</v>
      </c>
      <c r="AJ251" s="4">
        <f t="shared" si="98"/>
        <v>75.552635900804731</v>
      </c>
      <c r="AK251" s="4">
        <f t="shared" si="99"/>
        <v>108.56212763343774</v>
      </c>
      <c r="AL251" s="4">
        <f t="shared" si="100"/>
        <v>109.53063271446992</v>
      </c>
      <c r="AM251" s="4">
        <f t="shared" si="101"/>
        <v>67.636052376539496</v>
      </c>
      <c r="AN251" s="4">
        <f t="shared" si="102"/>
        <v>108.67609254498714</v>
      </c>
      <c r="AO251" s="4">
        <f t="shared" si="103"/>
        <v>111.07420609202852</v>
      </c>
      <c r="AP251" s="4">
        <f t="shared" si="104"/>
        <v>101.23956488742726</v>
      </c>
      <c r="AQ251" s="4">
        <f t="shared" si="105"/>
        <v>75.256037796754399</v>
      </c>
      <c r="AR251" s="4">
        <f t="shared" si="106"/>
        <v>95.680465633379114</v>
      </c>
      <c r="AS251" s="4">
        <f t="shared" si="107"/>
        <v>92.011832312253631</v>
      </c>
      <c r="AT251" s="4">
        <f t="shared" si="108"/>
        <v>109.43415620235382</v>
      </c>
      <c r="AU251" s="4">
        <f t="shared" si="109"/>
        <v>119.29805498207109</v>
      </c>
      <c r="AV251" s="4">
        <f t="shared" si="110"/>
        <v>81.044558071585087</v>
      </c>
      <c r="AW251" s="4">
        <f t="shared" si="111"/>
        <v>87.612173933824835</v>
      </c>
      <c r="AX251" s="4">
        <f t="shared" si="112"/>
        <v>71.126469981431811</v>
      </c>
    </row>
    <row r="252" spans="1:50" ht="14.25" customHeight="1" x14ac:dyDescent="0.3">
      <c r="A252" s="2">
        <v>45762</v>
      </c>
      <c r="B252" s="4">
        <f t="shared" si="64"/>
        <v>101.5435005117707</v>
      </c>
      <c r="C252" s="4">
        <f t="shared" si="65"/>
        <v>104.60746258610247</v>
      </c>
      <c r="D252" s="4">
        <f t="shared" si="66"/>
        <v>112.7279563827787</v>
      </c>
      <c r="E252" s="4">
        <f t="shared" si="67"/>
        <v>78.984546924582659</v>
      </c>
      <c r="F252" s="4">
        <f t="shared" si="68"/>
        <v>105.18443500954311</v>
      </c>
      <c r="G252" s="4">
        <f t="shared" si="69"/>
        <v>96.2556732223903</v>
      </c>
      <c r="H252" s="4">
        <f t="shared" si="70"/>
        <v>75.750332005312089</v>
      </c>
      <c r="I252" s="4">
        <f t="shared" si="71"/>
        <v>101.69674001980967</v>
      </c>
      <c r="J252" s="4">
        <f t="shared" si="72"/>
        <v>131.80395945380877</v>
      </c>
      <c r="K252" s="4">
        <f t="shared" si="73"/>
        <v>91.826482023502692</v>
      </c>
      <c r="L252" s="4">
        <f t="shared" si="74"/>
        <v>88.823449216087241</v>
      </c>
      <c r="M252" s="4">
        <f t="shared" si="75"/>
        <v>105.76983128574359</v>
      </c>
      <c r="N252" s="4">
        <f t="shared" si="76"/>
        <v>85.853341985723546</v>
      </c>
      <c r="O252" s="4">
        <f t="shared" si="77"/>
        <v>118.55289644374858</v>
      </c>
      <c r="P252" s="4">
        <f t="shared" si="78"/>
        <v>74.609691676037556</v>
      </c>
      <c r="Q252" s="4">
        <f t="shared" si="79"/>
        <v>90.214026826106505</v>
      </c>
      <c r="R252" s="4">
        <f t="shared" si="80"/>
        <v>102.37616842840917</v>
      </c>
      <c r="S252" s="4">
        <f t="shared" si="81"/>
        <v>103.82534054860982</v>
      </c>
      <c r="T252" s="4">
        <f t="shared" si="82"/>
        <v>124.84141080943922</v>
      </c>
      <c r="U252" s="4">
        <f t="shared" si="83"/>
        <v>100.60082671297079</v>
      </c>
      <c r="V252" s="4">
        <f t="shared" si="84"/>
        <v>108.64678555372396</v>
      </c>
      <c r="W252" s="4">
        <f t="shared" si="85"/>
        <v>80.372513562386985</v>
      </c>
      <c r="X252" s="4">
        <f t="shared" si="86"/>
        <v>99.351768277672932</v>
      </c>
      <c r="Y252" s="4">
        <f t="shared" si="87"/>
        <v>98.202152352817052</v>
      </c>
      <c r="Z252" s="4">
        <f t="shared" si="88"/>
        <v>99.931949642735646</v>
      </c>
      <c r="AA252" s="4">
        <f t="shared" si="89"/>
        <v>111.32586006957868</v>
      </c>
      <c r="AB252" s="4">
        <f t="shared" si="90"/>
        <v>81.252081252081254</v>
      </c>
      <c r="AC252" s="4">
        <f t="shared" si="91"/>
        <v>98.11533505154641</v>
      </c>
      <c r="AD252" s="4">
        <f t="shared" si="92"/>
        <v>83.043043043043056</v>
      </c>
      <c r="AE252" s="4">
        <f t="shared" si="93"/>
        <v>91.475936868961341</v>
      </c>
      <c r="AF252" s="4">
        <f t="shared" si="94"/>
        <v>104.81851908098842</v>
      </c>
      <c r="AG252" s="4">
        <f t="shared" si="95"/>
        <v>102.29037267080747</v>
      </c>
      <c r="AH252" s="4">
        <f t="shared" si="96"/>
        <v>109.1580461359739</v>
      </c>
      <c r="AI252" s="4">
        <f t="shared" si="97"/>
        <v>99.758666081614734</v>
      </c>
      <c r="AJ252" s="4">
        <f t="shared" si="98"/>
        <v>78.360978814255205</v>
      </c>
      <c r="AK252" s="4">
        <f t="shared" si="99"/>
        <v>111.31994349241445</v>
      </c>
      <c r="AL252" s="4">
        <f t="shared" si="100"/>
        <v>113.17626348433055</v>
      </c>
      <c r="AM252" s="4">
        <f t="shared" si="101"/>
        <v>69.000643741909016</v>
      </c>
      <c r="AN252" s="4">
        <f t="shared" si="102"/>
        <v>111.58240502713508</v>
      </c>
      <c r="AO252" s="4">
        <f t="shared" si="103"/>
        <v>114.17692806221646</v>
      </c>
      <c r="AP252" s="4">
        <f t="shared" si="104"/>
        <v>104.15718020069144</v>
      </c>
      <c r="AQ252" s="4">
        <f t="shared" si="105"/>
        <v>76.397570208645121</v>
      </c>
      <c r="AR252" s="4">
        <f t="shared" si="106"/>
        <v>96.90667713033811</v>
      </c>
      <c r="AS252" s="4">
        <f t="shared" si="107"/>
        <v>93.695087283656605</v>
      </c>
      <c r="AT252" s="4">
        <f t="shared" si="108"/>
        <v>115.12171723228204</v>
      </c>
      <c r="AU252" s="4">
        <f t="shared" si="109"/>
        <v>119.89568618928612</v>
      </c>
      <c r="AV252" s="4">
        <f t="shared" si="110"/>
        <v>84.360847333820317</v>
      </c>
      <c r="AW252" s="4">
        <f t="shared" si="111"/>
        <v>90.90778735048454</v>
      </c>
      <c r="AX252" s="4">
        <f t="shared" si="112"/>
        <v>75.912935836599956</v>
      </c>
    </row>
    <row r="253" spans="1:50" ht="14.25" customHeight="1" x14ac:dyDescent="0.3">
      <c r="A253" s="2">
        <v>45763</v>
      </c>
      <c r="B253" s="4">
        <f t="shared" si="64"/>
        <v>101.47799385875128</v>
      </c>
      <c r="C253" s="4">
        <f t="shared" si="65"/>
        <v>105.34227826516189</v>
      </c>
      <c r="D253" s="4">
        <f t="shared" si="66"/>
        <v>114.21946481168139</v>
      </c>
      <c r="E253" s="4">
        <f t="shared" si="67"/>
        <v>79.607046894187178</v>
      </c>
      <c r="F253" s="4">
        <f t="shared" si="68"/>
        <v>105.66743271140888</v>
      </c>
      <c r="G253" s="4">
        <f t="shared" si="69"/>
        <v>97.295763993948555</v>
      </c>
      <c r="H253" s="4">
        <f t="shared" si="70"/>
        <v>75.065073041168645</v>
      </c>
      <c r="I253" s="4">
        <f t="shared" si="71"/>
        <v>101.91636880409976</v>
      </c>
      <c r="J253" s="4">
        <f t="shared" si="72"/>
        <v>130.58555505890155</v>
      </c>
      <c r="K253" s="4">
        <f t="shared" si="73"/>
        <v>92.71110916954261</v>
      </c>
      <c r="L253" s="4">
        <f t="shared" si="74"/>
        <v>88.008179959100204</v>
      </c>
      <c r="M253" s="4">
        <f t="shared" si="75"/>
        <v>104.06573699847435</v>
      </c>
      <c r="N253" s="4">
        <f t="shared" si="76"/>
        <v>85.483452303698883</v>
      </c>
      <c r="O253" s="4">
        <f t="shared" si="77"/>
        <v>118.73182733169314</v>
      </c>
      <c r="P253" s="4">
        <f t="shared" si="78"/>
        <v>74.881665315515576</v>
      </c>
      <c r="Q253" s="4">
        <f t="shared" si="79"/>
        <v>89.584380539167682</v>
      </c>
      <c r="R253" s="4">
        <f t="shared" si="80"/>
        <v>102.45479164846682</v>
      </c>
      <c r="S253" s="4">
        <f t="shared" si="81"/>
        <v>108.35043851464825</v>
      </c>
      <c r="T253" s="4">
        <f t="shared" si="82"/>
        <v>124.9175336209084</v>
      </c>
      <c r="U253" s="4">
        <f t="shared" si="83"/>
        <v>100.56087404152005</v>
      </c>
      <c r="V253" s="4">
        <f t="shared" si="84"/>
        <v>107.68769668814626</v>
      </c>
      <c r="W253" s="4">
        <f t="shared" si="85"/>
        <v>80.31826401446655</v>
      </c>
      <c r="X253" s="4">
        <f t="shared" si="86"/>
        <v>101.16517600722081</v>
      </c>
      <c r="Y253" s="4">
        <f t="shared" si="87"/>
        <v>101.80206794682422</v>
      </c>
      <c r="Z253" s="4">
        <f t="shared" si="88"/>
        <v>99.897924464103454</v>
      </c>
      <c r="AA253" s="4">
        <f t="shared" si="89"/>
        <v>111.48047931967528</v>
      </c>
      <c r="AB253" s="4">
        <f t="shared" si="90"/>
        <v>82.467532467532479</v>
      </c>
      <c r="AC253" s="4">
        <f t="shared" si="91"/>
        <v>98.501932989690715</v>
      </c>
      <c r="AD253" s="4">
        <f t="shared" si="92"/>
        <v>82.222222222222214</v>
      </c>
      <c r="AE253" s="4">
        <f t="shared" si="93"/>
        <v>91.08694532952731</v>
      </c>
      <c r="AF253" s="4">
        <f t="shared" si="94"/>
        <v>106.73638079534852</v>
      </c>
      <c r="AG253" s="4">
        <f t="shared" si="95"/>
        <v>103.32556935817804</v>
      </c>
      <c r="AH253" s="4">
        <f t="shared" si="96"/>
        <v>109.86797219302615</v>
      </c>
      <c r="AI253" s="4">
        <f t="shared" si="97"/>
        <v>100.16820242796547</v>
      </c>
      <c r="AJ253" s="4">
        <f t="shared" si="98"/>
        <v>79.579569715881092</v>
      </c>
      <c r="AK253" s="4">
        <f t="shared" si="99"/>
        <v>110.67297258563151</v>
      </c>
      <c r="AL253" s="4">
        <f t="shared" si="100"/>
        <v>114.94688146070864</v>
      </c>
      <c r="AM253" s="4">
        <f t="shared" si="101"/>
        <v>71.243129293086497</v>
      </c>
      <c r="AN253" s="4">
        <f t="shared" si="102"/>
        <v>111.78234790059982</v>
      </c>
      <c r="AO253" s="4">
        <f t="shared" si="103"/>
        <v>116.01587815942966</v>
      </c>
      <c r="AP253" s="4">
        <f t="shared" si="104"/>
        <v>102.85858841386286</v>
      </c>
      <c r="AQ253" s="4">
        <f t="shared" si="105"/>
        <v>76.808404495700913</v>
      </c>
      <c r="AR253" s="4">
        <f t="shared" si="106"/>
        <v>97.861487149303514</v>
      </c>
      <c r="AS253" s="4">
        <f t="shared" si="107"/>
        <v>95.058788409218892</v>
      </c>
      <c r="AT253" s="4">
        <f t="shared" si="108"/>
        <v>115.81553115310162</v>
      </c>
      <c r="AU253" s="4">
        <f t="shared" si="109"/>
        <v>120.16733673802023</v>
      </c>
      <c r="AV253" s="4">
        <f t="shared" si="110"/>
        <v>84.61650840029219</v>
      </c>
      <c r="AW253" s="4">
        <f t="shared" si="111"/>
        <v>90.382018712583786</v>
      </c>
      <c r="AX253" s="4">
        <f t="shared" si="112"/>
        <v>81.313183412420059</v>
      </c>
    </row>
    <row r="254" spans="1:50" ht="14.25" customHeight="1" x14ac:dyDescent="0.3">
      <c r="A254" s="2">
        <v>45764</v>
      </c>
      <c r="B254" s="4">
        <f t="shared" si="64"/>
        <v>104.36028659160696</v>
      </c>
      <c r="C254" s="4">
        <f t="shared" si="65"/>
        <v>106.95214162310127</v>
      </c>
      <c r="D254" s="4">
        <f t="shared" si="66"/>
        <v>118.38691483361534</v>
      </c>
      <c r="E254" s="4">
        <f t="shared" si="67"/>
        <v>80.21738866126033</v>
      </c>
      <c r="F254" s="4">
        <f t="shared" si="68"/>
        <v>109.58594632493282</v>
      </c>
      <c r="G254" s="4">
        <f t="shared" si="69"/>
        <v>100.53580433686334</v>
      </c>
      <c r="H254" s="4">
        <f t="shared" si="70"/>
        <v>75.405046480743692</v>
      </c>
      <c r="I254" s="4">
        <f t="shared" si="71"/>
        <v>102.27811033116576</v>
      </c>
      <c r="J254" s="4">
        <f t="shared" si="72"/>
        <v>132.1139676726313</v>
      </c>
      <c r="K254" s="4">
        <f t="shared" si="73"/>
        <v>93.322703245817138</v>
      </c>
      <c r="L254" s="4">
        <f t="shared" si="74"/>
        <v>88.542603953646903</v>
      </c>
      <c r="M254" s="4">
        <f t="shared" si="75"/>
        <v>104.34231774666989</v>
      </c>
      <c r="N254" s="4">
        <f t="shared" si="76"/>
        <v>86.937053861129129</v>
      </c>
      <c r="O254" s="4">
        <f t="shared" si="77"/>
        <v>122.34958622232162</v>
      </c>
      <c r="P254" s="4">
        <f t="shared" si="78"/>
        <v>75.211171840267781</v>
      </c>
      <c r="Q254" s="4">
        <f t="shared" si="79"/>
        <v>92.674409375909391</v>
      </c>
      <c r="R254" s="4">
        <f t="shared" si="80"/>
        <v>103.96610465624181</v>
      </c>
      <c r="S254" s="4">
        <f t="shared" si="81"/>
        <v>111.10281768986752</v>
      </c>
      <c r="T254" s="4">
        <f t="shared" si="82"/>
        <v>129.11063181933517</v>
      </c>
      <c r="U254" s="4">
        <f t="shared" si="83"/>
        <v>102.26347250180557</v>
      </c>
      <c r="V254" s="4">
        <f t="shared" si="84"/>
        <v>109.09635845946353</v>
      </c>
      <c r="W254" s="4">
        <f t="shared" si="85"/>
        <v>83.761301989150084</v>
      </c>
      <c r="X254" s="4">
        <f t="shared" si="86"/>
        <v>103.33962418971036</v>
      </c>
      <c r="Y254" s="4">
        <f t="shared" si="87"/>
        <v>102.76007596539355</v>
      </c>
      <c r="Z254" s="4">
        <f t="shared" si="88"/>
        <v>100.42531473290235</v>
      </c>
      <c r="AA254" s="4">
        <f t="shared" si="89"/>
        <v>111.23750621238059</v>
      </c>
      <c r="AB254" s="4">
        <f t="shared" si="90"/>
        <v>78.887778887778879</v>
      </c>
      <c r="AC254" s="4">
        <f t="shared" si="91"/>
        <v>99.548969072164965</v>
      </c>
      <c r="AD254" s="4">
        <f t="shared" si="92"/>
        <v>82.956289622956277</v>
      </c>
      <c r="AE254" s="4">
        <f t="shared" si="93"/>
        <v>91.733357740645602</v>
      </c>
      <c r="AF254" s="4">
        <f t="shared" si="94"/>
        <v>107.08350508754039</v>
      </c>
      <c r="AG254" s="4">
        <f t="shared" si="95"/>
        <v>103.22204968944102</v>
      </c>
      <c r="AH254" s="4">
        <f t="shared" si="96"/>
        <v>111.40307204366506</v>
      </c>
      <c r="AI254" s="4">
        <f t="shared" si="97"/>
        <v>100.29252596167908</v>
      </c>
      <c r="AJ254" s="4">
        <f t="shared" si="98"/>
        <v>80.955821974051574</v>
      </c>
      <c r="AK254" s="4">
        <f t="shared" si="99"/>
        <v>113.04383432631082</v>
      </c>
      <c r="AL254" s="4">
        <f t="shared" si="100"/>
        <v>116.23646449552739</v>
      </c>
      <c r="AM254" s="4">
        <f t="shared" si="101"/>
        <v>72.587205806410537</v>
      </c>
      <c r="AN254" s="4">
        <f t="shared" si="102"/>
        <v>114.83861753784632</v>
      </c>
      <c r="AO254" s="4">
        <f t="shared" si="103"/>
        <v>116.66396629941671</v>
      </c>
      <c r="AP254" s="4">
        <f t="shared" si="104"/>
        <v>102.79112910026139</v>
      </c>
      <c r="AQ254" s="4">
        <f t="shared" si="105"/>
        <v>76.696892332071485</v>
      </c>
      <c r="AR254" s="4">
        <f t="shared" si="106"/>
        <v>99.090968543587735</v>
      </c>
      <c r="AS254" s="4">
        <f t="shared" si="107"/>
        <v>95.981491658355552</v>
      </c>
      <c r="AT254" s="4">
        <f t="shared" si="108"/>
        <v>118.50513079677249</v>
      </c>
      <c r="AU254" s="4">
        <f t="shared" si="109"/>
        <v>121.72117787677932</v>
      </c>
      <c r="AV254" s="4">
        <f t="shared" si="110"/>
        <v>84.996347699050403</v>
      </c>
      <c r="AW254" s="4">
        <f t="shared" si="111"/>
        <v>90.14064311063845</v>
      </c>
      <c r="AX254" s="4">
        <f t="shared" si="112"/>
        <v>81.978543428925107</v>
      </c>
    </row>
    <row r="255" spans="1:50" ht="14.25" customHeight="1" x14ac:dyDescent="0.3">
      <c r="A255" s="2">
        <v>45768</v>
      </c>
      <c r="B255" s="4">
        <f t="shared" si="64"/>
        <v>106.07983623336743</v>
      </c>
      <c r="C255" s="4">
        <f t="shared" si="65"/>
        <v>108.09643474163657</v>
      </c>
      <c r="D255" s="4">
        <f t="shared" si="66"/>
        <v>118.02970483173529</v>
      </c>
      <c r="E255" s="4">
        <f t="shared" si="67"/>
        <v>80.769371056183061</v>
      </c>
      <c r="F255" s="4">
        <f t="shared" si="68"/>
        <v>109.82744517586569</v>
      </c>
      <c r="G255" s="4">
        <f t="shared" si="69"/>
        <v>102.96268280383258</v>
      </c>
      <c r="H255" s="4">
        <f t="shared" si="70"/>
        <v>77.078353253652054</v>
      </c>
      <c r="I255" s="4">
        <f t="shared" si="71"/>
        <v>101.24456311097714</v>
      </c>
      <c r="J255" s="4">
        <f t="shared" si="72"/>
        <v>133.71447522097097</v>
      </c>
      <c r="K255" s="4">
        <f t="shared" si="73"/>
        <v>92.361626840242891</v>
      </c>
      <c r="L255" s="4">
        <f t="shared" si="74"/>
        <v>89.447852760736197</v>
      </c>
      <c r="M255" s="4">
        <f t="shared" si="75"/>
        <v>104.78841572763042</v>
      </c>
      <c r="N255" s="4">
        <f t="shared" si="76"/>
        <v>89.682024659312148</v>
      </c>
      <c r="O255" s="4">
        <f t="shared" si="77"/>
        <v>125.32990382464773</v>
      </c>
      <c r="P255" s="4">
        <f t="shared" si="78"/>
        <v>77.51248725123564</v>
      </c>
      <c r="Q255" s="4">
        <f t="shared" si="79"/>
        <v>92.325193788195449</v>
      </c>
      <c r="R255" s="4">
        <f t="shared" si="80"/>
        <v>104.25438979645321</v>
      </c>
      <c r="S255" s="4">
        <f t="shared" si="81"/>
        <v>114.10710953536109</v>
      </c>
      <c r="T255" s="4">
        <f t="shared" si="82"/>
        <v>133.43694493783303</v>
      </c>
      <c r="U255" s="4">
        <f t="shared" si="83"/>
        <v>102.52777478986432</v>
      </c>
      <c r="V255" s="4">
        <f t="shared" si="84"/>
        <v>109.26120185823468</v>
      </c>
      <c r="W255" s="4">
        <f t="shared" si="85"/>
        <v>84.716094032549734</v>
      </c>
      <c r="X255" s="4">
        <f t="shared" si="86"/>
        <v>102.00213342085829</v>
      </c>
      <c r="Y255" s="4">
        <f t="shared" si="87"/>
        <v>105.41464443975524</v>
      </c>
      <c r="Z255" s="4">
        <f t="shared" si="88"/>
        <v>102.05852330724738</v>
      </c>
      <c r="AA255" s="4">
        <f t="shared" si="89"/>
        <v>114.19736042851621</v>
      </c>
      <c r="AB255" s="4">
        <f t="shared" si="90"/>
        <v>79.403929403929396</v>
      </c>
      <c r="AC255" s="4">
        <f t="shared" si="91"/>
        <v>103.09278350515466</v>
      </c>
      <c r="AD255" s="4">
        <f t="shared" si="92"/>
        <v>84.090757424090754</v>
      </c>
      <c r="AE255" s="4">
        <f t="shared" si="93"/>
        <v>94.359050631825227</v>
      </c>
      <c r="AF255" s="4">
        <f t="shared" si="94"/>
        <v>106.08986180114115</v>
      </c>
      <c r="AG255" s="4">
        <f t="shared" si="95"/>
        <v>103.64906832298138</v>
      </c>
      <c r="AH255" s="4">
        <f t="shared" si="96"/>
        <v>110.61016761630805</v>
      </c>
      <c r="AI255" s="4">
        <f t="shared" si="97"/>
        <v>101.7844083662425</v>
      </c>
      <c r="AJ255" s="4">
        <f t="shared" si="98"/>
        <v>80.926260469699457</v>
      </c>
      <c r="AK255" s="4">
        <f t="shared" si="99"/>
        <v>112.88823372847696</v>
      </c>
      <c r="AL255" s="4">
        <f t="shared" si="100"/>
        <v>118.93844799705238</v>
      </c>
      <c r="AM255" s="4">
        <f t="shared" si="101"/>
        <v>75.834211699124936</v>
      </c>
      <c r="AN255" s="4">
        <f t="shared" si="102"/>
        <v>116.28820337046557</v>
      </c>
      <c r="AO255" s="4">
        <f t="shared" si="103"/>
        <v>115.39209332469215</v>
      </c>
      <c r="AP255" s="4">
        <f t="shared" si="104"/>
        <v>104.89923265030777</v>
      </c>
      <c r="AQ255" s="4">
        <f t="shared" si="105"/>
        <v>80.611556181588767</v>
      </c>
      <c r="AR255" s="4">
        <f t="shared" si="106"/>
        <v>98.822836962919354</v>
      </c>
      <c r="AS255" s="4">
        <f t="shared" si="107"/>
        <v>96.91776407292069</v>
      </c>
      <c r="AT255" s="4">
        <f t="shared" si="108"/>
        <v>120.43239168793794</v>
      </c>
      <c r="AU255" s="4">
        <f t="shared" si="109"/>
        <v>121.80810605237423</v>
      </c>
      <c r="AV255" s="4">
        <f t="shared" si="110"/>
        <v>86.004382761139524</v>
      </c>
      <c r="AW255" s="4">
        <f t="shared" si="111"/>
        <v>93.61071612078338</v>
      </c>
      <c r="AX255" s="4">
        <f t="shared" si="112"/>
        <v>85.434289251083158</v>
      </c>
    </row>
    <row r="256" spans="1:50" ht="14.25" customHeight="1" x14ac:dyDescent="0.3">
      <c r="A256" s="2">
        <v>45769</v>
      </c>
      <c r="B256" s="4">
        <f t="shared" si="64"/>
        <v>105.72773797338793</v>
      </c>
      <c r="C256" s="4">
        <f t="shared" si="65"/>
        <v>110.03724561915233</v>
      </c>
      <c r="D256" s="4">
        <f t="shared" si="66"/>
        <v>116.07445008460238</v>
      </c>
      <c r="E256" s="4">
        <f t="shared" si="67"/>
        <v>80.594292939731787</v>
      </c>
      <c r="F256" s="4">
        <f t="shared" si="68"/>
        <v>110.34939430530129</v>
      </c>
      <c r="G256" s="4">
        <f t="shared" si="69"/>
        <v>103.68129097327281</v>
      </c>
      <c r="H256" s="4">
        <f t="shared" si="70"/>
        <v>75.580345285524558</v>
      </c>
      <c r="I256" s="4">
        <f t="shared" si="71"/>
        <v>103.29873821110202</v>
      </c>
      <c r="J256" s="4">
        <f t="shared" si="72"/>
        <v>133.52702839098524</v>
      </c>
      <c r="K256" s="4">
        <f t="shared" si="73"/>
        <v>94.709711240225431</v>
      </c>
      <c r="L256" s="4">
        <f t="shared" si="74"/>
        <v>88.828902522154067</v>
      </c>
      <c r="M256" s="4">
        <f t="shared" si="75"/>
        <v>104.69027417181911</v>
      </c>
      <c r="N256" s="4">
        <f t="shared" si="76"/>
        <v>91.404931862426992</v>
      </c>
      <c r="O256" s="4">
        <f t="shared" si="77"/>
        <v>126.86199955267277</v>
      </c>
      <c r="P256" s="4">
        <f t="shared" si="78"/>
        <v>77.402651742984915</v>
      </c>
      <c r="Q256" s="4">
        <f t="shared" si="79"/>
        <v>92.457472419905287</v>
      </c>
      <c r="R256" s="4">
        <f t="shared" si="80"/>
        <v>104.47278762994669</v>
      </c>
      <c r="S256" s="4">
        <f t="shared" si="81"/>
        <v>113.52864340362008</v>
      </c>
      <c r="T256" s="4">
        <f t="shared" si="82"/>
        <v>131.75589951788885</v>
      </c>
      <c r="U256" s="4">
        <f t="shared" si="83"/>
        <v>102.56772746131506</v>
      </c>
      <c r="V256" s="4">
        <f t="shared" si="84"/>
        <v>107.97242619511465</v>
      </c>
      <c r="W256" s="4">
        <f t="shared" si="85"/>
        <v>85.884267631103086</v>
      </c>
      <c r="X256" s="4">
        <f t="shared" si="86"/>
        <v>101.18979240173955</v>
      </c>
      <c r="Y256" s="4">
        <f t="shared" si="87"/>
        <v>104.57058451150031</v>
      </c>
      <c r="Z256" s="4">
        <f t="shared" si="88"/>
        <v>103.21537938074179</v>
      </c>
      <c r="AA256" s="4">
        <f t="shared" si="89"/>
        <v>115.32387210779171</v>
      </c>
      <c r="AB256" s="4">
        <f t="shared" si="90"/>
        <v>77.972027972027973</v>
      </c>
      <c r="AC256" s="4">
        <f t="shared" si="91"/>
        <v>100.69265463917527</v>
      </c>
      <c r="AD256" s="4">
        <f t="shared" si="92"/>
        <v>84.197530864197518</v>
      </c>
      <c r="AE256" s="4">
        <f t="shared" si="93"/>
        <v>93.140591839186328</v>
      </c>
      <c r="AF256" s="4">
        <f t="shared" si="94"/>
        <v>105.52578482632937</v>
      </c>
      <c r="AG256" s="4">
        <f t="shared" si="95"/>
        <v>103.15734989648033</v>
      </c>
      <c r="AH256" s="4">
        <f t="shared" si="96"/>
        <v>110.97435046375691</v>
      </c>
      <c r="AI256" s="4">
        <f t="shared" si="97"/>
        <v>101.03846716396079</v>
      </c>
      <c r="AJ256" s="4">
        <f t="shared" si="98"/>
        <v>82.299228116275245</v>
      </c>
      <c r="AK256" s="4">
        <f t="shared" si="99"/>
        <v>112.58112728538376</v>
      </c>
      <c r="AL256" s="4">
        <f t="shared" si="100"/>
        <v>118.39600433954925</v>
      </c>
      <c r="AM256" s="4">
        <f t="shared" si="101"/>
        <v>75.310729267619777</v>
      </c>
      <c r="AN256" s="4">
        <f t="shared" si="102"/>
        <v>115.60982576406739</v>
      </c>
      <c r="AO256" s="4">
        <f t="shared" si="103"/>
        <v>115.44880103694102</v>
      </c>
      <c r="AP256" s="4">
        <f t="shared" si="104"/>
        <v>104.57880091070074</v>
      </c>
      <c r="AQ256" s="4">
        <f t="shared" si="105"/>
        <v>80.787628018898374</v>
      </c>
      <c r="AR256" s="4">
        <f t="shared" si="106"/>
        <v>99.941141848145975</v>
      </c>
      <c r="AS256" s="4">
        <f t="shared" si="107"/>
        <v>96.185029139782742</v>
      </c>
      <c r="AT256" s="4">
        <f t="shared" si="108"/>
        <v>120.51804772754528</v>
      </c>
      <c r="AU256" s="4">
        <f t="shared" si="109"/>
        <v>123.51407149842444</v>
      </c>
      <c r="AV256" s="4">
        <f t="shared" si="110"/>
        <v>85.829072315558804</v>
      </c>
      <c r="AW256" s="4">
        <f t="shared" si="111"/>
        <v>91.617575011650558</v>
      </c>
      <c r="AX256" s="4">
        <f t="shared" si="112"/>
        <v>81.235815968640395</v>
      </c>
    </row>
    <row r="257" spans="1:50" ht="14.25" customHeight="1" x14ac:dyDescent="0.3">
      <c r="A257" s="2">
        <v>45770</v>
      </c>
      <c r="B257" s="4">
        <f t="shared" si="64"/>
        <v>106.44831115660183</v>
      </c>
      <c r="C257" s="4">
        <f t="shared" si="65"/>
        <v>107.91693778186632</v>
      </c>
      <c r="D257" s="4">
        <f t="shared" si="66"/>
        <v>117.91690167324684</v>
      </c>
      <c r="E257" s="4">
        <f t="shared" si="67"/>
        <v>82.991890478911586</v>
      </c>
      <c r="F257" s="4">
        <f t="shared" si="68"/>
        <v>110.96482686090445</v>
      </c>
      <c r="G257" s="4">
        <f t="shared" si="69"/>
        <v>102.55295007564295</v>
      </c>
      <c r="H257" s="4">
        <f t="shared" si="70"/>
        <v>78.347941567065078</v>
      </c>
      <c r="I257" s="4">
        <f t="shared" si="71"/>
        <v>104.37965634554931</v>
      </c>
      <c r="J257" s="4">
        <f t="shared" si="72"/>
        <v>134.42821507360892</v>
      </c>
      <c r="K257" s="4">
        <f t="shared" si="73"/>
        <v>94.109038486741511</v>
      </c>
      <c r="L257" s="4">
        <f t="shared" si="74"/>
        <v>90.006816632583508</v>
      </c>
      <c r="M257" s="4">
        <f t="shared" si="75"/>
        <v>106.23377318594258</v>
      </c>
      <c r="N257" s="4">
        <f t="shared" si="76"/>
        <v>94.67229072031148</v>
      </c>
      <c r="O257" s="4">
        <f t="shared" si="77"/>
        <v>124.52471482889733</v>
      </c>
      <c r="P257" s="4">
        <f t="shared" si="78"/>
        <v>83.370381024608378</v>
      </c>
      <c r="Q257" s="4">
        <f t="shared" si="79"/>
        <v>94.648006561020111</v>
      </c>
      <c r="R257" s="4">
        <f t="shared" si="80"/>
        <v>104.38542849654931</v>
      </c>
      <c r="S257" s="4">
        <f t="shared" si="81"/>
        <v>112.6049636126143</v>
      </c>
      <c r="T257" s="4">
        <f t="shared" si="82"/>
        <v>133.26566861202741</v>
      </c>
      <c r="U257" s="4">
        <f t="shared" si="83"/>
        <v>103.17931066275337</v>
      </c>
      <c r="V257" s="4">
        <f t="shared" si="84"/>
        <v>109.03641540536491</v>
      </c>
      <c r="W257" s="4">
        <f t="shared" si="85"/>
        <v>86.524412296564208</v>
      </c>
      <c r="X257" s="4">
        <f t="shared" si="86"/>
        <v>101.67391482727497</v>
      </c>
      <c r="Y257" s="4">
        <f t="shared" si="87"/>
        <v>106.42329605401983</v>
      </c>
      <c r="Z257" s="4">
        <f t="shared" si="88"/>
        <v>104.06600884654647</v>
      </c>
      <c r="AA257" s="4">
        <f t="shared" si="89"/>
        <v>114.77166050030372</v>
      </c>
      <c r="AB257" s="4">
        <f t="shared" si="90"/>
        <v>81.11888111888112</v>
      </c>
      <c r="AC257" s="4">
        <f t="shared" si="91"/>
        <v>101.46585051546391</v>
      </c>
      <c r="AD257" s="4">
        <f t="shared" si="92"/>
        <v>88.074741408074729</v>
      </c>
      <c r="AE257" s="4">
        <f t="shared" si="93"/>
        <v>94.519223618650997</v>
      </c>
      <c r="AF257" s="4">
        <f t="shared" si="94"/>
        <v>106.44132514698543</v>
      </c>
      <c r="AG257" s="4">
        <f t="shared" si="95"/>
        <v>103.24792960662525</v>
      </c>
      <c r="AH257" s="4">
        <f t="shared" si="96"/>
        <v>112.17753683317662</v>
      </c>
      <c r="AI257" s="4">
        <f t="shared" si="97"/>
        <v>103.23241187655402</v>
      </c>
      <c r="AJ257" s="4">
        <f t="shared" si="98"/>
        <v>84.788963705041866</v>
      </c>
      <c r="AK257" s="4">
        <f t="shared" si="99"/>
        <v>109.96867514280449</v>
      </c>
      <c r="AL257" s="4">
        <f t="shared" si="100"/>
        <v>117.49534317237425</v>
      </c>
      <c r="AM257" s="4">
        <f t="shared" si="101"/>
        <v>75.395618310566576</v>
      </c>
      <c r="AN257" s="4">
        <f t="shared" si="102"/>
        <v>115.35989717223649</v>
      </c>
      <c r="AO257" s="4">
        <f t="shared" si="103"/>
        <v>114.88982501620222</v>
      </c>
      <c r="AP257" s="4">
        <f t="shared" si="104"/>
        <v>106.09663546673411</v>
      </c>
      <c r="AQ257" s="4">
        <f t="shared" si="105"/>
        <v>84.491005663644103</v>
      </c>
      <c r="AR257" s="4">
        <f t="shared" si="106"/>
        <v>100.3008305539206</v>
      </c>
      <c r="AS257" s="4">
        <f t="shared" si="107"/>
        <v>96.910979490206444</v>
      </c>
      <c r="AT257" s="4">
        <f t="shared" si="108"/>
        <v>120.58657255923116</v>
      </c>
      <c r="AU257" s="4">
        <f t="shared" si="109"/>
        <v>124.97011843963925</v>
      </c>
      <c r="AV257" s="4">
        <f t="shared" si="110"/>
        <v>86.632578524470432</v>
      </c>
      <c r="AW257" s="4">
        <f t="shared" si="111"/>
        <v>94.172332620359185</v>
      </c>
      <c r="AX257" s="4">
        <f t="shared" si="112"/>
        <v>81.926965133072002</v>
      </c>
    </row>
    <row r="258" spans="1:50" ht="14.25" customHeight="1" x14ac:dyDescent="0.3">
      <c r="A258" s="2">
        <v>45771</v>
      </c>
      <c r="B258" s="4">
        <f t="shared" si="64"/>
        <v>106.57932446264073</v>
      </c>
      <c r="C258" s="4">
        <f t="shared" si="65"/>
        <v>107.5186789023761</v>
      </c>
      <c r="D258" s="4">
        <f t="shared" si="66"/>
        <v>115.66083850347808</v>
      </c>
      <c r="E258" s="4">
        <f t="shared" si="67"/>
        <v>82.714683461197097</v>
      </c>
      <c r="F258" s="4">
        <f t="shared" si="68"/>
        <v>109.27433490437424</v>
      </c>
      <c r="G258" s="4">
        <f t="shared" si="69"/>
        <v>102.54664649520926</v>
      </c>
      <c r="H258" s="4">
        <f t="shared" si="70"/>
        <v>78.162018592297471</v>
      </c>
      <c r="I258" s="4">
        <f t="shared" si="71"/>
        <v>100.13780629602518</v>
      </c>
      <c r="J258" s="4">
        <f t="shared" si="72"/>
        <v>134.11099736132539</v>
      </c>
      <c r="K258" s="4">
        <f t="shared" si="73"/>
        <v>93.934297322091638</v>
      </c>
      <c r="L258" s="4">
        <f t="shared" si="74"/>
        <v>89.995910020449898</v>
      </c>
      <c r="M258" s="4">
        <f t="shared" si="75"/>
        <v>106.11778771089281</v>
      </c>
      <c r="N258" s="4">
        <f t="shared" si="76"/>
        <v>94.140168721609328</v>
      </c>
      <c r="O258" s="4">
        <f t="shared" si="77"/>
        <v>124.30105121896666</v>
      </c>
      <c r="P258" s="4">
        <f t="shared" si="78"/>
        <v>82.988571876879632</v>
      </c>
      <c r="Q258" s="4">
        <f t="shared" si="79"/>
        <v>95.446969496547524</v>
      </c>
      <c r="R258" s="4">
        <f t="shared" si="80"/>
        <v>106.21997029789463</v>
      </c>
      <c r="S258" s="4">
        <f t="shared" si="81"/>
        <v>112.6236238104124</v>
      </c>
      <c r="T258" s="4">
        <f t="shared" si="82"/>
        <v>133.53209845216949</v>
      </c>
      <c r="U258" s="4">
        <f t="shared" si="83"/>
        <v>103.95685111483321</v>
      </c>
      <c r="V258" s="4">
        <f t="shared" si="84"/>
        <v>108.85658624306909</v>
      </c>
      <c r="W258" s="4">
        <f t="shared" si="85"/>
        <v>85.490054249547924</v>
      </c>
      <c r="X258" s="4">
        <f t="shared" si="86"/>
        <v>101.45236727660625</v>
      </c>
      <c r="Y258" s="4">
        <f t="shared" si="87"/>
        <v>105.24161215446297</v>
      </c>
      <c r="Z258" s="4">
        <f t="shared" si="88"/>
        <v>104.01497107859818</v>
      </c>
      <c r="AA258" s="4">
        <f t="shared" si="89"/>
        <v>115.35700480424099</v>
      </c>
      <c r="AB258" s="4">
        <f t="shared" si="90"/>
        <v>80.835830835830819</v>
      </c>
      <c r="AC258" s="4">
        <f t="shared" si="91"/>
        <v>101.28865979381445</v>
      </c>
      <c r="AD258" s="4">
        <f t="shared" si="92"/>
        <v>89.202535869202521</v>
      </c>
      <c r="AE258" s="4">
        <f t="shared" si="93"/>
        <v>93.83276796082626</v>
      </c>
      <c r="AF258" s="4">
        <f t="shared" si="94"/>
        <v>106.93163820970646</v>
      </c>
      <c r="AG258" s="4">
        <f t="shared" si="95"/>
        <v>103.48084886128366</v>
      </c>
      <c r="AH258" s="4">
        <f t="shared" si="96"/>
        <v>112.16831701425384</v>
      </c>
      <c r="AI258" s="4">
        <f t="shared" si="97"/>
        <v>103.49568524206522</v>
      </c>
      <c r="AJ258" s="4">
        <f t="shared" si="98"/>
        <v>84.999178847101319</v>
      </c>
      <c r="AK258" s="4">
        <f t="shared" si="99"/>
        <v>111.75398726531949</v>
      </c>
      <c r="AL258" s="4">
        <f t="shared" si="100"/>
        <v>115.66331648005239</v>
      </c>
      <c r="AM258" s="4">
        <f t="shared" si="101"/>
        <v>75.317803354532018</v>
      </c>
      <c r="AN258" s="4">
        <f t="shared" si="102"/>
        <v>114.83861753784632</v>
      </c>
      <c r="AO258" s="4">
        <f t="shared" si="103"/>
        <v>114.77640959170448</v>
      </c>
      <c r="AP258" s="4">
        <f t="shared" si="104"/>
        <v>105.97014925373134</v>
      </c>
      <c r="AQ258" s="4">
        <f t="shared" si="105"/>
        <v>84.819673093288728</v>
      </c>
      <c r="AR258" s="4">
        <f t="shared" si="106"/>
        <v>101.47799359100125</v>
      </c>
      <c r="AS258" s="4">
        <f t="shared" si="107"/>
        <v>97.148439885204866</v>
      </c>
      <c r="AT258" s="4">
        <f t="shared" si="108"/>
        <v>119.34455998492454</v>
      </c>
      <c r="AU258" s="4">
        <f t="shared" si="109"/>
        <v>126.18711289796805</v>
      </c>
      <c r="AV258" s="4">
        <f t="shared" si="110"/>
        <v>87.691745799853905</v>
      </c>
      <c r="AW258" s="4">
        <f t="shared" si="111"/>
        <v>94.506912662659673</v>
      </c>
      <c r="AX258" s="4">
        <f t="shared" si="112"/>
        <v>84.562616051165676</v>
      </c>
    </row>
    <row r="259" spans="1:50" ht="14.25" customHeight="1" x14ac:dyDescent="0.3">
      <c r="A259" s="2">
        <v>45772</v>
      </c>
      <c r="B259" s="4">
        <f t="shared" si="64"/>
        <v>106.48106448311157</v>
      </c>
      <c r="C259" s="4">
        <f t="shared" si="65"/>
        <v>107.20455922277816</v>
      </c>
      <c r="D259" s="4">
        <f t="shared" si="66"/>
        <v>113.88105533621609</v>
      </c>
      <c r="E259" s="4">
        <f t="shared" si="67"/>
        <v>83.842964656105252</v>
      </c>
      <c r="F259" s="4">
        <f t="shared" si="68"/>
        <v>109.43793090016749</v>
      </c>
      <c r="G259" s="4">
        <f t="shared" si="69"/>
        <v>100.6870902672718</v>
      </c>
      <c r="H259" s="4">
        <f t="shared" si="70"/>
        <v>78.629482071713142</v>
      </c>
      <c r="I259" s="4">
        <f t="shared" si="71"/>
        <v>100.43495112182939</v>
      </c>
      <c r="J259" s="4">
        <f t="shared" si="72"/>
        <v>131.38580883307139</v>
      </c>
      <c r="K259" s="4">
        <f t="shared" si="73"/>
        <v>93.442837796513899</v>
      </c>
      <c r="L259" s="4">
        <f t="shared" si="74"/>
        <v>89.21881390593046</v>
      </c>
      <c r="M259" s="4">
        <f t="shared" si="75"/>
        <v>104.36908362552752</v>
      </c>
      <c r="N259" s="4">
        <f t="shared" si="76"/>
        <v>92.933160285528871</v>
      </c>
      <c r="O259" s="4">
        <f t="shared" si="77"/>
        <v>123.26101543278909</v>
      </c>
      <c r="P259" s="4">
        <f t="shared" si="78"/>
        <v>82.543999581579016</v>
      </c>
      <c r="Q259" s="4">
        <f t="shared" si="79"/>
        <v>94.573930527262618</v>
      </c>
      <c r="R259" s="4">
        <f t="shared" si="80"/>
        <v>106.90137153839434</v>
      </c>
      <c r="S259" s="4">
        <f t="shared" si="81"/>
        <v>108.81694345960069</v>
      </c>
      <c r="T259" s="4">
        <f t="shared" si="82"/>
        <v>129.75767571682312</v>
      </c>
      <c r="U259" s="4">
        <f t="shared" si="83"/>
        <v>103.4220999738771</v>
      </c>
      <c r="V259" s="4">
        <f t="shared" si="84"/>
        <v>106.83350816724113</v>
      </c>
      <c r="W259" s="4">
        <f t="shared" si="85"/>
        <v>82.752260397830042</v>
      </c>
      <c r="X259" s="4">
        <f t="shared" si="86"/>
        <v>97.891195536227144</v>
      </c>
      <c r="Y259" s="4">
        <f t="shared" si="87"/>
        <v>103.95864106351551</v>
      </c>
      <c r="Z259" s="4">
        <f t="shared" si="88"/>
        <v>101.25893160939097</v>
      </c>
      <c r="AA259" s="4">
        <f t="shared" si="89"/>
        <v>113.57888342812967</v>
      </c>
      <c r="AB259" s="4">
        <f t="shared" si="90"/>
        <v>80.219780219780219</v>
      </c>
      <c r="AC259" s="4">
        <f t="shared" si="91"/>
        <v>98.74355670103094</v>
      </c>
      <c r="AD259" s="4">
        <f t="shared" si="92"/>
        <v>87.45412078745413</v>
      </c>
      <c r="AE259" s="4">
        <f t="shared" si="93"/>
        <v>91.916412582732207</v>
      </c>
      <c r="AF259" s="4">
        <f t="shared" si="94"/>
        <v>105.50842861171978</v>
      </c>
      <c r="AG259" s="4">
        <f t="shared" si="95"/>
        <v>101.74689440993789</v>
      </c>
      <c r="AH259" s="4">
        <f t="shared" si="96"/>
        <v>111.26016485036236</v>
      </c>
      <c r="AI259" s="4">
        <f t="shared" si="97"/>
        <v>101.54307444785724</v>
      </c>
      <c r="AJ259" s="4">
        <f t="shared" si="98"/>
        <v>83.117096403350303</v>
      </c>
      <c r="AK259" s="4">
        <f t="shared" si="99"/>
        <v>111.98329340949573</v>
      </c>
      <c r="AL259" s="4">
        <f t="shared" si="100"/>
        <v>114.12809858145864</v>
      </c>
      <c r="AM259" s="4">
        <f t="shared" si="101"/>
        <v>72.792354326865265</v>
      </c>
      <c r="AN259" s="4">
        <f t="shared" si="102"/>
        <v>121.0439874321622</v>
      </c>
      <c r="AO259" s="4">
        <f t="shared" si="103"/>
        <v>114.15262475696694</v>
      </c>
      <c r="AP259" s="4">
        <f t="shared" si="104"/>
        <v>104.91609747870814</v>
      </c>
      <c r="AQ259" s="4">
        <f t="shared" si="105"/>
        <v>85.805675382222617</v>
      </c>
      <c r="AR259" s="4">
        <f t="shared" si="106"/>
        <v>99.790726571185672</v>
      </c>
      <c r="AS259" s="4">
        <f t="shared" si="107"/>
        <v>94.346407224223668</v>
      </c>
      <c r="AT259" s="4">
        <f t="shared" si="108"/>
        <v>112.24367430147501</v>
      </c>
      <c r="AU259" s="4">
        <f t="shared" si="109"/>
        <v>125.57861566880366</v>
      </c>
      <c r="AV259" s="4">
        <f t="shared" si="110"/>
        <v>85.814463111760418</v>
      </c>
      <c r="AW259" s="4">
        <f t="shared" si="111"/>
        <v>93.096896770107648</v>
      </c>
      <c r="AX259" s="4">
        <f t="shared" si="112"/>
        <v>84.83082318960183</v>
      </c>
    </row>
    <row r="260" spans="1:50" ht="14.25" customHeight="1" x14ac:dyDescent="0.3">
      <c r="A260" s="2">
        <v>45775</v>
      </c>
      <c r="B260" s="4">
        <f t="shared" si="64"/>
        <v>112.08188331627431</v>
      </c>
      <c r="C260" s="4">
        <f t="shared" si="65"/>
        <v>107.70939442213199</v>
      </c>
      <c r="D260" s="4">
        <f t="shared" si="66"/>
        <v>114.16933007457541</v>
      </c>
      <c r="E260" s="4">
        <f t="shared" si="67"/>
        <v>83.733540833323204</v>
      </c>
      <c r="F260" s="4">
        <f t="shared" si="68"/>
        <v>111.30759942351887</v>
      </c>
      <c r="G260" s="4">
        <f t="shared" si="69"/>
        <v>103.0446293494705</v>
      </c>
      <c r="H260" s="4">
        <f t="shared" si="70"/>
        <v>78.730411686586976</v>
      </c>
      <c r="I260" s="4">
        <f t="shared" si="71"/>
        <v>99.8492743637225</v>
      </c>
      <c r="J260" s="4">
        <f t="shared" si="72"/>
        <v>131.11184808155377</v>
      </c>
      <c r="K260" s="4">
        <f t="shared" si="73"/>
        <v>93.661264252326234</v>
      </c>
      <c r="L260" s="4">
        <f t="shared" si="74"/>
        <v>90.723926380368098</v>
      </c>
      <c r="M260" s="4">
        <f t="shared" si="75"/>
        <v>105.68953364917071</v>
      </c>
      <c r="N260" s="4">
        <f t="shared" si="76"/>
        <v>95.087605451005842</v>
      </c>
      <c r="O260" s="4">
        <f t="shared" si="77"/>
        <v>124.44643256542159</v>
      </c>
      <c r="P260" s="4">
        <f t="shared" si="78"/>
        <v>81.032453777556938</v>
      </c>
      <c r="Q260" s="4">
        <f t="shared" si="79"/>
        <v>97.441731262731807</v>
      </c>
      <c r="R260" s="4">
        <f t="shared" si="80"/>
        <v>105.82685419760635</v>
      </c>
      <c r="S260" s="4">
        <f t="shared" si="81"/>
        <v>111.28941966784849</v>
      </c>
      <c r="T260" s="4">
        <f t="shared" si="82"/>
        <v>130.02410555696522</v>
      </c>
      <c r="U260" s="4">
        <f t="shared" si="83"/>
        <v>103.54195798822934</v>
      </c>
      <c r="V260" s="4">
        <f t="shared" si="84"/>
        <v>108.34707028323093</v>
      </c>
      <c r="W260" s="4">
        <f t="shared" si="85"/>
        <v>82.1735985533454</v>
      </c>
      <c r="X260" s="4">
        <f t="shared" si="86"/>
        <v>99.277919094116697</v>
      </c>
      <c r="Y260" s="4">
        <f t="shared" si="87"/>
        <v>105.76070901033974</v>
      </c>
      <c r="Z260" s="4">
        <f t="shared" si="88"/>
        <v>103.79380741748896</v>
      </c>
      <c r="AA260" s="4">
        <f t="shared" si="89"/>
        <v>116.4503837870672</v>
      </c>
      <c r="AB260" s="4">
        <f t="shared" si="90"/>
        <v>80.086580086580085</v>
      </c>
      <c r="AC260" s="4">
        <f t="shared" si="91"/>
        <v>99.403994845360828</v>
      </c>
      <c r="AD260" s="4">
        <f t="shared" si="92"/>
        <v>89.175842509175837</v>
      </c>
      <c r="AE260" s="4">
        <f t="shared" si="93"/>
        <v>92.625750095817779</v>
      </c>
      <c r="AF260" s="4">
        <f t="shared" si="94"/>
        <v>106.40227366411384</v>
      </c>
      <c r="AG260" s="4">
        <f t="shared" si="95"/>
        <v>102.78209109730849</v>
      </c>
      <c r="AH260" s="4">
        <f t="shared" si="96"/>
        <v>110.914421640759</v>
      </c>
      <c r="AI260" s="4">
        <f t="shared" si="97"/>
        <v>103.89790843937399</v>
      </c>
      <c r="AJ260" s="4">
        <f t="shared" si="98"/>
        <v>84.710133026769569</v>
      </c>
      <c r="AK260" s="4">
        <f t="shared" si="99"/>
        <v>112.7449173883668</v>
      </c>
      <c r="AL260" s="4">
        <f t="shared" si="100"/>
        <v>115.07993367858677</v>
      </c>
      <c r="AM260" s="4">
        <f t="shared" si="101"/>
        <v>73.704911538543158</v>
      </c>
      <c r="AN260" s="4">
        <f t="shared" si="102"/>
        <v>123.97172236503853</v>
      </c>
      <c r="AO260" s="4">
        <f t="shared" si="103"/>
        <v>115.17336357744652</v>
      </c>
      <c r="AP260" s="4">
        <f t="shared" si="104"/>
        <v>106.02074373893244</v>
      </c>
      <c r="AQ260" s="4">
        <f t="shared" si="105"/>
        <v>85.776330076004342</v>
      </c>
      <c r="AR260" s="4">
        <f t="shared" si="106"/>
        <v>101.70034660911649</v>
      </c>
      <c r="AS260" s="4">
        <f t="shared" si="107"/>
        <v>95.594770443643867</v>
      </c>
      <c r="AT260" s="4">
        <f t="shared" si="108"/>
        <v>106.55611327154679</v>
      </c>
      <c r="AU260" s="4">
        <f t="shared" si="109"/>
        <v>125.52428555905684</v>
      </c>
      <c r="AV260" s="4">
        <f t="shared" si="110"/>
        <v>87.560262965668372</v>
      </c>
      <c r="AW260" s="4">
        <f t="shared" si="111"/>
        <v>93.484053676198201</v>
      </c>
      <c r="AX260" s="4">
        <f t="shared" si="112"/>
        <v>85.676707241592737</v>
      </c>
    </row>
    <row r="261" spans="1:50" ht="14.25" customHeight="1" x14ac:dyDescent="0.3">
      <c r="A261" s="2">
        <v>45776</v>
      </c>
      <c r="B261" s="4">
        <f t="shared" si="64"/>
        <v>114.61207778915046</v>
      </c>
      <c r="C261" s="4">
        <f t="shared" si="65"/>
        <v>107.0699365029505</v>
      </c>
      <c r="D261" s="4">
        <f t="shared" si="66"/>
        <v>114.29466691734034</v>
      </c>
      <c r="E261" s="4">
        <f t="shared" si="67"/>
        <v>84.438716580140792</v>
      </c>
      <c r="F261" s="4">
        <f t="shared" si="68"/>
        <v>111.38550227865849</v>
      </c>
      <c r="G261" s="4">
        <f t="shared" si="69"/>
        <v>102.4394856278366</v>
      </c>
      <c r="H261" s="4">
        <f t="shared" si="70"/>
        <v>79.548472775564406</v>
      </c>
      <c r="I261" s="4">
        <f t="shared" si="71"/>
        <v>99.982774212996858</v>
      </c>
      <c r="J261" s="4">
        <f t="shared" si="72"/>
        <v>131.11184808155377</v>
      </c>
      <c r="K261" s="4">
        <f t="shared" si="73"/>
        <v>93.04967017605172</v>
      </c>
      <c r="L261" s="4">
        <f t="shared" si="74"/>
        <v>90.587593728698039</v>
      </c>
      <c r="M261" s="4">
        <f t="shared" si="75"/>
        <v>105.64492385107465</v>
      </c>
      <c r="N261" s="4">
        <f t="shared" si="76"/>
        <v>94.406229720960397</v>
      </c>
      <c r="O261" s="4">
        <f t="shared" si="77"/>
        <v>123.29456497427867</v>
      </c>
      <c r="P261" s="4">
        <f t="shared" si="78"/>
        <v>82.062815450194819</v>
      </c>
      <c r="Q261" s="4">
        <f t="shared" si="79"/>
        <v>95.53162782084182</v>
      </c>
      <c r="R261" s="4">
        <f t="shared" si="80"/>
        <v>103.68655542937013</v>
      </c>
      <c r="S261" s="4">
        <f t="shared" si="81"/>
        <v>110.77626422840081</v>
      </c>
      <c r="T261" s="4">
        <f t="shared" si="82"/>
        <v>131.11519918802335</v>
      </c>
      <c r="U261" s="4">
        <f t="shared" si="83"/>
        <v>103.83391981806167</v>
      </c>
      <c r="V261" s="4">
        <f t="shared" si="84"/>
        <v>106.98336580248764</v>
      </c>
      <c r="W261" s="4">
        <f t="shared" si="85"/>
        <v>83.584086799276676</v>
      </c>
      <c r="X261" s="4">
        <f t="shared" si="86"/>
        <v>99.811274308689619</v>
      </c>
      <c r="Y261" s="4">
        <f t="shared" si="87"/>
        <v>103.68432158683267</v>
      </c>
      <c r="Z261" s="4">
        <f t="shared" si="88"/>
        <v>107.89384144266761</v>
      </c>
      <c r="AA261" s="4">
        <f t="shared" si="89"/>
        <v>114.37406814291235</v>
      </c>
      <c r="AB261" s="4">
        <f t="shared" si="90"/>
        <v>80.38628038628039</v>
      </c>
      <c r="AC261" s="4">
        <f t="shared" si="91"/>
        <v>97.599871134020631</v>
      </c>
      <c r="AD261" s="4">
        <f t="shared" si="92"/>
        <v>88.835502168835504</v>
      </c>
      <c r="AE261" s="4">
        <f t="shared" si="93"/>
        <v>92.425533862285562</v>
      </c>
      <c r="AF261" s="4">
        <f t="shared" si="94"/>
        <v>106.35454407393748</v>
      </c>
      <c r="AG261" s="4">
        <f t="shared" si="95"/>
        <v>100.69875776397517</v>
      </c>
      <c r="AH261" s="4">
        <f t="shared" si="96"/>
        <v>110.06158839040403</v>
      </c>
      <c r="AI261" s="4">
        <f t="shared" si="97"/>
        <v>103.48105894398128</v>
      </c>
      <c r="AJ261" s="4">
        <f t="shared" si="98"/>
        <v>84.621448513713233</v>
      </c>
      <c r="AK261" s="4">
        <f t="shared" si="99"/>
        <v>112.42962144012448</v>
      </c>
      <c r="AL261" s="4">
        <f t="shared" si="100"/>
        <v>114.19974208339303</v>
      </c>
      <c r="AM261" s="4">
        <f t="shared" si="101"/>
        <v>76.27987917459555</v>
      </c>
      <c r="AN261" s="4">
        <f t="shared" si="102"/>
        <v>123.54327335047127</v>
      </c>
      <c r="AO261" s="4">
        <f t="shared" si="103"/>
        <v>115.85385612443291</v>
      </c>
      <c r="AP261" s="4">
        <f t="shared" si="104"/>
        <v>104.9919892065098</v>
      </c>
      <c r="AQ261" s="4">
        <f t="shared" si="105"/>
        <v>87.760072776359436</v>
      </c>
      <c r="AR261" s="4">
        <f t="shared" si="106"/>
        <v>100.81093453665555</v>
      </c>
      <c r="AS261" s="4">
        <f t="shared" si="107"/>
        <v>94.882389258648629</v>
      </c>
      <c r="AT261" s="4">
        <f t="shared" si="108"/>
        <v>105.30553509327942</v>
      </c>
      <c r="AU261" s="4">
        <f t="shared" si="109"/>
        <v>127.01293056611975</v>
      </c>
      <c r="AV261" s="4">
        <f t="shared" si="110"/>
        <v>85.902118334550778</v>
      </c>
      <c r="AW261" s="4">
        <f t="shared" si="111"/>
        <v>92.074037783646205</v>
      </c>
      <c r="AX261" s="4">
        <f t="shared" si="112"/>
        <v>86.336909428512499</v>
      </c>
    </row>
    <row r="262" spans="1:50" ht="14.25" customHeight="1" x14ac:dyDescent="0.3">
      <c r="A262" s="2">
        <v>45777</v>
      </c>
      <c r="B262" s="4">
        <f t="shared" si="64"/>
        <v>115.04605936540429</v>
      </c>
      <c r="C262" s="4">
        <f t="shared" si="65"/>
        <v>107.97863986178736</v>
      </c>
      <c r="D262" s="4">
        <f t="shared" si="66"/>
        <v>116.84527166760668</v>
      </c>
      <c r="E262" s="4">
        <f t="shared" si="67"/>
        <v>83.981568164962482</v>
      </c>
      <c r="F262" s="4">
        <f t="shared" si="68"/>
        <v>111.16737428426751</v>
      </c>
      <c r="G262" s="4">
        <f t="shared" si="69"/>
        <v>99.426374180534523</v>
      </c>
      <c r="H262" s="4">
        <f t="shared" si="70"/>
        <v>79.686586985391756</v>
      </c>
      <c r="I262" s="4">
        <f t="shared" si="71"/>
        <v>100.86128935015719</v>
      </c>
      <c r="J262" s="4">
        <f t="shared" si="72"/>
        <v>124.50074257782649</v>
      </c>
      <c r="K262" s="4">
        <f t="shared" si="73"/>
        <v>93.005984884889259</v>
      </c>
      <c r="L262" s="4">
        <f t="shared" si="74"/>
        <v>91.097477845944113</v>
      </c>
      <c r="M262" s="4">
        <f t="shared" si="75"/>
        <v>109.35645905266634</v>
      </c>
      <c r="N262" s="4">
        <f t="shared" si="76"/>
        <v>95.029201817001933</v>
      </c>
      <c r="O262" s="4">
        <f t="shared" si="77"/>
        <v>123.46790427197493</v>
      </c>
      <c r="P262" s="4">
        <f t="shared" si="78"/>
        <v>81.984361515730015</v>
      </c>
      <c r="Q262" s="4">
        <f t="shared" si="79"/>
        <v>96.949654752771224</v>
      </c>
      <c r="R262" s="4">
        <f t="shared" si="80"/>
        <v>101.69476718790949</v>
      </c>
      <c r="S262" s="4">
        <f t="shared" si="81"/>
        <v>110.56167195372271</v>
      </c>
      <c r="T262" s="4">
        <f t="shared" si="82"/>
        <v>123.80106571936057</v>
      </c>
      <c r="U262" s="4">
        <f t="shared" si="83"/>
        <v>103.86772592467386</v>
      </c>
      <c r="V262" s="4">
        <f t="shared" si="84"/>
        <v>106.26404915330437</v>
      </c>
      <c r="W262" s="4">
        <f t="shared" si="85"/>
        <v>84.094032549728752</v>
      </c>
      <c r="X262" s="4">
        <f t="shared" si="86"/>
        <v>99.819479773529181</v>
      </c>
      <c r="Y262" s="4">
        <f t="shared" si="87"/>
        <v>103.16522473095591</v>
      </c>
      <c r="Z262" s="4">
        <f t="shared" si="88"/>
        <v>106.87308608370196</v>
      </c>
      <c r="AA262" s="4">
        <f t="shared" si="89"/>
        <v>113.73350267822629</v>
      </c>
      <c r="AB262" s="4">
        <f t="shared" si="90"/>
        <v>80.419580419580413</v>
      </c>
      <c r="AC262" s="4">
        <f t="shared" si="91"/>
        <v>99.049613402061865</v>
      </c>
      <c r="AD262" s="4">
        <f t="shared" si="92"/>
        <v>85.985985985985991</v>
      </c>
      <c r="AE262" s="4">
        <f t="shared" si="93"/>
        <v>91.870648872210566</v>
      </c>
      <c r="AF262" s="4">
        <f t="shared" si="94"/>
        <v>105.25242444622826</v>
      </c>
      <c r="AG262" s="4">
        <f t="shared" si="95"/>
        <v>99.715320910973091</v>
      </c>
      <c r="AH262" s="4">
        <f t="shared" si="96"/>
        <v>110.09385775663365</v>
      </c>
      <c r="AI262" s="4">
        <f t="shared" si="97"/>
        <v>102.44259178002049</v>
      </c>
      <c r="AJ262" s="4">
        <f t="shared" si="98"/>
        <v>85.53785514862868</v>
      </c>
      <c r="AK262" s="4">
        <f t="shared" si="99"/>
        <v>112.09385172900927</v>
      </c>
      <c r="AL262" s="4">
        <f t="shared" si="100"/>
        <v>113.95410721961802</v>
      </c>
      <c r="AM262" s="4">
        <f t="shared" si="101"/>
        <v>73.181429107038014</v>
      </c>
      <c r="AN262" s="4">
        <f t="shared" si="102"/>
        <v>126.09254498714651</v>
      </c>
      <c r="AO262" s="4">
        <f t="shared" si="103"/>
        <v>120.49578742709008</v>
      </c>
      <c r="AP262" s="4">
        <f t="shared" si="104"/>
        <v>105.3461506029176</v>
      </c>
      <c r="AQ262" s="4">
        <f t="shared" si="105"/>
        <v>88.21199049212079</v>
      </c>
      <c r="AR262" s="4">
        <f t="shared" si="106"/>
        <v>101.37335687659406</v>
      </c>
      <c r="AS262" s="4">
        <f t="shared" si="107"/>
        <v>94.672067194507207</v>
      </c>
      <c r="AT262" s="4">
        <f t="shared" si="108"/>
        <v>104.79159885563534</v>
      </c>
      <c r="AU262" s="4">
        <f t="shared" si="109"/>
        <v>126.67608388568945</v>
      </c>
      <c r="AV262" s="4">
        <f t="shared" si="110"/>
        <v>86.479181884587305</v>
      </c>
      <c r="AW262" s="4">
        <f t="shared" si="111"/>
        <v>91.469403850060331</v>
      </c>
      <c r="AX262" s="4">
        <f t="shared" si="112"/>
        <v>86.486486486486498</v>
      </c>
    </row>
    <row r="263" spans="1:50" ht="14.25" customHeight="1" x14ac:dyDescent="0.3">
      <c r="A263" s="2">
        <v>45779</v>
      </c>
      <c r="B263" s="4">
        <f t="shared" si="64"/>
        <v>116.47082906857729</v>
      </c>
      <c r="C263" s="4">
        <f t="shared" si="65"/>
        <v>107.97863986178736</v>
      </c>
      <c r="D263" s="4">
        <f t="shared" si="66"/>
        <v>116.05564955818764</v>
      </c>
      <c r="E263" s="4">
        <f t="shared" si="67"/>
        <v>83.7627205193984</v>
      </c>
      <c r="F263" s="4">
        <f t="shared" si="68"/>
        <v>111.58804970202158</v>
      </c>
      <c r="G263" s="4">
        <f t="shared" si="69"/>
        <v>100.85728693898133</v>
      </c>
      <c r="H263" s="4">
        <f t="shared" si="70"/>
        <v>80.042496679946879</v>
      </c>
      <c r="I263" s="4">
        <f t="shared" si="71"/>
        <v>100.07751604151416</v>
      </c>
      <c r="J263" s="4">
        <f t="shared" si="72"/>
        <v>127.78827159603767</v>
      </c>
      <c r="K263" s="4">
        <f t="shared" si="73"/>
        <v>93.977982613254113</v>
      </c>
      <c r="L263" s="4">
        <f t="shared" si="74"/>
        <v>90.792092706203135</v>
      </c>
      <c r="M263" s="4">
        <f t="shared" si="75"/>
        <v>110.68583103592873</v>
      </c>
      <c r="N263" s="4">
        <f t="shared" si="76"/>
        <v>94.944841012329647</v>
      </c>
      <c r="O263" s="4">
        <f t="shared" si="77"/>
        <v>122.18743010512188</v>
      </c>
      <c r="P263" s="4">
        <f t="shared" si="78"/>
        <v>82.455085122518895</v>
      </c>
      <c r="Q263" s="4">
        <f t="shared" si="79"/>
        <v>96.796211539987837</v>
      </c>
      <c r="R263" s="4">
        <f t="shared" si="80"/>
        <v>101.72097492792871</v>
      </c>
      <c r="S263" s="4">
        <f t="shared" si="81"/>
        <v>110.30042918454936</v>
      </c>
      <c r="T263" s="4">
        <f t="shared" si="82"/>
        <v>124.20705404719612</v>
      </c>
      <c r="U263" s="4">
        <f t="shared" si="83"/>
        <v>102.67836562840942</v>
      </c>
      <c r="V263" s="4">
        <f t="shared" si="84"/>
        <v>104.43578600329688</v>
      </c>
      <c r="W263" s="4">
        <f t="shared" si="85"/>
        <v>84.734177215189888</v>
      </c>
      <c r="X263" s="4">
        <f t="shared" si="86"/>
        <v>103.97144498235824</v>
      </c>
      <c r="Y263" s="4">
        <f t="shared" si="87"/>
        <v>102.73053386790461</v>
      </c>
      <c r="Z263" s="4">
        <f t="shared" si="88"/>
        <v>105.9373936713168</v>
      </c>
      <c r="AA263" s="4">
        <f t="shared" si="89"/>
        <v>107.48246728146226</v>
      </c>
      <c r="AB263" s="4">
        <f t="shared" si="90"/>
        <v>80.875790875790869</v>
      </c>
      <c r="AC263" s="4">
        <f t="shared" si="91"/>
        <v>97.922036082474222</v>
      </c>
      <c r="AD263" s="4">
        <f t="shared" si="92"/>
        <v>87.020353687020346</v>
      </c>
      <c r="AE263" s="4">
        <f t="shared" si="93"/>
        <v>89.656829375725792</v>
      </c>
      <c r="AF263" s="4">
        <f t="shared" si="94"/>
        <v>104.56251491549693</v>
      </c>
      <c r="AG263" s="4">
        <f t="shared" si="95"/>
        <v>99.482401656314707</v>
      </c>
      <c r="AH263" s="4">
        <f t="shared" si="96"/>
        <v>107.76585347863769</v>
      </c>
      <c r="AI263" s="4">
        <f t="shared" si="97"/>
        <v>103.24703817463801</v>
      </c>
      <c r="AJ263" s="4">
        <f t="shared" si="98"/>
        <v>85.005748070290693</v>
      </c>
      <c r="AK263" s="4">
        <f t="shared" si="99"/>
        <v>111.30765923469075</v>
      </c>
      <c r="AL263" s="4">
        <f t="shared" si="100"/>
        <v>111.30329764804617</v>
      </c>
      <c r="AM263" s="4">
        <f t="shared" si="101"/>
        <v>72.83479884833865</v>
      </c>
      <c r="AN263" s="4">
        <f t="shared" si="102"/>
        <v>126.01399600114252</v>
      </c>
      <c r="AO263" s="4">
        <f t="shared" si="103"/>
        <v>117.91153596889177</v>
      </c>
      <c r="AP263" s="4">
        <f t="shared" si="104"/>
        <v>106.60258031874525</v>
      </c>
      <c r="AQ263" s="4">
        <f t="shared" si="105"/>
        <v>87.818763388795958</v>
      </c>
      <c r="AR263" s="4">
        <f t="shared" si="106"/>
        <v>99.771107187234321</v>
      </c>
      <c r="AS263" s="4">
        <f t="shared" si="107"/>
        <v>94.366760972366393</v>
      </c>
      <c r="AT263" s="4">
        <f t="shared" si="108"/>
        <v>103.50675826152502</v>
      </c>
      <c r="AU263" s="4">
        <f t="shared" si="109"/>
        <v>125.69814191024666</v>
      </c>
      <c r="AV263" s="4">
        <f t="shared" si="110"/>
        <v>86.406135865595331</v>
      </c>
      <c r="AW263" s="4">
        <f t="shared" si="111"/>
        <v>89.39261773035237</v>
      </c>
      <c r="AX263" s="4">
        <f t="shared" si="112"/>
        <v>87.992572725397167</v>
      </c>
    </row>
    <row r="264" spans="1:50" ht="14.25" customHeight="1" x14ac:dyDescent="0.3">
      <c r="A264" s="2">
        <v>45782</v>
      </c>
      <c r="B264" s="4">
        <f t="shared" si="64"/>
        <v>117.19959058341863</v>
      </c>
      <c r="C264" s="4">
        <f t="shared" si="65"/>
        <v>108.64053490094012</v>
      </c>
      <c r="D264" s="4">
        <f t="shared" si="66"/>
        <v>116.93927429968039</v>
      </c>
      <c r="E264" s="4">
        <f t="shared" si="67"/>
        <v>83.996158008000108</v>
      </c>
      <c r="F264" s="4">
        <f t="shared" si="68"/>
        <v>111.35434113660266</v>
      </c>
      <c r="G264" s="4">
        <f t="shared" si="69"/>
        <v>99.596570852244056</v>
      </c>
      <c r="H264" s="4">
        <f t="shared" si="70"/>
        <v>80.13811420982735</v>
      </c>
      <c r="I264" s="4">
        <f t="shared" si="71"/>
        <v>101.14120838895828</v>
      </c>
      <c r="J264" s="4">
        <f t="shared" si="72"/>
        <v>128.7903911871152</v>
      </c>
      <c r="K264" s="4">
        <f t="shared" si="73"/>
        <v>95.441439867196706</v>
      </c>
      <c r="L264" s="4">
        <f t="shared" si="74"/>
        <v>90.802999318336731</v>
      </c>
      <c r="M264" s="4">
        <f t="shared" si="75"/>
        <v>111.1497729361277</v>
      </c>
      <c r="N264" s="4">
        <f t="shared" si="76"/>
        <v>98.036988968202451</v>
      </c>
      <c r="O264" s="4">
        <f t="shared" si="77"/>
        <v>116.57906508611046</v>
      </c>
      <c r="P264" s="4">
        <f t="shared" si="78"/>
        <v>82.041894401004214</v>
      </c>
      <c r="Q264" s="4">
        <f t="shared" si="79"/>
        <v>97.177173999312146</v>
      </c>
      <c r="R264" s="4">
        <f t="shared" si="80"/>
        <v>101.94810867476194</v>
      </c>
      <c r="S264" s="4">
        <f t="shared" si="81"/>
        <v>109.46072028363503</v>
      </c>
      <c r="T264" s="4">
        <f t="shared" si="82"/>
        <v>128.53336716569399</v>
      </c>
      <c r="U264" s="4">
        <f t="shared" si="83"/>
        <v>102.08829540390616</v>
      </c>
      <c r="V264" s="4">
        <f t="shared" si="84"/>
        <v>104.48074329387084</v>
      </c>
      <c r="W264" s="4">
        <f t="shared" si="85"/>
        <v>86.763110307414109</v>
      </c>
      <c r="X264" s="4">
        <f t="shared" si="86"/>
        <v>110.53581685402479</v>
      </c>
      <c r="Y264" s="4">
        <f t="shared" si="87"/>
        <v>100.94956741928678</v>
      </c>
      <c r="Z264" s="4">
        <f t="shared" si="88"/>
        <v>107.2813882272882</v>
      </c>
      <c r="AA264" s="4">
        <f t="shared" si="89"/>
        <v>105.52763819095476</v>
      </c>
      <c r="AB264" s="4">
        <f t="shared" si="90"/>
        <v>81.1088911088911</v>
      </c>
      <c r="AC264" s="4">
        <f t="shared" si="91"/>
        <v>99.291237113402047</v>
      </c>
      <c r="AD264" s="4">
        <f t="shared" si="92"/>
        <v>88.294961628294956</v>
      </c>
      <c r="AE264" s="4">
        <f t="shared" si="93"/>
        <v>90.617867296680416</v>
      </c>
      <c r="AF264" s="4">
        <f t="shared" si="94"/>
        <v>105.73839845529692</v>
      </c>
      <c r="AG264" s="4">
        <f t="shared" si="95"/>
        <v>99.7929606625259</v>
      </c>
      <c r="AH264" s="4">
        <f t="shared" si="96"/>
        <v>107.32791207980677</v>
      </c>
      <c r="AI264" s="4">
        <f t="shared" si="97"/>
        <v>103.90522158841597</v>
      </c>
      <c r="AJ264" s="4">
        <f t="shared" si="98"/>
        <v>85.596978157332899</v>
      </c>
      <c r="AK264" s="4">
        <f t="shared" si="99"/>
        <v>112.81452818213458</v>
      </c>
      <c r="AL264" s="4">
        <f t="shared" si="100"/>
        <v>111.77409780361491</v>
      </c>
      <c r="AM264" s="4">
        <f t="shared" si="101"/>
        <v>75.982767524281797</v>
      </c>
      <c r="AN264" s="4">
        <f t="shared" si="102"/>
        <v>126.38531848043415</v>
      </c>
      <c r="AO264" s="4">
        <f t="shared" si="103"/>
        <v>119.71808165910562</v>
      </c>
      <c r="AP264" s="4">
        <f t="shared" si="104"/>
        <v>106.82182308795008</v>
      </c>
      <c r="AQ264" s="4">
        <f t="shared" si="105"/>
        <v>87.718989347653846</v>
      </c>
      <c r="AR264" s="4">
        <f t="shared" si="106"/>
        <v>100.90249166176184</v>
      </c>
      <c r="AS264" s="4">
        <f t="shared" si="107"/>
        <v>94.631359698221758</v>
      </c>
      <c r="AT264" s="4">
        <f t="shared" si="108"/>
        <v>107.72960101416751</v>
      </c>
      <c r="AU264" s="4">
        <f t="shared" si="109"/>
        <v>126.2088449418668</v>
      </c>
      <c r="AV264" s="4">
        <f t="shared" si="110"/>
        <v>85.558802045288544</v>
      </c>
      <c r="AW264" s="4">
        <f t="shared" si="111"/>
        <v>90.040269097948283</v>
      </c>
      <c r="AX264" s="4">
        <f t="shared" si="112"/>
        <v>87.34784402723335</v>
      </c>
    </row>
    <row r="265" spans="1:50" ht="14.25" customHeight="1" x14ac:dyDescent="0.3">
      <c r="A265" s="2">
        <v>45783</v>
      </c>
      <c r="B265" s="4">
        <f t="shared" si="64"/>
        <v>116.34800409416582</v>
      </c>
      <c r="C265" s="4">
        <f t="shared" si="65"/>
        <v>108.35446162130629</v>
      </c>
      <c r="D265" s="4">
        <f t="shared" si="66"/>
        <v>119.13266904806667</v>
      </c>
      <c r="E265" s="4">
        <f t="shared" si="67"/>
        <v>84.134761516857353</v>
      </c>
      <c r="F265" s="4">
        <f t="shared" si="68"/>
        <v>111.52572741790985</v>
      </c>
      <c r="G265" s="4">
        <f t="shared" si="69"/>
        <v>97.592032274331814</v>
      </c>
      <c r="H265" s="4">
        <f t="shared" si="70"/>
        <v>80.29216467463479</v>
      </c>
      <c r="I265" s="4">
        <f t="shared" si="71"/>
        <v>102.57094871021921</v>
      </c>
      <c r="J265" s="4">
        <f t="shared" si="72"/>
        <v>126.85103744610903</v>
      </c>
      <c r="K265" s="4">
        <f t="shared" si="73"/>
        <v>95.135642829059449</v>
      </c>
      <c r="L265" s="4">
        <f t="shared" si="74"/>
        <v>90.906612133605989</v>
      </c>
      <c r="M265" s="4">
        <f t="shared" si="75"/>
        <v>112.24717396929063</v>
      </c>
      <c r="N265" s="4">
        <f t="shared" si="76"/>
        <v>99.558728098637232</v>
      </c>
      <c r="O265" s="4">
        <f t="shared" si="77"/>
        <v>115.96958174904941</v>
      </c>
      <c r="P265" s="4">
        <f t="shared" si="78"/>
        <v>82.591071942257898</v>
      </c>
      <c r="Q265" s="4">
        <f t="shared" si="79"/>
        <v>96.251223577343296</v>
      </c>
      <c r="R265" s="4">
        <f t="shared" si="80"/>
        <v>102.14903468157597</v>
      </c>
      <c r="S265" s="4">
        <f t="shared" si="81"/>
        <v>108.3597686135473</v>
      </c>
      <c r="T265" s="4">
        <f t="shared" si="82"/>
        <v>129.14234965744734</v>
      </c>
      <c r="U265" s="4">
        <f t="shared" si="83"/>
        <v>101.39680685956635</v>
      </c>
      <c r="V265" s="4">
        <f t="shared" si="84"/>
        <v>102.44267945451821</v>
      </c>
      <c r="W265" s="4">
        <f t="shared" si="85"/>
        <v>84.137432188065105</v>
      </c>
      <c r="X265" s="4">
        <f t="shared" si="86"/>
        <v>108.3777796012144</v>
      </c>
      <c r="Y265" s="4">
        <f t="shared" si="87"/>
        <v>100.02110149820638</v>
      </c>
      <c r="Z265" s="4">
        <f t="shared" si="88"/>
        <v>105.6481796529432</v>
      </c>
      <c r="AA265" s="4">
        <f t="shared" si="89"/>
        <v>106.85294604892594</v>
      </c>
      <c r="AB265" s="4">
        <f t="shared" si="90"/>
        <v>80.316350316350309</v>
      </c>
      <c r="AC265" s="4">
        <f t="shared" si="91"/>
        <v>99.097938144329916</v>
      </c>
      <c r="AD265" s="4">
        <f t="shared" si="92"/>
        <v>86.513179846513182</v>
      </c>
      <c r="AE265" s="4">
        <f t="shared" si="93"/>
        <v>90.903890487440734</v>
      </c>
      <c r="AF265" s="4">
        <f t="shared" si="94"/>
        <v>104.91831731499359</v>
      </c>
      <c r="AG265" s="4">
        <f t="shared" si="95"/>
        <v>97.890786749482416</v>
      </c>
      <c r="AH265" s="4">
        <f t="shared" si="96"/>
        <v>108.63251645737679</v>
      </c>
      <c r="AI265" s="4">
        <f t="shared" si="97"/>
        <v>105.63112476232266</v>
      </c>
      <c r="AJ265" s="4">
        <f t="shared" si="98"/>
        <v>82.509443258334699</v>
      </c>
      <c r="AK265" s="4">
        <f t="shared" si="99"/>
        <v>111.7335135024466</v>
      </c>
      <c r="AL265" s="4">
        <f t="shared" si="100"/>
        <v>112.88968947659303</v>
      </c>
      <c r="AM265" s="4">
        <f t="shared" si="101"/>
        <v>73.910060058997885</v>
      </c>
      <c r="AN265" s="4">
        <f t="shared" si="102"/>
        <v>123.25049985718364</v>
      </c>
      <c r="AO265" s="4">
        <f t="shared" si="103"/>
        <v>117.07712248865847</v>
      </c>
      <c r="AP265" s="4">
        <f t="shared" si="104"/>
        <v>106.25685133653764</v>
      </c>
      <c r="AQ265" s="4">
        <f t="shared" si="105"/>
        <v>87.812894327552314</v>
      </c>
      <c r="AR265" s="4">
        <f t="shared" si="106"/>
        <v>98.842456346870705</v>
      </c>
      <c r="AS265" s="4">
        <f t="shared" si="107"/>
        <v>95.106280488218559</v>
      </c>
      <c r="AT265" s="4">
        <f t="shared" si="108"/>
        <v>106.80451578640813</v>
      </c>
      <c r="AU265" s="4">
        <f t="shared" si="109"/>
        <v>125.53515158100619</v>
      </c>
      <c r="AV265" s="4">
        <f t="shared" si="110"/>
        <v>84.762600438276138</v>
      </c>
      <c r="AW265" s="4">
        <f t="shared" si="111"/>
        <v>92.54961941520186</v>
      </c>
      <c r="AX265" s="4">
        <f t="shared" si="112"/>
        <v>85.805652981225506</v>
      </c>
    </row>
    <row r="266" spans="1:50" ht="14.25" customHeight="1" x14ac:dyDescent="0.3">
      <c r="A266" s="2">
        <v>45784</v>
      </c>
      <c r="B266" s="4">
        <f t="shared" si="64"/>
        <v>115.12794268167859</v>
      </c>
      <c r="C266" s="4">
        <f t="shared" si="65"/>
        <v>109.13415154030828</v>
      </c>
      <c r="D266" s="4">
        <f t="shared" si="66"/>
        <v>118.86946167826031</v>
      </c>
      <c r="E266" s="4">
        <f t="shared" si="67"/>
        <v>83.772447081423479</v>
      </c>
      <c r="F266" s="4">
        <f t="shared" si="68"/>
        <v>111.82175826744052</v>
      </c>
      <c r="G266" s="4">
        <f t="shared" si="69"/>
        <v>97.84417549167928</v>
      </c>
      <c r="H266" s="4">
        <f t="shared" si="70"/>
        <v>80.122177954847274</v>
      </c>
      <c r="I266" s="4">
        <f t="shared" si="71"/>
        <v>102.09723956763277</v>
      </c>
      <c r="J266" s="4">
        <f t="shared" si="72"/>
        <v>129.57622597436304</v>
      </c>
      <c r="K266" s="4">
        <f t="shared" si="73"/>
        <v>94.174566423485203</v>
      </c>
      <c r="L266" s="4">
        <f t="shared" si="74"/>
        <v>90.563053851397413</v>
      </c>
      <c r="M266" s="4">
        <f t="shared" si="75"/>
        <v>112.71111586948959</v>
      </c>
      <c r="N266" s="4">
        <f t="shared" si="76"/>
        <v>101.22972096041532</v>
      </c>
      <c r="O266" s="4">
        <f t="shared" si="77"/>
        <v>117.13822411093713</v>
      </c>
      <c r="P266" s="4">
        <f t="shared" si="78"/>
        <v>81.764690499228536</v>
      </c>
      <c r="Q266" s="4">
        <f t="shared" si="79"/>
        <v>94.251170665890626</v>
      </c>
      <c r="R266" s="4">
        <f t="shared" si="80"/>
        <v>101.84327771468506</v>
      </c>
      <c r="S266" s="4">
        <f t="shared" si="81"/>
        <v>108.35043851464825</v>
      </c>
      <c r="T266" s="4">
        <f t="shared" si="82"/>
        <v>128.79345343821365</v>
      </c>
      <c r="U266" s="4">
        <f t="shared" si="83"/>
        <v>102.61382669760437</v>
      </c>
      <c r="V266" s="4">
        <f t="shared" si="84"/>
        <v>102.51760827214147</v>
      </c>
      <c r="W266" s="4">
        <f t="shared" si="85"/>
        <v>85.678119349005428</v>
      </c>
      <c r="X266" s="4">
        <f t="shared" si="86"/>
        <v>109.80553048330188</v>
      </c>
      <c r="Y266" s="4">
        <f t="shared" si="87"/>
        <v>100.72589153829922</v>
      </c>
      <c r="Z266" s="4">
        <f t="shared" si="88"/>
        <v>105.46104117046615</v>
      </c>
      <c r="AA266" s="4">
        <f t="shared" si="89"/>
        <v>106.69832679882931</v>
      </c>
      <c r="AB266" s="4">
        <f t="shared" si="90"/>
        <v>81.265401265401266</v>
      </c>
      <c r="AC266" s="4">
        <f t="shared" si="91"/>
        <v>100.22551546391753</v>
      </c>
      <c r="AD266" s="4">
        <f t="shared" si="92"/>
        <v>90.797464130797451</v>
      </c>
      <c r="AE266" s="4">
        <f t="shared" si="93"/>
        <v>89.799840971105937</v>
      </c>
      <c r="AF266" s="4">
        <f t="shared" si="94"/>
        <v>101.27785130063131</v>
      </c>
      <c r="AG266" s="4">
        <f t="shared" si="95"/>
        <v>99.197722567287784</v>
      </c>
      <c r="AH266" s="4">
        <f t="shared" si="96"/>
        <v>107.79812284486734</v>
      </c>
      <c r="AI266" s="4">
        <f t="shared" si="97"/>
        <v>106.77197601287112</v>
      </c>
      <c r="AJ266" s="4">
        <f t="shared" si="98"/>
        <v>84.118902939727377</v>
      </c>
      <c r="AK266" s="4">
        <f t="shared" si="99"/>
        <v>110.55422476096881</v>
      </c>
      <c r="AL266" s="4">
        <f t="shared" si="100"/>
        <v>112.35748060508053</v>
      </c>
      <c r="AM266" s="4">
        <f t="shared" si="101"/>
        <v>74.037393623418055</v>
      </c>
      <c r="AN266" s="4">
        <f t="shared" si="102"/>
        <v>124.57155098543271</v>
      </c>
      <c r="AO266" s="4">
        <f t="shared" si="103"/>
        <v>117.28775113415423</v>
      </c>
      <c r="AP266" s="4">
        <f t="shared" si="104"/>
        <v>107.31090311156082</v>
      </c>
      <c r="AQ266" s="4">
        <f t="shared" si="105"/>
        <v>87.754203715115764</v>
      </c>
      <c r="AR266" s="4">
        <f t="shared" si="106"/>
        <v>98.672421685959051</v>
      </c>
      <c r="AS266" s="4">
        <f t="shared" si="107"/>
        <v>94.753482187078077</v>
      </c>
      <c r="AT266" s="4">
        <f t="shared" si="108"/>
        <v>109.0658352320422</v>
      </c>
      <c r="AU266" s="4">
        <f t="shared" si="109"/>
        <v>124.52461153971532</v>
      </c>
      <c r="AV266" s="4">
        <f t="shared" si="110"/>
        <v>84.784514243973717</v>
      </c>
      <c r="AW266" s="4">
        <f t="shared" si="111"/>
        <v>92.439685972731709</v>
      </c>
      <c r="AX266" s="4">
        <f t="shared" si="112"/>
        <v>86.011966164637926</v>
      </c>
    </row>
    <row r="267" spans="1:50" ht="14.25" customHeight="1" x14ac:dyDescent="0.3">
      <c r="A267" s="2">
        <v>45785</v>
      </c>
      <c r="B267" s="4">
        <f t="shared" si="64"/>
        <v>115.2098259979529</v>
      </c>
      <c r="C267" s="4">
        <f t="shared" si="65"/>
        <v>108.17496466153604</v>
      </c>
      <c r="D267" s="4">
        <f t="shared" si="66"/>
        <v>117.49702324998435</v>
      </c>
      <c r="E267" s="4">
        <f t="shared" si="67"/>
        <v>83.864849420661642</v>
      </c>
      <c r="F267" s="4">
        <f t="shared" si="68"/>
        <v>111.82954855295446</v>
      </c>
      <c r="G267" s="4">
        <f t="shared" si="69"/>
        <v>96.949067070095808</v>
      </c>
      <c r="H267" s="4">
        <f t="shared" si="70"/>
        <v>80.286852589641441</v>
      </c>
      <c r="I267" s="4">
        <f t="shared" si="71"/>
        <v>101.41251453425781</v>
      </c>
      <c r="J267" s="4">
        <f t="shared" si="72"/>
        <v>127.35570198837829</v>
      </c>
      <c r="K267" s="4">
        <f t="shared" si="73"/>
        <v>94.054431872788427</v>
      </c>
      <c r="L267" s="4">
        <f t="shared" si="74"/>
        <v>90.631220177232436</v>
      </c>
      <c r="M267" s="4">
        <f t="shared" si="75"/>
        <v>110.56092360125977</v>
      </c>
      <c r="N267" s="4">
        <f t="shared" si="76"/>
        <v>98.413367942894212</v>
      </c>
      <c r="O267" s="4">
        <f t="shared" si="77"/>
        <v>118.12793558488033</v>
      </c>
      <c r="P267" s="4">
        <f t="shared" si="78"/>
        <v>82.674756139020374</v>
      </c>
      <c r="Q267" s="4">
        <f t="shared" si="79"/>
        <v>93.505119183047171</v>
      </c>
      <c r="R267" s="4">
        <f t="shared" si="80"/>
        <v>101.60740805451209</v>
      </c>
      <c r="S267" s="4">
        <f t="shared" si="81"/>
        <v>109.36741929464453</v>
      </c>
      <c r="T267" s="4">
        <f t="shared" si="82"/>
        <v>127.25196650596293</v>
      </c>
      <c r="U267" s="4">
        <f t="shared" si="83"/>
        <v>103.54810455306792</v>
      </c>
      <c r="V267" s="4">
        <f t="shared" si="84"/>
        <v>101.90319196763076</v>
      </c>
      <c r="W267" s="4">
        <f t="shared" si="85"/>
        <v>83.113924050632932</v>
      </c>
      <c r="X267" s="4">
        <f t="shared" si="86"/>
        <v>109.38705177648313</v>
      </c>
      <c r="Y267" s="4">
        <f t="shared" si="87"/>
        <v>98.425828233804609</v>
      </c>
      <c r="Z267" s="4">
        <f t="shared" si="88"/>
        <v>104.5083361687649</v>
      </c>
      <c r="AA267" s="4">
        <f t="shared" si="89"/>
        <v>105.27362085151029</v>
      </c>
      <c r="AB267" s="4">
        <f t="shared" si="90"/>
        <v>80.44289044289043</v>
      </c>
      <c r="AC267" s="4">
        <f t="shared" si="91"/>
        <v>99.307345360824755</v>
      </c>
      <c r="AD267" s="4">
        <f t="shared" si="92"/>
        <v>91.137804471137812</v>
      </c>
      <c r="AE267" s="4">
        <f t="shared" si="93"/>
        <v>88.375445481119613</v>
      </c>
      <c r="AF267" s="4">
        <f t="shared" si="94"/>
        <v>99.911049400125819</v>
      </c>
      <c r="AG267" s="4">
        <f t="shared" si="95"/>
        <v>99.754140786749488</v>
      </c>
      <c r="AH267" s="4">
        <f t="shared" si="96"/>
        <v>107.90415076247903</v>
      </c>
      <c r="AI267" s="4">
        <f t="shared" si="97"/>
        <v>105.06801228609038</v>
      </c>
      <c r="AJ267" s="4">
        <f t="shared" si="98"/>
        <v>82.591558548201675</v>
      </c>
      <c r="AK267" s="4">
        <f t="shared" si="99"/>
        <v>110.50508773007391</v>
      </c>
      <c r="AL267" s="4">
        <f t="shared" si="100"/>
        <v>109.97277546926492</v>
      </c>
      <c r="AM267" s="4">
        <f t="shared" si="101"/>
        <v>73.945430493559044</v>
      </c>
      <c r="AN267" s="4">
        <f t="shared" si="102"/>
        <v>123.64324478720363</v>
      </c>
      <c r="AO267" s="4">
        <f t="shared" si="103"/>
        <v>117.13383020090733</v>
      </c>
      <c r="AP267" s="4">
        <f t="shared" si="104"/>
        <v>104.59566573910111</v>
      </c>
      <c r="AQ267" s="4">
        <f t="shared" si="105"/>
        <v>88.200252369633475</v>
      </c>
      <c r="AR267" s="4">
        <f t="shared" si="106"/>
        <v>97.233666862860503</v>
      </c>
      <c r="AS267" s="4">
        <f t="shared" si="107"/>
        <v>92.969136933232903</v>
      </c>
      <c r="AT267" s="4">
        <f t="shared" si="108"/>
        <v>105.49397838041558</v>
      </c>
      <c r="AU267" s="4">
        <f t="shared" si="109"/>
        <v>121.26480495490601</v>
      </c>
      <c r="AV267" s="4">
        <f t="shared" si="110"/>
        <v>83.856829802775763</v>
      </c>
      <c r="AW267" s="4">
        <f t="shared" si="111"/>
        <v>90.826532197354425</v>
      </c>
      <c r="AX267" s="4">
        <f t="shared" si="112"/>
        <v>85.289870022694444</v>
      </c>
    </row>
    <row r="268" spans="1:50" ht="14.25" customHeight="1" x14ac:dyDescent="0.3">
      <c r="A268" s="2">
        <v>45786</v>
      </c>
      <c r="B268" s="4">
        <f t="shared" si="64"/>
        <v>112.7697031729785</v>
      </c>
      <c r="C268" s="4">
        <f t="shared" si="65"/>
        <v>105.99856402432184</v>
      </c>
      <c r="D268" s="4">
        <f t="shared" si="66"/>
        <v>115.83631008334901</v>
      </c>
      <c r="E268" s="4">
        <f t="shared" si="67"/>
        <v>83.655728337122653</v>
      </c>
      <c r="F268" s="4">
        <f t="shared" si="68"/>
        <v>108.19927550344721</v>
      </c>
      <c r="G268" s="4">
        <f t="shared" si="69"/>
        <v>98.241301059001501</v>
      </c>
      <c r="H268" s="4">
        <f t="shared" si="70"/>
        <v>80.084993359893758</v>
      </c>
      <c r="I268" s="4">
        <f t="shared" si="71"/>
        <v>100.46509624908488</v>
      </c>
      <c r="J268" s="4">
        <f t="shared" si="72"/>
        <v>124.59446599281935</v>
      </c>
      <c r="K268" s="4">
        <f t="shared" si="73"/>
        <v>92.51452535931152</v>
      </c>
      <c r="L268" s="4">
        <f t="shared" si="74"/>
        <v>93.903203817314235</v>
      </c>
      <c r="M268" s="4">
        <f t="shared" si="75"/>
        <v>109.29400533533186</v>
      </c>
      <c r="N268" s="4">
        <f t="shared" si="76"/>
        <v>96.758598312783903</v>
      </c>
      <c r="O268" s="4">
        <f t="shared" si="77"/>
        <v>117.596734511295</v>
      </c>
      <c r="P268" s="4">
        <f t="shared" si="78"/>
        <v>82.083736499385452</v>
      </c>
      <c r="Q268" s="4">
        <f t="shared" si="79"/>
        <v>92.319902642927048</v>
      </c>
      <c r="R268" s="4">
        <f t="shared" si="80"/>
        <v>99.274919192801605</v>
      </c>
      <c r="S268" s="4">
        <f t="shared" si="81"/>
        <v>107.39876842694531</v>
      </c>
      <c r="T268" s="4">
        <f t="shared" si="82"/>
        <v>124.96828216188784</v>
      </c>
      <c r="U268" s="4">
        <f t="shared" si="83"/>
        <v>107.88143276426388</v>
      </c>
      <c r="V268" s="4">
        <f t="shared" si="84"/>
        <v>100.32968679754235</v>
      </c>
      <c r="W268" s="4">
        <f t="shared" si="85"/>
        <v>82.148282097649201</v>
      </c>
      <c r="X268" s="4">
        <f t="shared" si="86"/>
        <v>107.18798719947485</v>
      </c>
      <c r="Y268" s="4">
        <f t="shared" si="87"/>
        <v>99.160160371386368</v>
      </c>
      <c r="Z268" s="4">
        <f t="shared" si="88"/>
        <v>107.46852670976526</v>
      </c>
      <c r="AA268" s="4">
        <f t="shared" si="89"/>
        <v>105.69330167320116</v>
      </c>
      <c r="AB268" s="4">
        <f t="shared" si="90"/>
        <v>80.589410589410576</v>
      </c>
      <c r="AC268" s="4">
        <f t="shared" si="91"/>
        <v>96.423969072164965</v>
      </c>
      <c r="AD268" s="4">
        <f t="shared" si="92"/>
        <v>94.561227894561213</v>
      </c>
      <c r="AE268" s="4">
        <f t="shared" si="93"/>
        <v>87.894926520642287</v>
      </c>
      <c r="AF268" s="4">
        <f t="shared" si="94"/>
        <v>99.780877790553873</v>
      </c>
      <c r="AG268" s="4">
        <f t="shared" si="95"/>
        <v>98.964803312629385</v>
      </c>
      <c r="AH268" s="4">
        <f t="shared" si="96"/>
        <v>107.19883461488817</v>
      </c>
      <c r="AI268" s="4">
        <f t="shared" si="97"/>
        <v>104.41714202135439</v>
      </c>
      <c r="AJ268" s="4">
        <f t="shared" si="98"/>
        <v>81.573328953851203</v>
      </c>
      <c r="AK268" s="4">
        <f t="shared" si="99"/>
        <v>107.88854083492005</v>
      </c>
      <c r="AL268" s="4">
        <f t="shared" si="100"/>
        <v>108.9800012281743</v>
      </c>
      <c r="AM268" s="4">
        <f t="shared" si="101"/>
        <v>72.339612764482425</v>
      </c>
      <c r="AN268" s="4">
        <f t="shared" si="102"/>
        <v>121.37960582690657</v>
      </c>
      <c r="AO268" s="4">
        <f t="shared" si="103"/>
        <v>115.61892417368762</v>
      </c>
      <c r="AP268" s="4">
        <f t="shared" si="104"/>
        <v>105.76777131292687</v>
      </c>
      <c r="AQ268" s="4">
        <f t="shared" si="105"/>
        <v>87.666167796460954</v>
      </c>
      <c r="AR268" s="4">
        <f t="shared" si="106"/>
        <v>96.788960826630046</v>
      </c>
      <c r="AS268" s="4">
        <f t="shared" si="107"/>
        <v>91.211930010244728</v>
      </c>
      <c r="AT268" s="4">
        <f t="shared" si="108"/>
        <v>103.0356500436846</v>
      </c>
      <c r="AU268" s="4">
        <f t="shared" si="109"/>
        <v>121.01488645007063</v>
      </c>
      <c r="AV268" s="4">
        <f t="shared" si="110"/>
        <v>84.433893352812277</v>
      </c>
      <c r="AW268" s="4">
        <f t="shared" si="111"/>
        <v>92.10271607298624</v>
      </c>
      <c r="AX268" s="4">
        <f t="shared" si="112"/>
        <v>84.402723334021047</v>
      </c>
    </row>
    <row r="269" spans="1:50" ht="14.25" customHeight="1" x14ac:dyDescent="0.3">
      <c r="A269" s="2">
        <v>45789</v>
      </c>
      <c r="B269" s="4">
        <f t="shared" si="64"/>
        <v>117.62538382804505</v>
      </c>
      <c r="C269" s="4">
        <f t="shared" si="65"/>
        <v>109.78482801947543</v>
      </c>
      <c r="D269" s="4">
        <f t="shared" si="66"/>
        <v>117.24008272231623</v>
      </c>
      <c r="E269" s="4">
        <f t="shared" si="67"/>
        <v>88.035112888910518</v>
      </c>
      <c r="F269" s="4">
        <f t="shared" si="68"/>
        <v>112.84228566976979</v>
      </c>
      <c r="G269" s="4">
        <f t="shared" si="69"/>
        <v>101.06530509329296</v>
      </c>
      <c r="H269" s="4">
        <f t="shared" si="70"/>
        <v>86.422310756972109</v>
      </c>
      <c r="I269" s="4">
        <f t="shared" si="71"/>
        <v>102.60109383747471</v>
      </c>
      <c r="J269" s="4">
        <f t="shared" si="72"/>
        <v>130.03763355586636</v>
      </c>
      <c r="K269" s="4">
        <f t="shared" si="73"/>
        <v>95.124721506268841</v>
      </c>
      <c r="L269" s="4">
        <f t="shared" si="74"/>
        <v>97.810497614178587</v>
      </c>
      <c r="M269" s="4">
        <f t="shared" si="75"/>
        <v>112.559442555963</v>
      </c>
      <c r="N269" s="4">
        <f t="shared" si="76"/>
        <v>100.73653471771577</v>
      </c>
      <c r="O269" s="4">
        <f t="shared" si="77"/>
        <v>119.9396108253187</v>
      </c>
      <c r="P269" s="4">
        <f t="shared" si="78"/>
        <v>87.361071157718555</v>
      </c>
      <c r="Q269" s="4">
        <f t="shared" si="79"/>
        <v>89.219291515648564</v>
      </c>
      <c r="R269" s="4">
        <f t="shared" si="80"/>
        <v>102.52467895518475</v>
      </c>
      <c r="S269" s="4">
        <f t="shared" si="81"/>
        <v>112.24108975555143</v>
      </c>
      <c r="T269" s="4">
        <f t="shared" si="82"/>
        <v>130.06851053032224</v>
      </c>
      <c r="U269" s="4">
        <f t="shared" si="83"/>
        <v>109.49797931680931</v>
      </c>
      <c r="V269" s="4">
        <f t="shared" si="84"/>
        <v>104.4657575303462</v>
      </c>
      <c r="W269" s="4">
        <f t="shared" si="85"/>
        <v>86.618444846292959</v>
      </c>
      <c r="X269" s="4">
        <f t="shared" si="86"/>
        <v>111.76663657996224</v>
      </c>
      <c r="Y269" s="4">
        <f t="shared" si="87"/>
        <v>102.98375184638111</v>
      </c>
      <c r="Z269" s="4">
        <f t="shared" si="88"/>
        <v>109.83327662470231</v>
      </c>
      <c r="AA269" s="4">
        <f t="shared" si="89"/>
        <v>111.01662156938539</v>
      </c>
      <c r="AB269" s="4">
        <f t="shared" si="90"/>
        <v>85.674325674325672</v>
      </c>
      <c r="AC269" s="4">
        <f t="shared" si="91"/>
        <v>99.56507731958763</v>
      </c>
      <c r="AD269" s="4">
        <f t="shared" si="92"/>
        <v>96.202869536202854</v>
      </c>
      <c r="AE269" s="4">
        <f t="shared" si="93"/>
        <v>91.979337684699487</v>
      </c>
      <c r="AF269" s="4">
        <f t="shared" si="94"/>
        <v>102.24546026511618</v>
      </c>
      <c r="AG269" s="4">
        <f t="shared" si="95"/>
        <v>102.35507246376811</v>
      </c>
      <c r="AH269" s="4">
        <f t="shared" si="96"/>
        <v>109.89102174033304</v>
      </c>
      <c r="AI269" s="4">
        <f t="shared" si="97"/>
        <v>110.88927892350443</v>
      </c>
      <c r="AJ269" s="4">
        <f t="shared" si="98"/>
        <v>86.352438824109029</v>
      </c>
      <c r="AK269" s="4">
        <f t="shared" si="99"/>
        <v>112.31087361546179</v>
      </c>
      <c r="AL269" s="4">
        <f t="shared" si="100"/>
        <v>112.99203733649929</v>
      </c>
      <c r="AM269" s="4">
        <f t="shared" si="101"/>
        <v>76.980213778906489</v>
      </c>
      <c r="AN269" s="4">
        <f t="shared" si="102"/>
        <v>125.07140816909452</v>
      </c>
      <c r="AO269" s="4">
        <f t="shared" si="103"/>
        <v>119.02138690861956</v>
      </c>
      <c r="AP269" s="4">
        <f t="shared" si="104"/>
        <v>109.95024875621891</v>
      </c>
      <c r="AQ269" s="4">
        <f t="shared" si="105"/>
        <v>92.326202423922297</v>
      </c>
      <c r="AR269" s="4">
        <f t="shared" si="106"/>
        <v>98.855535936171606</v>
      </c>
      <c r="AS269" s="4">
        <f t="shared" si="107"/>
        <v>93.980039757654694</v>
      </c>
      <c r="AT269" s="4">
        <f t="shared" si="108"/>
        <v>110.65903756873898</v>
      </c>
      <c r="AU269" s="4">
        <f t="shared" si="109"/>
        <v>124.48114745191785</v>
      </c>
      <c r="AV269" s="4">
        <f t="shared" si="110"/>
        <v>87.333820306793271</v>
      </c>
      <c r="AW269" s="4">
        <f t="shared" si="111"/>
        <v>95.233429325940705</v>
      </c>
      <c r="AX269" s="4">
        <f t="shared" si="112"/>
        <v>81.338972560346605</v>
      </c>
    </row>
    <row r="270" spans="1:50" ht="14.25" customHeight="1" x14ac:dyDescent="0.3">
      <c r="A270" s="2">
        <v>45790</v>
      </c>
      <c r="B270" s="4">
        <f t="shared" si="64"/>
        <v>115.9222108495394</v>
      </c>
      <c r="C270" s="4">
        <f t="shared" si="65"/>
        <v>107.84401714195965</v>
      </c>
      <c r="D270" s="4">
        <f t="shared" si="66"/>
        <v>114.09412796891645</v>
      </c>
      <c r="E270" s="4">
        <f t="shared" si="67"/>
        <v>85.472163795304496</v>
      </c>
      <c r="F270" s="4">
        <f t="shared" si="68"/>
        <v>111.44782456277022</v>
      </c>
      <c r="G270" s="4">
        <f t="shared" si="69"/>
        <v>101.07791225416034</v>
      </c>
      <c r="H270" s="4">
        <f t="shared" si="70"/>
        <v>83.325365205843283</v>
      </c>
      <c r="I270" s="4">
        <f t="shared" si="71"/>
        <v>101.63214331854789</v>
      </c>
      <c r="J270" s="4">
        <f t="shared" si="72"/>
        <v>130.37647974853289</v>
      </c>
      <c r="K270" s="4">
        <f t="shared" si="73"/>
        <v>93.464680442095144</v>
      </c>
      <c r="L270" s="4">
        <f t="shared" si="74"/>
        <v>97.25971370143148</v>
      </c>
      <c r="M270" s="4">
        <f t="shared" si="75"/>
        <v>111.36389996698877</v>
      </c>
      <c r="N270" s="4">
        <f t="shared" si="76"/>
        <v>99.085009733939003</v>
      </c>
      <c r="O270" s="4">
        <f t="shared" si="77"/>
        <v>118.29568329232831</v>
      </c>
      <c r="P270" s="4">
        <f t="shared" si="78"/>
        <v>84.709328172807858</v>
      </c>
      <c r="Q270" s="4">
        <f t="shared" si="79"/>
        <v>89.949469562686843</v>
      </c>
      <c r="R270" s="4">
        <f t="shared" si="80"/>
        <v>101.86948545470429</v>
      </c>
      <c r="S270" s="4">
        <f t="shared" si="81"/>
        <v>111.36406045904086</v>
      </c>
      <c r="T270" s="4">
        <f t="shared" si="82"/>
        <v>128.02588175589952</v>
      </c>
      <c r="U270" s="4">
        <f t="shared" si="83"/>
        <v>109.50719916406719</v>
      </c>
      <c r="V270" s="4">
        <f t="shared" si="84"/>
        <v>102.3527648733703</v>
      </c>
      <c r="W270" s="4">
        <f t="shared" si="85"/>
        <v>83.779385171790238</v>
      </c>
      <c r="X270" s="4">
        <f t="shared" si="86"/>
        <v>112.34922458357266</v>
      </c>
      <c r="Y270" s="4">
        <f t="shared" si="87"/>
        <v>101.77674614897659</v>
      </c>
      <c r="Z270" s="4">
        <f t="shared" si="88"/>
        <v>114.23953725757063</v>
      </c>
      <c r="AA270" s="4">
        <f t="shared" si="89"/>
        <v>109.32685405047214</v>
      </c>
      <c r="AB270" s="4">
        <f t="shared" si="90"/>
        <v>83.772893772893767</v>
      </c>
      <c r="AC270" s="4">
        <f t="shared" si="91"/>
        <v>96.150128865979383</v>
      </c>
      <c r="AD270" s="4">
        <f t="shared" si="92"/>
        <v>94.454454454454464</v>
      </c>
      <c r="AE270" s="4">
        <f t="shared" si="93"/>
        <v>92.248199484014165</v>
      </c>
      <c r="AF270" s="4">
        <f t="shared" si="94"/>
        <v>100.86564120365347</v>
      </c>
      <c r="AG270" s="4">
        <f t="shared" si="95"/>
        <v>102.26449275362317</v>
      </c>
      <c r="AH270" s="4">
        <f t="shared" si="96"/>
        <v>109.26407405358557</v>
      </c>
      <c r="AI270" s="4">
        <f t="shared" si="97"/>
        <v>109.28038613426941</v>
      </c>
      <c r="AJ270" s="4">
        <f t="shared" si="98"/>
        <v>87.830514041714565</v>
      </c>
      <c r="AK270" s="4">
        <f t="shared" si="99"/>
        <v>110.91456298753147</v>
      </c>
      <c r="AL270" s="4">
        <f t="shared" si="100"/>
        <v>110.92461056639304</v>
      </c>
      <c r="AM270" s="4">
        <f t="shared" si="101"/>
        <v>75.360247876005403</v>
      </c>
      <c r="AN270" s="4">
        <f t="shared" si="102"/>
        <v>124.25021422450729</v>
      </c>
      <c r="AO270" s="4">
        <f t="shared" si="103"/>
        <v>119.0942968243681</v>
      </c>
      <c r="AP270" s="4">
        <f t="shared" si="104"/>
        <v>107.04949827135508</v>
      </c>
      <c r="AQ270" s="4">
        <f t="shared" si="105"/>
        <v>92.290988056460378</v>
      </c>
      <c r="AR270" s="4">
        <f t="shared" si="106"/>
        <v>99.411418481459677</v>
      </c>
      <c r="AS270" s="4">
        <f t="shared" si="107"/>
        <v>93.864701851512621</v>
      </c>
      <c r="AT270" s="4">
        <f t="shared" si="108"/>
        <v>108.54333339043735</v>
      </c>
      <c r="AU270" s="4">
        <f t="shared" si="109"/>
        <v>121.54732152558947</v>
      </c>
      <c r="AV270" s="4">
        <f t="shared" si="110"/>
        <v>88.173849525200879</v>
      </c>
      <c r="AW270" s="4">
        <f t="shared" si="111"/>
        <v>97.114247135158379</v>
      </c>
      <c r="AX270" s="4">
        <f t="shared" si="112"/>
        <v>79.440891272952356</v>
      </c>
    </row>
    <row r="271" spans="1:50" ht="14.25" customHeight="1" x14ac:dyDescent="0.3">
      <c r="A271" s="2">
        <v>45791</v>
      </c>
      <c r="B271" s="4">
        <f t="shared" si="64"/>
        <v>116.63459570112589</v>
      </c>
      <c r="C271" s="4">
        <f t="shared" si="65"/>
        <v>107.17090354282126</v>
      </c>
      <c r="D271" s="4">
        <f t="shared" si="66"/>
        <v>114.94641849971798</v>
      </c>
      <c r="E271" s="4">
        <f t="shared" si="67"/>
        <v>86.291626645916665</v>
      </c>
      <c r="F271" s="4">
        <f t="shared" si="68"/>
        <v>111.10505200015581</v>
      </c>
      <c r="G271" s="4">
        <f t="shared" si="69"/>
        <v>100.94553706505293</v>
      </c>
      <c r="H271" s="4">
        <f t="shared" si="70"/>
        <v>84.589641434262944</v>
      </c>
      <c r="I271" s="4">
        <f t="shared" si="71"/>
        <v>101.22303087722322</v>
      </c>
      <c r="J271" s="4">
        <f t="shared" si="72"/>
        <v>130.93882023849005</v>
      </c>
      <c r="K271" s="4">
        <f t="shared" si="73"/>
        <v>93.726792189069954</v>
      </c>
      <c r="L271" s="4">
        <f t="shared" si="74"/>
        <v>97.426039536468977</v>
      </c>
      <c r="M271" s="4">
        <f t="shared" si="75"/>
        <v>113.04122837540038</v>
      </c>
      <c r="N271" s="4">
        <f t="shared" si="76"/>
        <v>100.64243997404283</v>
      </c>
      <c r="O271" s="4">
        <f t="shared" si="77"/>
        <v>116.99843435473048</v>
      </c>
      <c r="P271" s="4">
        <f t="shared" si="78"/>
        <v>85.656005648683276</v>
      </c>
      <c r="Q271" s="4">
        <f t="shared" si="79"/>
        <v>90.383343474695081</v>
      </c>
      <c r="R271" s="4">
        <f t="shared" si="80"/>
        <v>101.96558050144142</v>
      </c>
      <c r="S271" s="4">
        <f t="shared" si="81"/>
        <v>111.5413323381228</v>
      </c>
      <c r="T271" s="4">
        <f t="shared" si="82"/>
        <v>128.16544024359297</v>
      </c>
      <c r="U271" s="4">
        <f t="shared" si="83"/>
        <v>110.25708007437345</v>
      </c>
      <c r="V271" s="4">
        <f t="shared" si="84"/>
        <v>101.46860482541587</v>
      </c>
      <c r="W271" s="4">
        <f t="shared" si="85"/>
        <v>85.663652802893324</v>
      </c>
      <c r="X271" s="4">
        <f t="shared" si="86"/>
        <v>112.56256666940183</v>
      </c>
      <c r="Y271" s="4">
        <f t="shared" si="87"/>
        <v>103.82359147499471</v>
      </c>
      <c r="Z271" s="4">
        <f t="shared" si="88"/>
        <v>117.1657026199388</v>
      </c>
      <c r="AA271" s="4">
        <f t="shared" si="89"/>
        <v>109.26058865757358</v>
      </c>
      <c r="AB271" s="4">
        <f t="shared" si="90"/>
        <v>84.229104229104237</v>
      </c>
      <c r="AC271" s="4">
        <f t="shared" si="91"/>
        <v>95.344716494845358</v>
      </c>
      <c r="AD271" s="4">
        <f t="shared" si="92"/>
        <v>93.286619953286632</v>
      </c>
      <c r="AE271" s="4">
        <f t="shared" si="93"/>
        <v>92.700116125415448</v>
      </c>
      <c r="AF271" s="4">
        <f t="shared" si="94"/>
        <v>99.030221508688953</v>
      </c>
      <c r="AG271" s="4">
        <f t="shared" si="95"/>
        <v>104.32194616977226</v>
      </c>
      <c r="AH271" s="4">
        <f t="shared" si="96"/>
        <v>109.27329387250838</v>
      </c>
      <c r="AI271" s="4">
        <f t="shared" si="97"/>
        <v>113.58051777095217</v>
      </c>
      <c r="AJ271" s="4">
        <f t="shared" si="98"/>
        <v>87.863360157661347</v>
      </c>
      <c r="AK271" s="4">
        <f t="shared" si="99"/>
        <v>112.08156747128552</v>
      </c>
      <c r="AL271" s="4">
        <f t="shared" si="100"/>
        <v>111.48752379587744</v>
      </c>
      <c r="AM271" s="4">
        <f t="shared" si="101"/>
        <v>75.862508046773868</v>
      </c>
      <c r="AN271" s="4">
        <f t="shared" si="102"/>
        <v>125.33561839474434</v>
      </c>
      <c r="AO271" s="4">
        <f t="shared" si="103"/>
        <v>120.17174335709657</v>
      </c>
      <c r="AP271" s="4">
        <f t="shared" si="104"/>
        <v>109.71414115861369</v>
      </c>
      <c r="AQ271" s="4">
        <f t="shared" si="105"/>
        <v>94.092789858262165</v>
      </c>
      <c r="AR271" s="4">
        <f t="shared" si="106"/>
        <v>97.75685043489635</v>
      </c>
      <c r="AS271" s="4">
        <f t="shared" si="107"/>
        <v>93.851132686084142</v>
      </c>
      <c r="AT271" s="4">
        <f t="shared" si="108"/>
        <v>111.68691004402721</v>
      </c>
      <c r="AU271" s="4">
        <f t="shared" si="109"/>
        <v>121.74290992067804</v>
      </c>
      <c r="AV271" s="4">
        <f t="shared" si="110"/>
        <v>89.116143170197233</v>
      </c>
      <c r="AW271" s="4">
        <f t="shared" si="111"/>
        <v>97.200282003178501</v>
      </c>
      <c r="AX271" s="4">
        <f t="shared" si="112"/>
        <v>80.601402929647207</v>
      </c>
    </row>
    <row r="272" spans="1:50" ht="14.25" customHeight="1" x14ac:dyDescent="0.3">
      <c r="A272" s="2">
        <v>45792</v>
      </c>
      <c r="B272" s="4">
        <f t="shared" si="64"/>
        <v>119.07471852610033</v>
      </c>
      <c r="C272" s="4">
        <f t="shared" si="65"/>
        <v>108.4722565011555</v>
      </c>
      <c r="D272" s="4">
        <f t="shared" si="66"/>
        <v>117.01447640533935</v>
      </c>
      <c r="E272" s="4">
        <f t="shared" si="67"/>
        <v>87.050298483872155</v>
      </c>
      <c r="F272" s="4">
        <f t="shared" si="68"/>
        <v>113.02146223659095</v>
      </c>
      <c r="G272" s="4">
        <f t="shared" si="69"/>
        <v>101.83434190620271</v>
      </c>
      <c r="H272" s="4">
        <f t="shared" si="70"/>
        <v>85.683930942895074</v>
      </c>
      <c r="I272" s="4">
        <f t="shared" si="71"/>
        <v>101.42543387451015</v>
      </c>
      <c r="J272" s="4">
        <f t="shared" si="72"/>
        <v>132.48886133260277</v>
      </c>
      <c r="K272" s="4">
        <f t="shared" si="73"/>
        <v>94.502206107203691</v>
      </c>
      <c r="L272" s="4">
        <f t="shared" si="74"/>
        <v>98.655760054533062</v>
      </c>
      <c r="M272" s="4">
        <f t="shared" si="75"/>
        <v>115.55722098801782</v>
      </c>
      <c r="N272" s="4">
        <f t="shared" si="76"/>
        <v>102.02141466580142</v>
      </c>
      <c r="O272" s="4">
        <f t="shared" si="77"/>
        <v>117.7812569894878</v>
      </c>
      <c r="P272" s="4">
        <f t="shared" si="78"/>
        <v>88.705248568215694</v>
      </c>
      <c r="Q272" s="4">
        <f t="shared" si="79"/>
        <v>92.071218815312577</v>
      </c>
      <c r="R272" s="4">
        <f t="shared" si="80"/>
        <v>103.90495326286361</v>
      </c>
      <c r="S272" s="4">
        <f t="shared" si="81"/>
        <v>112.81022578839337</v>
      </c>
      <c r="T272" s="4">
        <f t="shared" si="82"/>
        <v>129.52930728241563</v>
      </c>
      <c r="U272" s="4">
        <f t="shared" si="83"/>
        <v>111.7691350246631</v>
      </c>
      <c r="V272" s="4">
        <f t="shared" si="84"/>
        <v>102.48763674509216</v>
      </c>
      <c r="W272" s="4">
        <f t="shared" si="85"/>
        <v>87.735985533453899</v>
      </c>
      <c r="X272" s="4">
        <f t="shared" si="86"/>
        <v>115.38524657421844</v>
      </c>
      <c r="Y272" s="4">
        <f t="shared" si="87"/>
        <v>104.49883941759866</v>
      </c>
      <c r="Z272" s="4">
        <f t="shared" si="88"/>
        <v>119.22422592718614</v>
      </c>
      <c r="AA272" s="4">
        <f t="shared" si="89"/>
        <v>114.67226241095587</v>
      </c>
      <c r="AB272" s="4">
        <f t="shared" si="90"/>
        <v>85.437895437895435</v>
      </c>
      <c r="AC272" s="4">
        <f t="shared" si="91"/>
        <v>96.536726804123717</v>
      </c>
      <c r="AD272" s="4">
        <f t="shared" si="92"/>
        <v>97.177177177177171</v>
      </c>
      <c r="AE272" s="4">
        <f t="shared" si="93"/>
        <v>95.257163450812584</v>
      </c>
      <c r="AF272" s="4">
        <f t="shared" si="94"/>
        <v>101.09561104723059</v>
      </c>
      <c r="AG272" s="4">
        <f t="shared" si="95"/>
        <v>104.72308488612836</v>
      </c>
      <c r="AH272" s="4">
        <f t="shared" si="96"/>
        <v>110.55023879331011</v>
      </c>
      <c r="AI272" s="4">
        <f t="shared" si="97"/>
        <v>115.07240017551557</v>
      </c>
      <c r="AJ272" s="4">
        <f t="shared" si="98"/>
        <v>89.899819346362293</v>
      </c>
      <c r="AK272" s="4">
        <f t="shared" si="99"/>
        <v>115.66857072661385</v>
      </c>
      <c r="AL272" s="4">
        <f t="shared" si="100"/>
        <v>111.88668044951177</v>
      </c>
      <c r="AM272" s="4">
        <f t="shared" si="101"/>
        <v>78.911439505945765</v>
      </c>
      <c r="AN272" s="4">
        <f t="shared" si="102"/>
        <v>127.43501856612394</v>
      </c>
      <c r="AO272" s="4">
        <f t="shared" si="103"/>
        <v>121.71095268956577</v>
      </c>
      <c r="AP272" s="4">
        <f t="shared" si="104"/>
        <v>111.53554262585376</v>
      </c>
      <c r="AQ272" s="4">
        <f t="shared" si="105"/>
        <v>95.612876720368561</v>
      </c>
      <c r="AR272" s="4">
        <f t="shared" si="106"/>
        <v>98.240795239029495</v>
      </c>
      <c r="AS272" s="4">
        <f t="shared" si="107"/>
        <v>95.967922492927059</v>
      </c>
      <c r="AT272" s="4">
        <f t="shared" si="108"/>
        <v>115.60139105408322</v>
      </c>
      <c r="AU272" s="4">
        <f t="shared" si="109"/>
        <v>124.65500380310768</v>
      </c>
      <c r="AV272" s="4">
        <f t="shared" si="110"/>
        <v>90.306793279766268</v>
      </c>
      <c r="AW272" s="4">
        <f t="shared" si="111"/>
        <v>103.36133449639729</v>
      </c>
      <c r="AX272" s="4">
        <f t="shared" si="112"/>
        <v>80.513719826696942</v>
      </c>
    </row>
    <row r="273" spans="1:50" ht="14.25" customHeight="1" x14ac:dyDescent="0.3">
      <c r="A273" s="2">
        <v>45793</v>
      </c>
      <c r="B273" s="4">
        <f t="shared" si="64"/>
        <v>119.25486182190379</v>
      </c>
      <c r="C273" s="4">
        <f t="shared" si="65"/>
        <v>108.5227400210909</v>
      </c>
      <c r="D273" s="4">
        <f t="shared" si="66"/>
        <v>113.6805163877922</v>
      </c>
      <c r="E273" s="4">
        <f t="shared" si="67"/>
        <v>86.598013349706378</v>
      </c>
      <c r="F273" s="4">
        <f t="shared" si="68"/>
        <v>113.27075137303781</v>
      </c>
      <c r="G273" s="4">
        <f t="shared" si="69"/>
        <v>99.861321230458884</v>
      </c>
      <c r="H273" s="4">
        <f t="shared" si="70"/>
        <v>84.456839309428943</v>
      </c>
      <c r="I273" s="4">
        <f t="shared" si="71"/>
        <v>102.55372292321607</v>
      </c>
      <c r="J273" s="4">
        <f t="shared" si="72"/>
        <v>132.17885311378021</v>
      </c>
      <c r="K273" s="4">
        <f t="shared" si="73"/>
        <v>95.168406797431288</v>
      </c>
      <c r="L273" s="4">
        <f t="shared" si="74"/>
        <v>98.287661895023845</v>
      </c>
      <c r="M273" s="4">
        <f t="shared" si="75"/>
        <v>115.94086525164388</v>
      </c>
      <c r="N273" s="4">
        <f t="shared" si="76"/>
        <v>101.7391304347826</v>
      </c>
      <c r="O273" s="4">
        <f t="shared" si="77"/>
        <v>117.88190561395659</v>
      </c>
      <c r="P273" s="4">
        <f t="shared" si="78"/>
        <v>86.81712387876253</v>
      </c>
      <c r="Q273" s="4">
        <f t="shared" si="79"/>
        <v>91.796079261356113</v>
      </c>
      <c r="R273" s="4">
        <f t="shared" si="80"/>
        <v>104.00104830960075</v>
      </c>
      <c r="S273" s="4">
        <f t="shared" si="81"/>
        <v>112.78223549169621</v>
      </c>
      <c r="T273" s="4">
        <f t="shared" si="82"/>
        <v>129.00279116975386</v>
      </c>
      <c r="U273" s="4">
        <f t="shared" si="83"/>
        <v>111.67386326966515</v>
      </c>
      <c r="V273" s="4">
        <f t="shared" si="84"/>
        <v>102.83230930615915</v>
      </c>
      <c r="W273" s="4">
        <f t="shared" si="85"/>
        <v>88.88245931283906</v>
      </c>
      <c r="X273" s="4">
        <f t="shared" si="86"/>
        <v>115.48371215229345</v>
      </c>
      <c r="Y273" s="4">
        <f t="shared" si="87"/>
        <v>104.35534922979532</v>
      </c>
      <c r="Z273" s="4">
        <f t="shared" si="88"/>
        <v>123.81762504253149</v>
      </c>
      <c r="AA273" s="4">
        <f t="shared" si="89"/>
        <v>112.84996410624551</v>
      </c>
      <c r="AB273" s="4">
        <f t="shared" si="90"/>
        <v>84.68531468531468</v>
      </c>
      <c r="AC273" s="4">
        <f t="shared" si="91"/>
        <v>96.713917525773198</v>
      </c>
      <c r="AD273" s="4">
        <f t="shared" si="92"/>
        <v>97.524190857524189</v>
      </c>
      <c r="AE273" s="4">
        <f t="shared" si="93"/>
        <v>97.047668624972118</v>
      </c>
      <c r="AF273" s="4">
        <f t="shared" si="94"/>
        <v>102.12396676284901</v>
      </c>
      <c r="AG273" s="4">
        <f t="shared" si="95"/>
        <v>104.76190476190477</v>
      </c>
      <c r="AH273" s="4">
        <f t="shared" si="96"/>
        <v>111.0434991056776</v>
      </c>
      <c r="AI273" s="4">
        <f t="shared" si="97"/>
        <v>115.21866315635512</v>
      </c>
      <c r="AJ273" s="4">
        <f t="shared" si="98"/>
        <v>90.983741172606329</v>
      </c>
      <c r="AK273" s="4">
        <f t="shared" si="99"/>
        <v>114.82505169625124</v>
      </c>
      <c r="AL273" s="4">
        <f t="shared" si="100"/>
        <v>112.77710683069616</v>
      </c>
      <c r="AM273" s="4">
        <f t="shared" si="101"/>
        <v>78.989254461980323</v>
      </c>
      <c r="AN273" s="4">
        <f t="shared" si="102"/>
        <v>126.63524707226506</v>
      </c>
      <c r="AO273" s="4">
        <f t="shared" si="103"/>
        <v>121.60563836681789</v>
      </c>
      <c r="AP273" s="4">
        <f t="shared" si="104"/>
        <v>110.89467914663966</v>
      </c>
      <c r="AQ273" s="4">
        <f t="shared" si="105"/>
        <v>94.902720309886448</v>
      </c>
      <c r="AR273" s="4">
        <f t="shared" si="106"/>
        <v>98.090379962069193</v>
      </c>
      <c r="AS273" s="4">
        <f t="shared" si="107"/>
        <v>95.187695480789444</v>
      </c>
      <c r="AT273" s="4">
        <f t="shared" si="108"/>
        <v>114.00818871738647</v>
      </c>
      <c r="AU273" s="4">
        <f t="shared" si="109"/>
        <v>126.91513636857547</v>
      </c>
      <c r="AV273" s="4">
        <f t="shared" si="110"/>
        <v>89.897735573411268</v>
      </c>
      <c r="AW273" s="4">
        <f t="shared" si="111"/>
        <v>103.84647555773296</v>
      </c>
      <c r="AX273" s="4">
        <f t="shared" si="112"/>
        <v>80.482772849185082</v>
      </c>
    </row>
    <row r="274" spans="1:50" ht="14.25" customHeight="1" x14ac:dyDescent="0.3">
      <c r="A274" s="2">
        <v>45796</v>
      </c>
      <c r="B274" s="4">
        <f t="shared" si="64"/>
        <v>117.97748208802454</v>
      </c>
      <c r="C274" s="4">
        <f t="shared" si="65"/>
        <v>108.74711122080372</v>
      </c>
      <c r="D274" s="4">
        <f t="shared" si="66"/>
        <v>113.94999059973678</v>
      </c>
      <c r="E274" s="4">
        <f t="shared" si="67"/>
        <v>85.564566134542673</v>
      </c>
      <c r="F274" s="4">
        <f t="shared" si="68"/>
        <v>112.88123709733962</v>
      </c>
      <c r="G274" s="4">
        <f t="shared" si="69"/>
        <v>100.22692889561269</v>
      </c>
      <c r="H274" s="4">
        <f t="shared" si="70"/>
        <v>82.857901726427613</v>
      </c>
      <c r="I274" s="4">
        <f t="shared" si="71"/>
        <v>102.60970673097627</v>
      </c>
      <c r="J274" s="4">
        <f t="shared" si="72"/>
        <v>133.45493345637536</v>
      </c>
      <c r="K274" s="4">
        <f t="shared" si="73"/>
        <v>95.091957537897002</v>
      </c>
      <c r="L274" s="4">
        <f t="shared" si="74"/>
        <v>98.164962508520787</v>
      </c>
      <c r="M274" s="4">
        <f t="shared" si="75"/>
        <v>115.88733349392861</v>
      </c>
      <c r="N274" s="4">
        <f t="shared" si="76"/>
        <v>101.49253731343282</v>
      </c>
      <c r="O274" s="4">
        <f t="shared" si="77"/>
        <v>118.04965332140458</v>
      </c>
      <c r="P274" s="4">
        <f t="shared" si="78"/>
        <v>86.278406862104134</v>
      </c>
      <c r="Q274" s="4">
        <f t="shared" si="79"/>
        <v>91.547395433741613</v>
      </c>
      <c r="R274" s="4">
        <f t="shared" si="80"/>
        <v>104.21071022975453</v>
      </c>
      <c r="S274" s="4">
        <f t="shared" si="81"/>
        <v>112.22242955775332</v>
      </c>
      <c r="T274" s="4">
        <f t="shared" si="82"/>
        <v>129.30093884800812</v>
      </c>
      <c r="U274" s="4">
        <f t="shared" si="83"/>
        <v>111.18213808257909</v>
      </c>
      <c r="V274" s="4">
        <f t="shared" si="84"/>
        <v>103.44672561066986</v>
      </c>
      <c r="W274" s="4">
        <f t="shared" si="85"/>
        <v>86.086799276672693</v>
      </c>
      <c r="X274" s="4">
        <f t="shared" si="86"/>
        <v>114.73701485189136</v>
      </c>
      <c r="Y274" s="4">
        <f t="shared" si="87"/>
        <v>104.0641485545474</v>
      </c>
      <c r="Z274" s="4">
        <f t="shared" si="88"/>
        <v>123.7665872745832</v>
      </c>
      <c r="AA274" s="4">
        <f t="shared" si="89"/>
        <v>112.60699099895079</v>
      </c>
      <c r="AB274" s="4">
        <f t="shared" si="90"/>
        <v>83.832833832833813</v>
      </c>
      <c r="AC274" s="4">
        <f t="shared" si="91"/>
        <v>97.954252577319608</v>
      </c>
      <c r="AD274" s="4">
        <f t="shared" si="92"/>
        <v>97.364030697364029</v>
      </c>
      <c r="AE274" s="4">
        <f t="shared" si="93"/>
        <v>101.26365045677903</v>
      </c>
      <c r="AF274" s="4">
        <f t="shared" si="94"/>
        <v>101.16069685201656</v>
      </c>
      <c r="AG274" s="4">
        <f t="shared" si="95"/>
        <v>104.21842650103518</v>
      </c>
      <c r="AH274" s="4">
        <f t="shared" si="96"/>
        <v>110.9974000110638</v>
      </c>
      <c r="AI274" s="4">
        <f t="shared" si="97"/>
        <v>115.23328945443907</v>
      </c>
      <c r="AJ274" s="4">
        <f t="shared" si="98"/>
        <v>91.000164230579742</v>
      </c>
      <c r="AK274" s="4">
        <f t="shared" si="99"/>
        <v>111.6639027086788</v>
      </c>
      <c r="AL274" s="4">
        <f t="shared" si="100"/>
        <v>113.1967330563118</v>
      </c>
      <c r="AM274" s="4">
        <f t="shared" si="101"/>
        <v>78.536512899597483</v>
      </c>
      <c r="AN274" s="4">
        <f t="shared" si="102"/>
        <v>126.39245929734359</v>
      </c>
      <c r="AO274" s="4">
        <f t="shared" si="103"/>
        <v>121.67044718081658</v>
      </c>
      <c r="AP274" s="4">
        <f t="shared" si="104"/>
        <v>111.02959777384265</v>
      </c>
      <c r="AQ274" s="4">
        <f t="shared" si="105"/>
        <v>93.775860551104856</v>
      </c>
      <c r="AR274" s="4">
        <f t="shared" si="106"/>
        <v>97.547577006082008</v>
      </c>
      <c r="AS274" s="4">
        <f t="shared" si="107"/>
        <v>94.638144280936004</v>
      </c>
      <c r="AT274" s="4">
        <f t="shared" si="108"/>
        <v>116.11532729172734</v>
      </c>
      <c r="AU274" s="4">
        <f t="shared" si="109"/>
        <v>124.88319026404433</v>
      </c>
      <c r="AV274" s="4">
        <f t="shared" si="110"/>
        <v>89.043097151205259</v>
      </c>
      <c r="AW274" s="4">
        <f t="shared" si="111"/>
        <v>104.8597751144144</v>
      </c>
      <c r="AX274" s="4">
        <f t="shared" si="112"/>
        <v>80.879925727253976</v>
      </c>
    </row>
    <row r="275" spans="1:50" ht="14.25" customHeight="1" x14ac:dyDescent="0.3">
      <c r="A275" s="2">
        <v>45797</v>
      </c>
      <c r="B275" s="4">
        <f t="shared" si="64"/>
        <v>116.65097236438073</v>
      </c>
      <c r="C275" s="4">
        <f t="shared" si="65"/>
        <v>107.41210258251253</v>
      </c>
      <c r="D275" s="4">
        <f t="shared" si="66"/>
        <v>113.36090743874161</v>
      </c>
      <c r="E275" s="4">
        <f t="shared" si="67"/>
        <v>85.066079830757829</v>
      </c>
      <c r="F275" s="4">
        <f t="shared" si="68"/>
        <v>112.03988626183148</v>
      </c>
      <c r="G275" s="4">
        <f t="shared" si="69"/>
        <v>99.048159354513359</v>
      </c>
      <c r="H275" s="4">
        <f t="shared" si="70"/>
        <v>82.900398406374492</v>
      </c>
      <c r="I275" s="4">
        <f t="shared" si="71"/>
        <v>100.81822488264933</v>
      </c>
      <c r="J275" s="4">
        <f t="shared" si="72"/>
        <v>130.90998226464606</v>
      </c>
      <c r="K275" s="4">
        <f t="shared" si="73"/>
        <v>94.993665632781429</v>
      </c>
      <c r="L275" s="4">
        <f t="shared" si="74"/>
        <v>97.281526925698714</v>
      </c>
      <c r="M275" s="4">
        <f t="shared" si="75"/>
        <v>112.75572566758562</v>
      </c>
      <c r="N275" s="4">
        <f t="shared" si="76"/>
        <v>99.399740428293313</v>
      </c>
      <c r="O275" s="4">
        <f t="shared" si="77"/>
        <v>116.86982777902035</v>
      </c>
      <c r="P275" s="4">
        <f t="shared" si="78"/>
        <v>85.687387222469198</v>
      </c>
      <c r="Q275" s="4">
        <f t="shared" si="79"/>
        <v>90.362178893621518</v>
      </c>
      <c r="R275" s="4">
        <f t="shared" si="80"/>
        <v>102.18397833493491</v>
      </c>
      <c r="S275" s="4">
        <f t="shared" si="81"/>
        <v>111.56932263481994</v>
      </c>
      <c r="T275" s="4">
        <f t="shared" si="82"/>
        <v>127.19487439736106</v>
      </c>
      <c r="U275" s="4">
        <f t="shared" si="83"/>
        <v>110.04195030502328</v>
      </c>
      <c r="V275" s="4">
        <f t="shared" si="84"/>
        <v>102.68245167091263</v>
      </c>
      <c r="W275" s="4">
        <f t="shared" si="85"/>
        <v>82.560578661844488</v>
      </c>
      <c r="X275" s="4">
        <f t="shared" si="86"/>
        <v>113.61286616886845</v>
      </c>
      <c r="Y275" s="4">
        <f t="shared" si="87"/>
        <v>105.19518885840895</v>
      </c>
      <c r="Z275" s="4">
        <f t="shared" si="88"/>
        <v>123.78359986389931</v>
      </c>
      <c r="AA275" s="4">
        <f t="shared" si="89"/>
        <v>111.84493898061739</v>
      </c>
      <c r="AB275" s="4">
        <f t="shared" si="90"/>
        <v>83.15351315351316</v>
      </c>
      <c r="AC275" s="4">
        <f t="shared" si="91"/>
        <v>95.972938144329888</v>
      </c>
      <c r="AD275" s="4">
        <f t="shared" si="92"/>
        <v>95.949282615949272</v>
      </c>
      <c r="AE275" s="4">
        <f t="shared" si="93"/>
        <v>97.991545154481145</v>
      </c>
      <c r="AF275" s="4">
        <f t="shared" si="94"/>
        <v>99.607315644457941</v>
      </c>
      <c r="AG275" s="4">
        <f t="shared" si="95"/>
        <v>105.61594202898551</v>
      </c>
      <c r="AH275" s="4">
        <f t="shared" si="96"/>
        <v>108.72471464660435</v>
      </c>
      <c r="AI275" s="4">
        <f t="shared" si="97"/>
        <v>116.05236214714057</v>
      </c>
      <c r="AJ275" s="4">
        <f t="shared" si="98"/>
        <v>89.160781737559518</v>
      </c>
      <c r="AK275" s="4">
        <f t="shared" si="99"/>
        <v>111.41002804905513</v>
      </c>
      <c r="AL275" s="4">
        <f t="shared" si="100"/>
        <v>110.27981904898367</v>
      </c>
      <c r="AM275" s="4">
        <f t="shared" si="101"/>
        <v>77.100473256414432</v>
      </c>
      <c r="AN275" s="4">
        <f t="shared" si="102"/>
        <v>125.52127963439015</v>
      </c>
      <c r="AO275" s="4">
        <f t="shared" si="103"/>
        <v>121.03856124432922</v>
      </c>
      <c r="AP275" s="4">
        <f t="shared" si="104"/>
        <v>111.77165022345896</v>
      </c>
      <c r="AQ275" s="4">
        <f t="shared" si="105"/>
        <v>92.49640519998826</v>
      </c>
      <c r="AR275" s="4">
        <f t="shared" si="106"/>
        <v>95.114773396115353</v>
      </c>
      <c r="AS275" s="4">
        <f t="shared" si="107"/>
        <v>93.790071441655982</v>
      </c>
      <c r="AT275" s="4">
        <f t="shared" si="108"/>
        <v>112.78330735100133</v>
      </c>
      <c r="AU275" s="4">
        <f t="shared" si="109"/>
        <v>122.62305769857656</v>
      </c>
      <c r="AV275" s="4">
        <f t="shared" si="110"/>
        <v>89.422936449963487</v>
      </c>
      <c r="AW275" s="4">
        <f t="shared" si="111"/>
        <v>101.36819338726445</v>
      </c>
      <c r="AX275" s="4">
        <f t="shared" si="112"/>
        <v>80.694243862182802</v>
      </c>
    </row>
    <row r="276" spans="1:50" ht="14.25" customHeight="1" x14ac:dyDescent="0.3">
      <c r="A276" s="2">
        <v>45798</v>
      </c>
      <c r="B276" s="4">
        <f t="shared" si="64"/>
        <v>117.02763561924256</v>
      </c>
      <c r="C276" s="4">
        <f t="shared" si="65"/>
        <v>108.07960690165812</v>
      </c>
      <c r="D276" s="4">
        <f t="shared" si="66"/>
        <v>114.21319796954315</v>
      </c>
      <c r="E276" s="4">
        <f t="shared" si="67"/>
        <v>85.734780969981401</v>
      </c>
      <c r="F276" s="4">
        <f t="shared" si="68"/>
        <v>112.54625482023914</v>
      </c>
      <c r="G276" s="4">
        <f t="shared" si="69"/>
        <v>99.230963187090254</v>
      </c>
      <c r="H276" s="4">
        <f t="shared" si="70"/>
        <v>83.320053120849934</v>
      </c>
      <c r="I276" s="4">
        <f t="shared" si="71"/>
        <v>101.80009474182852</v>
      </c>
      <c r="J276" s="4">
        <f t="shared" si="72"/>
        <v>132.61863221490057</v>
      </c>
      <c r="K276" s="4">
        <f t="shared" si="73"/>
        <v>94.578655366738019</v>
      </c>
      <c r="L276" s="4">
        <f t="shared" si="74"/>
        <v>97.859577368779824</v>
      </c>
      <c r="M276" s="4">
        <f t="shared" si="75"/>
        <v>112.55052059634379</v>
      </c>
      <c r="N276" s="4">
        <f t="shared" si="76"/>
        <v>100.28228423101879</v>
      </c>
      <c r="O276" s="4">
        <f t="shared" si="77"/>
        <v>115.81860881234623</v>
      </c>
      <c r="P276" s="4">
        <f t="shared" si="78"/>
        <v>86.40393315724782</v>
      </c>
      <c r="Q276" s="4">
        <f t="shared" si="79"/>
        <v>91.632053758035909</v>
      </c>
      <c r="R276" s="4">
        <f t="shared" si="80"/>
        <v>101.91316502140297</v>
      </c>
      <c r="S276" s="4">
        <f t="shared" si="81"/>
        <v>111.75592461280091</v>
      </c>
      <c r="T276" s="4">
        <f t="shared" si="82"/>
        <v>129.2375031717838</v>
      </c>
      <c r="U276" s="4">
        <f t="shared" si="83"/>
        <v>110.038877022604</v>
      </c>
      <c r="V276" s="4">
        <f t="shared" si="84"/>
        <v>103.7464408811629</v>
      </c>
      <c r="W276" s="4">
        <f t="shared" si="85"/>
        <v>83.171790235081389</v>
      </c>
      <c r="X276" s="4">
        <f t="shared" si="86"/>
        <v>113.61286616886845</v>
      </c>
      <c r="Y276" s="4">
        <f t="shared" si="87"/>
        <v>104.95041147921505</v>
      </c>
      <c r="Z276" s="4">
        <f t="shared" si="88"/>
        <v>130.31643416127935</v>
      </c>
      <c r="AA276" s="4">
        <f t="shared" si="89"/>
        <v>110.54171958694572</v>
      </c>
      <c r="AB276" s="4">
        <f t="shared" si="90"/>
        <v>83.556443556443554</v>
      </c>
      <c r="AC276" s="4">
        <f t="shared" si="91"/>
        <v>95.409149484536087</v>
      </c>
      <c r="AD276" s="4">
        <f t="shared" si="92"/>
        <v>97.003670337003655</v>
      </c>
      <c r="AE276" s="4">
        <f t="shared" si="93"/>
        <v>99.39305878920662</v>
      </c>
      <c r="AF276" s="4">
        <f t="shared" si="94"/>
        <v>100.33627665806087</v>
      </c>
      <c r="AG276" s="4">
        <f t="shared" si="95"/>
        <v>104.90424430641822</v>
      </c>
      <c r="AH276" s="4">
        <f t="shared" si="96"/>
        <v>110.29669377293429</v>
      </c>
      <c r="AI276" s="4">
        <f t="shared" si="97"/>
        <v>118.20974111452389</v>
      </c>
      <c r="AJ276" s="4">
        <f t="shared" si="98"/>
        <v>90.113319100016426</v>
      </c>
      <c r="AK276" s="4">
        <f t="shared" si="99"/>
        <v>110.8408574411891</v>
      </c>
      <c r="AL276" s="4">
        <f t="shared" si="100"/>
        <v>110.71991484658055</v>
      </c>
      <c r="AM276" s="4">
        <f t="shared" si="101"/>
        <v>77.015584213467648</v>
      </c>
      <c r="AN276" s="4">
        <f t="shared" si="102"/>
        <v>125.95686946586689</v>
      </c>
      <c r="AO276" s="4">
        <f t="shared" si="103"/>
        <v>123.08813998703825</v>
      </c>
      <c r="AP276" s="4">
        <f t="shared" si="104"/>
        <v>111.81381229445991</v>
      </c>
      <c r="AQ276" s="4">
        <f t="shared" si="105"/>
        <v>93.799336796079473</v>
      </c>
      <c r="AR276" s="4">
        <f t="shared" si="106"/>
        <v>96.945915898240798</v>
      </c>
      <c r="AS276" s="4">
        <f t="shared" si="107"/>
        <v>94.76705135250657</v>
      </c>
      <c r="AT276" s="4">
        <f t="shared" si="108"/>
        <v>112.72334812327618</v>
      </c>
      <c r="AU276" s="4">
        <f t="shared" si="109"/>
        <v>123.7422579593611</v>
      </c>
      <c r="AV276" s="4">
        <f t="shared" si="110"/>
        <v>89.459459459459467</v>
      </c>
      <c r="AW276" s="4">
        <f t="shared" si="111"/>
        <v>101.8987417400552</v>
      </c>
      <c r="AX276" s="4">
        <f t="shared" si="112"/>
        <v>79.425417784196426</v>
      </c>
    </row>
    <row r="277" spans="1:50" ht="14.25" customHeight="1" x14ac:dyDescent="0.3">
      <c r="A277" s="2">
        <v>45799</v>
      </c>
      <c r="B277" s="4">
        <f t="shared" si="64"/>
        <v>115.40634595701124</v>
      </c>
      <c r="C277" s="4">
        <f t="shared" si="65"/>
        <v>107.69256658215352</v>
      </c>
      <c r="D277" s="4">
        <f t="shared" si="66"/>
        <v>114.77094691984708</v>
      </c>
      <c r="E277" s="4">
        <f t="shared" si="67"/>
        <v>84.54814040292284</v>
      </c>
      <c r="F277" s="4">
        <f t="shared" si="68"/>
        <v>112.34370739687608</v>
      </c>
      <c r="G277" s="4">
        <f t="shared" si="69"/>
        <v>98.997730711043857</v>
      </c>
      <c r="H277" s="4">
        <f t="shared" si="70"/>
        <v>82.20451527224435</v>
      </c>
      <c r="I277" s="4">
        <f t="shared" si="71"/>
        <v>100.37035442056761</v>
      </c>
      <c r="J277" s="4">
        <f t="shared" si="72"/>
        <v>131.77512147996481</v>
      </c>
      <c r="K277" s="4">
        <f t="shared" si="73"/>
        <v>93.07151282163295</v>
      </c>
      <c r="L277" s="4">
        <f t="shared" si="74"/>
        <v>96.834355828220851</v>
      </c>
      <c r="M277" s="4">
        <f t="shared" si="75"/>
        <v>111.03378746107795</v>
      </c>
      <c r="N277" s="4">
        <f t="shared" si="76"/>
        <v>97.543802725502914</v>
      </c>
      <c r="O277" s="4">
        <f t="shared" si="77"/>
        <v>115.51107134869156</v>
      </c>
      <c r="P277" s="4">
        <f t="shared" si="78"/>
        <v>85.41018332069352</v>
      </c>
      <c r="Q277" s="4">
        <f t="shared" si="79"/>
        <v>90.938913727876397</v>
      </c>
      <c r="R277" s="4">
        <f t="shared" si="80"/>
        <v>102.03546780815932</v>
      </c>
      <c r="S277" s="4">
        <f t="shared" si="81"/>
        <v>110.88822541518941</v>
      </c>
      <c r="T277" s="4">
        <f t="shared" si="82"/>
        <v>126.9347881248414</v>
      </c>
      <c r="U277" s="4">
        <f t="shared" si="83"/>
        <v>108.82493046698526</v>
      </c>
      <c r="V277" s="4">
        <f t="shared" si="84"/>
        <v>102.32279334632099</v>
      </c>
      <c r="W277" s="4">
        <f t="shared" si="85"/>
        <v>82.828209764918626</v>
      </c>
      <c r="X277" s="4">
        <f t="shared" si="86"/>
        <v>112.5297448100435</v>
      </c>
      <c r="Y277" s="4">
        <f t="shared" si="87"/>
        <v>101.99198143068158</v>
      </c>
      <c r="Z277" s="4">
        <f t="shared" si="88"/>
        <v>130.45253487580811</v>
      </c>
      <c r="AA277" s="4">
        <f t="shared" si="89"/>
        <v>111.06079849798442</v>
      </c>
      <c r="AB277" s="4">
        <f t="shared" si="90"/>
        <v>81.898101898101899</v>
      </c>
      <c r="AC277" s="4">
        <f t="shared" si="91"/>
        <v>93.717783505154642</v>
      </c>
      <c r="AD277" s="4">
        <f t="shared" si="92"/>
        <v>95.755755755755771</v>
      </c>
      <c r="AE277" s="4">
        <f t="shared" si="93"/>
        <v>99.919341460205601</v>
      </c>
      <c r="AF277" s="4">
        <f t="shared" si="94"/>
        <v>99.763521575944267</v>
      </c>
      <c r="AG277" s="4">
        <f t="shared" si="95"/>
        <v>103.22204968944102</v>
      </c>
      <c r="AH277" s="4">
        <f t="shared" si="96"/>
        <v>108.87223174936847</v>
      </c>
      <c r="AI277" s="4">
        <f t="shared" si="97"/>
        <v>117.95378089805469</v>
      </c>
      <c r="AJ277" s="4">
        <f t="shared" si="98"/>
        <v>90.179011331910004</v>
      </c>
      <c r="AK277" s="4">
        <f t="shared" si="99"/>
        <v>109.51825235960115</v>
      </c>
      <c r="AL277" s="4">
        <f t="shared" si="100"/>
        <v>110.26958426299305</v>
      </c>
      <c r="AM277" s="4">
        <f t="shared" si="101"/>
        <v>75.579544570284597</v>
      </c>
      <c r="AN277" s="4">
        <f t="shared" si="102"/>
        <v>125.62839188803197</v>
      </c>
      <c r="AO277" s="4">
        <f t="shared" si="103"/>
        <v>122.46435515230073</v>
      </c>
      <c r="AP277" s="4">
        <f t="shared" si="104"/>
        <v>109.54549287460999</v>
      </c>
      <c r="AQ277" s="4">
        <f t="shared" si="105"/>
        <v>91.886022830648244</v>
      </c>
      <c r="AR277" s="4">
        <f t="shared" si="106"/>
        <v>96.036884441828533</v>
      </c>
      <c r="AS277" s="4">
        <f t="shared" si="107"/>
        <v>94.366760972366393</v>
      </c>
      <c r="AT277" s="4">
        <f t="shared" si="108"/>
        <v>111.31002346975485</v>
      </c>
      <c r="AU277" s="4">
        <f t="shared" si="109"/>
        <v>122.427469303488</v>
      </c>
      <c r="AV277" s="4">
        <f t="shared" si="110"/>
        <v>89.276844411979553</v>
      </c>
      <c r="AW277" s="4">
        <f t="shared" si="111"/>
        <v>102.19747392068061</v>
      </c>
      <c r="AX277" s="4">
        <f t="shared" si="112"/>
        <v>80.977924489374885</v>
      </c>
    </row>
    <row r="278" spans="1:50" ht="14.25" customHeight="1" x14ac:dyDescent="0.3">
      <c r="A278" s="2">
        <v>45800</v>
      </c>
      <c r="B278" s="4">
        <f t="shared" si="64"/>
        <v>116.83111566018422</v>
      </c>
      <c r="C278" s="4">
        <f t="shared" si="65"/>
        <v>108.46103794116988</v>
      </c>
      <c r="D278" s="4">
        <f t="shared" si="66"/>
        <v>114.78974744626183</v>
      </c>
      <c r="E278" s="4">
        <f t="shared" si="67"/>
        <v>85.462437233279431</v>
      </c>
      <c r="F278" s="4">
        <f t="shared" si="68"/>
        <v>112.94355938145134</v>
      </c>
      <c r="G278" s="4">
        <f t="shared" si="69"/>
        <v>99.65960665658092</v>
      </c>
      <c r="H278" s="4">
        <f t="shared" si="70"/>
        <v>83.123505976095601</v>
      </c>
      <c r="I278" s="4">
        <f t="shared" si="71"/>
        <v>101.59769174454158</v>
      </c>
      <c r="J278" s="4">
        <f t="shared" si="72"/>
        <v>133.28190561331161</v>
      </c>
      <c r="K278" s="4">
        <f t="shared" si="73"/>
        <v>95.299462670918686</v>
      </c>
      <c r="L278" s="4">
        <f t="shared" si="74"/>
        <v>98.156782549420583</v>
      </c>
      <c r="M278" s="4">
        <f t="shared" si="75"/>
        <v>111.10516313803164</v>
      </c>
      <c r="N278" s="4">
        <f t="shared" si="76"/>
        <v>97.751460090850088</v>
      </c>
      <c r="O278" s="4">
        <f t="shared" si="77"/>
        <v>117.46812793558487</v>
      </c>
      <c r="P278" s="4">
        <f t="shared" si="78"/>
        <v>86.205183189936974</v>
      </c>
      <c r="Q278" s="4">
        <f t="shared" si="79"/>
        <v>89.081721738670325</v>
      </c>
      <c r="R278" s="4">
        <f t="shared" si="80"/>
        <v>102.61203808858215</v>
      </c>
      <c r="S278" s="4">
        <f t="shared" si="81"/>
        <v>112.90352677738382</v>
      </c>
      <c r="T278" s="4">
        <f t="shared" si="82"/>
        <v>129.18675463080436</v>
      </c>
      <c r="U278" s="4">
        <f t="shared" si="83"/>
        <v>110.01429076324969</v>
      </c>
      <c r="V278" s="4">
        <f t="shared" si="84"/>
        <v>103.28188221189869</v>
      </c>
      <c r="W278" s="4">
        <f t="shared" si="85"/>
        <v>85.913200723327321</v>
      </c>
      <c r="X278" s="4">
        <f t="shared" si="86"/>
        <v>114.49905637154347</v>
      </c>
      <c r="Y278" s="4">
        <f t="shared" si="87"/>
        <v>103.07659843848916</v>
      </c>
      <c r="Z278" s="4">
        <f t="shared" si="88"/>
        <v>130.58863559033688</v>
      </c>
      <c r="AA278" s="4">
        <f t="shared" si="89"/>
        <v>111.38108123032747</v>
      </c>
      <c r="AB278" s="4">
        <f t="shared" si="90"/>
        <v>82.370962370962374</v>
      </c>
      <c r="AC278" s="4">
        <f t="shared" si="91"/>
        <v>96.037371134020631</v>
      </c>
      <c r="AD278" s="4">
        <f t="shared" si="92"/>
        <v>95.862529195862507</v>
      </c>
      <c r="AE278" s="4">
        <f t="shared" si="93"/>
        <v>100.00514841743369</v>
      </c>
      <c r="AF278" s="4">
        <f t="shared" si="94"/>
        <v>100.47078732128523</v>
      </c>
      <c r="AG278" s="4">
        <f t="shared" si="95"/>
        <v>103.90786749482402</v>
      </c>
      <c r="AH278" s="4">
        <f t="shared" si="96"/>
        <v>111.30165403551477</v>
      </c>
      <c r="AI278" s="4">
        <f t="shared" si="97"/>
        <v>119.1823899371069</v>
      </c>
      <c r="AJ278" s="4">
        <f t="shared" si="98"/>
        <v>92.543931680078828</v>
      </c>
      <c r="AK278" s="4">
        <f t="shared" si="99"/>
        <v>108.89584996826567</v>
      </c>
      <c r="AL278" s="4">
        <f t="shared" si="100"/>
        <v>110.5356886987493</v>
      </c>
      <c r="AM278" s="4">
        <f t="shared" si="101"/>
        <v>76.902398822871945</v>
      </c>
      <c r="AN278" s="4">
        <f t="shared" si="102"/>
        <v>128.44187375035702</v>
      </c>
      <c r="AO278" s="4">
        <f t="shared" si="103"/>
        <v>126.44199611147116</v>
      </c>
      <c r="AP278" s="4">
        <f t="shared" si="104"/>
        <v>109.63824943081204</v>
      </c>
      <c r="AQ278" s="4">
        <f t="shared" si="105"/>
        <v>92.748774833465404</v>
      </c>
      <c r="AR278" s="4">
        <f t="shared" si="106"/>
        <v>97.063632201948863</v>
      </c>
      <c r="AS278" s="4">
        <f t="shared" si="107"/>
        <v>95.859369169499217</v>
      </c>
      <c r="AT278" s="4">
        <f t="shared" si="108"/>
        <v>113.0402754698234</v>
      </c>
      <c r="AU278" s="4">
        <f t="shared" si="109"/>
        <v>123.95957839834837</v>
      </c>
      <c r="AV278" s="4">
        <f t="shared" si="110"/>
        <v>89.853907962016081</v>
      </c>
      <c r="AW278" s="4">
        <f t="shared" si="111"/>
        <v>102.97417759030674</v>
      </c>
      <c r="AX278" s="4">
        <f t="shared" si="112"/>
        <v>81.844439859707037</v>
      </c>
    </row>
    <row r="279" spans="1:50" ht="14.25" customHeight="1" x14ac:dyDescent="0.3">
      <c r="A279" s="2">
        <v>45803</v>
      </c>
      <c r="B279" s="4">
        <f t="shared" si="64"/>
        <v>117.4861821903787</v>
      </c>
      <c r="C279" s="4">
        <f t="shared" si="65"/>
        <v>108.83125042069601</v>
      </c>
      <c r="D279" s="4">
        <f t="shared" si="66"/>
        <v>115.77364166196654</v>
      </c>
      <c r="E279" s="4">
        <f t="shared" si="67"/>
        <v>86.014419628202177</v>
      </c>
      <c r="F279" s="4">
        <f t="shared" si="68"/>
        <v>113.78491021695942</v>
      </c>
      <c r="G279" s="4">
        <f t="shared" si="69"/>
        <v>100.15128593040848</v>
      </c>
      <c r="H279" s="4">
        <f t="shared" si="70"/>
        <v>83.957503320053107</v>
      </c>
      <c r="I279" s="4">
        <f t="shared" si="71"/>
        <v>103.10064166056587</v>
      </c>
      <c r="J279" s="4">
        <f t="shared" si="72"/>
        <v>133.65679927328307</v>
      </c>
      <c r="K279" s="4">
        <f t="shared" si="73"/>
        <v>96.741077279280049</v>
      </c>
      <c r="L279" s="4">
        <f t="shared" si="74"/>
        <v>99.487389229720506</v>
      </c>
      <c r="M279" s="4">
        <f t="shared" si="75"/>
        <v>110.8196604302169</v>
      </c>
      <c r="N279" s="4">
        <f t="shared" si="76"/>
        <v>99.941596365996105</v>
      </c>
      <c r="O279" s="4">
        <f t="shared" si="77"/>
        <v>116.82509505703422</v>
      </c>
      <c r="P279" s="4">
        <f t="shared" si="78"/>
        <v>87.533669813541152</v>
      </c>
      <c r="Q279" s="4">
        <f t="shared" si="79"/>
        <v>88.684885843540812</v>
      </c>
      <c r="R279" s="4">
        <f t="shared" si="80"/>
        <v>102.11409102821698</v>
      </c>
      <c r="S279" s="4">
        <f t="shared" si="81"/>
        <v>113.37936182123531</v>
      </c>
      <c r="T279" s="4">
        <f t="shared" si="82"/>
        <v>130.20806901801572</v>
      </c>
      <c r="U279" s="4">
        <f t="shared" si="83"/>
        <v>110.9547151835518</v>
      </c>
      <c r="V279" s="4">
        <f t="shared" si="84"/>
        <v>102.95219541435637</v>
      </c>
      <c r="W279" s="4">
        <f t="shared" si="85"/>
        <v>82.025316455696213</v>
      </c>
      <c r="X279" s="4">
        <f t="shared" si="86"/>
        <v>114.89291868384346</v>
      </c>
      <c r="Y279" s="4">
        <f t="shared" si="87"/>
        <v>103.7940493775058</v>
      </c>
      <c r="Z279" s="4">
        <f t="shared" si="88"/>
        <v>130.84382443007826</v>
      </c>
      <c r="AA279" s="4">
        <f t="shared" si="89"/>
        <v>114.00960848197028</v>
      </c>
      <c r="AB279" s="4">
        <f t="shared" si="90"/>
        <v>83.330003330003336</v>
      </c>
      <c r="AC279" s="4">
        <f t="shared" si="91"/>
        <v>95.586340206185582</v>
      </c>
      <c r="AD279" s="4">
        <f t="shared" si="92"/>
        <v>97.297297297297305</v>
      </c>
      <c r="AE279" s="4">
        <f t="shared" si="93"/>
        <v>102.49355017704835</v>
      </c>
      <c r="AF279" s="4">
        <f t="shared" si="94"/>
        <v>100.97845659861584</v>
      </c>
      <c r="AG279" s="4">
        <f t="shared" si="95"/>
        <v>104.21842650103518</v>
      </c>
      <c r="AH279" s="4">
        <f t="shared" si="96"/>
        <v>113.12717818222053</v>
      </c>
      <c r="AI279" s="4">
        <f t="shared" si="97"/>
        <v>118.84598508117594</v>
      </c>
      <c r="AJ279" s="4">
        <f t="shared" si="98"/>
        <v>92.543931680078828</v>
      </c>
      <c r="AK279" s="4">
        <f t="shared" si="99"/>
        <v>108.77300739102837</v>
      </c>
      <c r="AL279" s="4">
        <f t="shared" si="100"/>
        <v>111.09860192823366</v>
      </c>
      <c r="AM279" s="4">
        <f t="shared" si="101"/>
        <v>78.182808553985893</v>
      </c>
      <c r="AN279" s="4">
        <f t="shared" si="102"/>
        <v>128.64895744073118</v>
      </c>
      <c r="AO279" s="4">
        <f t="shared" si="103"/>
        <v>126.37718729747245</v>
      </c>
      <c r="AP279" s="4">
        <f t="shared" si="104"/>
        <v>111.55240745425414</v>
      </c>
      <c r="AQ279" s="4">
        <f t="shared" si="105"/>
        <v>93.98714675587641</v>
      </c>
      <c r="AR279" s="4">
        <f t="shared" si="106"/>
        <v>97.063632201948863</v>
      </c>
      <c r="AS279" s="4">
        <f t="shared" si="107"/>
        <v>96.293582463210598</v>
      </c>
      <c r="AT279" s="4">
        <f t="shared" si="108"/>
        <v>113.83687663817177</v>
      </c>
      <c r="AU279" s="4">
        <f t="shared" si="109"/>
        <v>124.5572096055634</v>
      </c>
      <c r="AV279" s="4">
        <f t="shared" si="110"/>
        <v>90.642804967129308</v>
      </c>
      <c r="AW279" s="4">
        <f t="shared" si="111"/>
        <v>104.18344545747844</v>
      </c>
      <c r="AX279" s="4">
        <f t="shared" si="112"/>
        <v>82.535589024138645</v>
      </c>
    </row>
    <row r="280" spans="1:50" ht="14.25" customHeight="1" x14ac:dyDescent="0.3">
      <c r="A280" s="2">
        <v>45804</v>
      </c>
      <c r="B280" s="4">
        <f t="shared" si="64"/>
        <v>116.44626407369496</v>
      </c>
      <c r="C280" s="4">
        <f t="shared" si="65"/>
        <v>108.051560501694</v>
      </c>
      <c r="D280" s="4">
        <f t="shared" si="66"/>
        <v>115.54803534498966</v>
      </c>
      <c r="E280" s="4">
        <f t="shared" si="67"/>
        <v>85.075806392782894</v>
      </c>
      <c r="F280" s="4">
        <f t="shared" si="68"/>
        <v>112.67868967397654</v>
      </c>
      <c r="G280" s="4">
        <f t="shared" si="69"/>
        <v>100.06303580433686</v>
      </c>
      <c r="H280" s="4">
        <f t="shared" si="70"/>
        <v>83.405046480743678</v>
      </c>
      <c r="I280" s="4">
        <f t="shared" si="71"/>
        <v>102.50204556220662</v>
      </c>
      <c r="J280" s="4">
        <f t="shared" si="72"/>
        <v>132.23652906146813</v>
      </c>
      <c r="K280" s="4">
        <f t="shared" si="73"/>
        <v>94.775239176969095</v>
      </c>
      <c r="L280" s="4">
        <f t="shared" si="74"/>
        <v>99.25017041581458</v>
      </c>
      <c r="M280" s="4">
        <f t="shared" si="75"/>
        <v>110.75720671288242</v>
      </c>
      <c r="N280" s="4">
        <f t="shared" si="76"/>
        <v>98.630759247242068</v>
      </c>
      <c r="O280" s="4">
        <f t="shared" si="77"/>
        <v>116.15969581749049</v>
      </c>
      <c r="P280" s="4">
        <f t="shared" si="78"/>
        <v>86.409163419545479</v>
      </c>
      <c r="Q280" s="4">
        <f t="shared" si="79"/>
        <v>89.071139448133536</v>
      </c>
      <c r="R280" s="4">
        <f t="shared" si="80"/>
        <v>99.772866253166754</v>
      </c>
      <c r="S280" s="4">
        <f t="shared" si="81"/>
        <v>111.55066243702183</v>
      </c>
      <c r="T280" s="4">
        <f t="shared" si="82"/>
        <v>128.76807916772393</v>
      </c>
      <c r="U280" s="4">
        <f t="shared" si="83"/>
        <v>110.31239915792064</v>
      </c>
      <c r="V280" s="4">
        <f t="shared" si="84"/>
        <v>101.46860482541587</v>
      </c>
      <c r="W280" s="4">
        <f t="shared" si="85"/>
        <v>81.298372513562384</v>
      </c>
      <c r="X280" s="4">
        <f t="shared" si="86"/>
        <v>115.22113727742678</v>
      </c>
      <c r="Y280" s="4">
        <f t="shared" si="87"/>
        <v>103.20320742772738</v>
      </c>
      <c r="Z280" s="4">
        <f t="shared" si="88"/>
        <v>131.13303844845186</v>
      </c>
      <c r="AA280" s="4">
        <f t="shared" si="89"/>
        <v>111.95538130211497</v>
      </c>
      <c r="AB280" s="4">
        <f t="shared" si="90"/>
        <v>82.667332667332673</v>
      </c>
      <c r="AC280" s="4">
        <f t="shared" si="91"/>
        <v>94.893685567010323</v>
      </c>
      <c r="AD280" s="4">
        <f t="shared" si="92"/>
        <v>95.622288955622309</v>
      </c>
      <c r="AE280" s="4">
        <f t="shared" si="93"/>
        <v>102.54503435138523</v>
      </c>
      <c r="AF280" s="4">
        <f t="shared" si="94"/>
        <v>100.99581281322543</v>
      </c>
      <c r="AG280" s="4">
        <f t="shared" si="95"/>
        <v>103.50672877846792</v>
      </c>
      <c r="AH280" s="4">
        <f t="shared" si="96"/>
        <v>113.44526193505561</v>
      </c>
      <c r="AI280" s="4">
        <f t="shared" si="97"/>
        <v>118.22436741260786</v>
      </c>
      <c r="AJ280" s="4">
        <f t="shared" si="98"/>
        <v>95.71358186894399</v>
      </c>
      <c r="AK280" s="4">
        <f t="shared" si="99"/>
        <v>107.04502180455744</v>
      </c>
      <c r="AL280" s="4">
        <f t="shared" si="100"/>
        <v>110.32075819294617</v>
      </c>
      <c r="AM280" s="4">
        <f t="shared" si="101"/>
        <v>78.847772723735687</v>
      </c>
      <c r="AN280" s="4">
        <f t="shared" si="102"/>
        <v>128.77035132819194</v>
      </c>
      <c r="AO280" s="4">
        <f t="shared" si="103"/>
        <v>125.69669475048606</v>
      </c>
      <c r="AP280" s="4">
        <f t="shared" si="104"/>
        <v>111.21511088624673</v>
      </c>
      <c r="AQ280" s="4">
        <f t="shared" si="105"/>
        <v>93.458931243947546</v>
      </c>
      <c r="AR280" s="4">
        <f t="shared" si="106"/>
        <v>96.821659799882283</v>
      </c>
      <c r="AS280" s="4">
        <f t="shared" si="107"/>
        <v>95.981491658355552</v>
      </c>
      <c r="AT280" s="4">
        <f t="shared" si="108"/>
        <v>113.39146523221353</v>
      </c>
      <c r="AU280" s="4">
        <f t="shared" si="109"/>
        <v>123.69879387156364</v>
      </c>
      <c r="AV280" s="4">
        <f t="shared" si="110"/>
        <v>90.810810810810821</v>
      </c>
      <c r="AW280" s="4">
        <f t="shared" si="111"/>
        <v>103.67679567913773</v>
      </c>
      <c r="AX280" s="4">
        <f t="shared" si="112"/>
        <v>84.660614813286571</v>
      </c>
    </row>
    <row r="281" spans="1:50" ht="14.25" customHeight="1" x14ac:dyDescent="0.3">
      <c r="A281" s="2">
        <v>45805</v>
      </c>
      <c r="B281" s="4">
        <f t="shared" si="64"/>
        <v>115.69293756397134</v>
      </c>
      <c r="C281" s="4">
        <f t="shared" si="65"/>
        <v>107.89450066189505</v>
      </c>
      <c r="D281" s="4">
        <f t="shared" si="66"/>
        <v>116.31885692799398</v>
      </c>
      <c r="E281" s="4">
        <f t="shared" si="67"/>
        <v>85.051489987720217</v>
      </c>
      <c r="F281" s="4">
        <f t="shared" si="68"/>
        <v>113.25517080200989</v>
      </c>
      <c r="G281" s="4">
        <f t="shared" si="69"/>
        <v>100.42233988905696</v>
      </c>
      <c r="H281" s="4">
        <f t="shared" si="70"/>
        <v>83.4953519256308</v>
      </c>
      <c r="I281" s="4">
        <f t="shared" si="71"/>
        <v>101.7182722535636</v>
      </c>
      <c r="J281" s="4">
        <f t="shared" si="72"/>
        <v>133.62796129943911</v>
      </c>
      <c r="K281" s="4">
        <f t="shared" si="73"/>
        <v>91.782796732340216</v>
      </c>
      <c r="L281" s="4">
        <f t="shared" si="74"/>
        <v>99.421949556918875</v>
      </c>
      <c r="M281" s="4">
        <f t="shared" si="75"/>
        <v>110.01668406448792</v>
      </c>
      <c r="N281" s="4">
        <f t="shared" si="76"/>
        <v>97.268007787151205</v>
      </c>
      <c r="O281" s="4">
        <f t="shared" si="77"/>
        <v>115.98635651979423</v>
      </c>
      <c r="P281" s="4">
        <f t="shared" si="78"/>
        <v>86.681137059023513</v>
      </c>
      <c r="Q281" s="4">
        <f t="shared" si="79"/>
        <v>88.171644752506666</v>
      </c>
      <c r="R281" s="4">
        <f t="shared" si="80"/>
        <v>98.17419411199441</v>
      </c>
      <c r="S281" s="4">
        <f t="shared" si="81"/>
        <v>111.46669154693041</v>
      </c>
      <c r="T281" s="4">
        <f t="shared" si="82"/>
        <v>128.29231159604163</v>
      </c>
      <c r="U281" s="4">
        <f t="shared" si="83"/>
        <v>109.86062664228528</v>
      </c>
      <c r="V281" s="4">
        <f t="shared" si="84"/>
        <v>101.91817773115541</v>
      </c>
      <c r="W281" s="4">
        <f t="shared" si="85"/>
        <v>81.077757685352637</v>
      </c>
      <c r="X281" s="4">
        <f t="shared" si="86"/>
        <v>115.77910888651843</v>
      </c>
      <c r="Y281" s="4">
        <f t="shared" si="87"/>
        <v>102.41401139480904</v>
      </c>
      <c r="Z281" s="4">
        <f t="shared" si="88"/>
        <v>132.85130996937735</v>
      </c>
      <c r="AA281" s="4">
        <f t="shared" si="89"/>
        <v>110.55276381909547</v>
      </c>
      <c r="AB281" s="4">
        <f t="shared" si="90"/>
        <v>82.394272394272392</v>
      </c>
      <c r="AC281" s="4">
        <f t="shared" si="91"/>
        <v>93.798324742268051</v>
      </c>
      <c r="AD281" s="4">
        <f t="shared" si="92"/>
        <v>95.822489155822495</v>
      </c>
      <c r="AE281" s="4">
        <f t="shared" si="93"/>
        <v>101.2407686015182</v>
      </c>
      <c r="AF281" s="4">
        <f t="shared" si="94"/>
        <v>99.937083722040214</v>
      </c>
      <c r="AG281" s="4">
        <f t="shared" si="95"/>
        <v>103.05383022774328</v>
      </c>
      <c r="AH281" s="4">
        <f t="shared" si="96"/>
        <v>111.51370987073814</v>
      </c>
      <c r="AI281" s="4">
        <f t="shared" si="97"/>
        <v>117.91721515284482</v>
      </c>
      <c r="AJ281" s="4">
        <f t="shared" si="98"/>
        <v>95.368697651502714</v>
      </c>
      <c r="AK281" s="4">
        <f t="shared" si="99"/>
        <v>105.54634236226275</v>
      </c>
      <c r="AL281" s="4">
        <f t="shared" si="100"/>
        <v>109.03117515812744</v>
      </c>
      <c r="AM281" s="4">
        <f t="shared" si="101"/>
        <v>78.6496982901932</v>
      </c>
      <c r="AN281" s="4">
        <f t="shared" si="102"/>
        <v>129.06312482147956</v>
      </c>
      <c r="AO281" s="4">
        <f t="shared" si="103"/>
        <v>127.90829552819183</v>
      </c>
      <c r="AP281" s="4">
        <f t="shared" si="104"/>
        <v>109.61295218821148</v>
      </c>
      <c r="AQ281" s="4">
        <f t="shared" si="105"/>
        <v>92.748774833465404</v>
      </c>
      <c r="AR281" s="4">
        <f t="shared" si="106"/>
        <v>96.036884441828533</v>
      </c>
      <c r="AS281" s="4">
        <f t="shared" si="107"/>
        <v>94.39389930322335</v>
      </c>
      <c r="AT281" s="4">
        <f t="shared" si="108"/>
        <v>112.32933034108237</v>
      </c>
      <c r="AU281" s="4">
        <f t="shared" si="109"/>
        <v>121.85157014017169</v>
      </c>
      <c r="AV281" s="4">
        <f t="shared" si="110"/>
        <v>90.766983199415634</v>
      </c>
      <c r="AW281" s="4">
        <f t="shared" si="111"/>
        <v>104.25036146593855</v>
      </c>
      <c r="AX281" s="4">
        <f t="shared" si="112"/>
        <v>83.056529812255008</v>
      </c>
    </row>
    <row r="282" spans="1:50" ht="14.25" customHeight="1" x14ac:dyDescent="0.3">
      <c r="A282" s="2">
        <v>45806</v>
      </c>
      <c r="B282" s="4">
        <f t="shared" si="64"/>
        <v>116.09416581371545</v>
      </c>
      <c r="C282" s="4">
        <f t="shared" si="65"/>
        <v>108.11887186160787</v>
      </c>
      <c r="D282" s="4">
        <f t="shared" si="66"/>
        <v>116.78887008836247</v>
      </c>
      <c r="E282" s="4">
        <f t="shared" si="67"/>
        <v>85.061216549745282</v>
      </c>
      <c r="F282" s="4">
        <f t="shared" si="68"/>
        <v>113.46550851088692</v>
      </c>
      <c r="G282" s="4">
        <f t="shared" si="69"/>
        <v>100.52319717599596</v>
      </c>
      <c r="H282" s="4">
        <f t="shared" si="70"/>
        <v>84.228419654714472</v>
      </c>
      <c r="I282" s="4">
        <f t="shared" si="71"/>
        <v>101.92067525085054</v>
      </c>
      <c r="J282" s="4">
        <f t="shared" si="72"/>
        <v>132.71235562989347</v>
      </c>
      <c r="K282" s="4">
        <f t="shared" si="73"/>
        <v>91.466078371412351</v>
      </c>
      <c r="L282" s="4">
        <f t="shared" si="74"/>
        <v>99.667348329925019</v>
      </c>
      <c r="M282" s="4">
        <f t="shared" si="75"/>
        <v>110.56092360125977</v>
      </c>
      <c r="N282" s="4">
        <f t="shared" si="76"/>
        <v>97.631408176508756</v>
      </c>
      <c r="O282" s="4">
        <f t="shared" si="77"/>
        <v>116.39454260791769</v>
      </c>
      <c r="P282" s="4">
        <f t="shared" si="78"/>
        <v>87.068176469049916</v>
      </c>
      <c r="Q282" s="4">
        <f t="shared" si="79"/>
        <v>89.938887272150041</v>
      </c>
      <c r="R282" s="4">
        <f t="shared" si="80"/>
        <v>98.445007425526327</v>
      </c>
      <c r="S282" s="4">
        <f t="shared" si="81"/>
        <v>112.1197984698638</v>
      </c>
      <c r="T282" s="4">
        <f t="shared" si="82"/>
        <v>127.56280131946207</v>
      </c>
      <c r="U282" s="4">
        <f t="shared" si="83"/>
        <v>110.27859305130848</v>
      </c>
      <c r="V282" s="4">
        <f t="shared" si="84"/>
        <v>101.70837704181028</v>
      </c>
      <c r="W282" s="4">
        <f t="shared" si="85"/>
        <v>82.59312839059676</v>
      </c>
      <c r="X282" s="4">
        <f t="shared" si="86"/>
        <v>118.04381718224337</v>
      </c>
      <c r="Y282" s="4">
        <f t="shared" si="87"/>
        <v>102.57016248153619</v>
      </c>
      <c r="Z282" s="4">
        <f t="shared" si="88"/>
        <v>131.60939094930251</v>
      </c>
      <c r="AA282" s="4">
        <f t="shared" si="89"/>
        <v>111.12706389088298</v>
      </c>
      <c r="AB282" s="4">
        <f t="shared" si="90"/>
        <v>83.296703296703285</v>
      </c>
      <c r="AC282" s="4">
        <f t="shared" si="91"/>
        <v>94.426546391752595</v>
      </c>
      <c r="AD282" s="4">
        <f t="shared" si="92"/>
        <v>96.69002335669002</v>
      </c>
      <c r="AE282" s="4">
        <f t="shared" si="93"/>
        <v>101.53251225609372</v>
      </c>
      <c r="AF282" s="4">
        <f t="shared" si="94"/>
        <v>99.550907946976764</v>
      </c>
      <c r="AG282" s="4">
        <f t="shared" si="95"/>
        <v>103.05383022774328</v>
      </c>
      <c r="AH282" s="4">
        <f t="shared" si="96"/>
        <v>112.25129538455867</v>
      </c>
      <c r="AI282" s="4">
        <f t="shared" si="97"/>
        <v>119.29208717273659</v>
      </c>
      <c r="AJ282" s="4">
        <f t="shared" si="98"/>
        <v>94.547544752832977</v>
      </c>
      <c r="AK282" s="4">
        <f t="shared" si="99"/>
        <v>105.38255225927972</v>
      </c>
      <c r="AL282" s="4">
        <f t="shared" si="100"/>
        <v>110.10582768714305</v>
      </c>
      <c r="AM282" s="4">
        <f t="shared" si="101"/>
        <v>80.036219324990626</v>
      </c>
      <c r="AN282" s="4">
        <f t="shared" si="102"/>
        <v>130.31990859754353</v>
      </c>
      <c r="AO282" s="4">
        <f t="shared" si="103"/>
        <v>126.52300712896954</v>
      </c>
      <c r="AP282" s="4">
        <f t="shared" si="104"/>
        <v>109.62138460241167</v>
      </c>
      <c r="AQ282" s="4">
        <f t="shared" si="105"/>
        <v>93.904979898465243</v>
      </c>
      <c r="AR282" s="4">
        <f t="shared" si="106"/>
        <v>96.586227192466154</v>
      </c>
      <c r="AS282" s="4">
        <f t="shared" si="107"/>
        <v>93.939332261369259</v>
      </c>
      <c r="AT282" s="4">
        <f t="shared" si="108"/>
        <v>111.73830366779163</v>
      </c>
      <c r="AU282" s="4">
        <f t="shared" si="109"/>
        <v>120.5911115940454</v>
      </c>
      <c r="AV282" s="4">
        <f t="shared" si="110"/>
        <v>91.176040905770634</v>
      </c>
      <c r="AW282" s="4">
        <f t="shared" si="111"/>
        <v>104.11652944901837</v>
      </c>
      <c r="AX282" s="4">
        <f t="shared" si="112"/>
        <v>85.01650505467299</v>
      </c>
    </row>
    <row r="283" spans="1:50" ht="14.25" customHeight="1" x14ac:dyDescent="0.3">
      <c r="A283" s="2">
        <v>45807</v>
      </c>
      <c r="B283" s="4">
        <f t="shared" si="64"/>
        <v>116.34800409416582</v>
      </c>
      <c r="C283" s="4">
        <f t="shared" si="65"/>
        <v>109.09488658035855</v>
      </c>
      <c r="D283" s="4">
        <f t="shared" si="66"/>
        <v>116.32512377013222</v>
      </c>
      <c r="E283" s="4">
        <f t="shared" si="67"/>
        <v>84.217437294070436</v>
      </c>
      <c r="F283" s="4">
        <f t="shared" si="68"/>
        <v>112.63194796089276</v>
      </c>
      <c r="G283" s="4">
        <f t="shared" si="69"/>
        <v>102.40796772566816</v>
      </c>
      <c r="H283" s="4">
        <f t="shared" si="70"/>
        <v>83.011952191235054</v>
      </c>
      <c r="I283" s="4">
        <f t="shared" si="71"/>
        <v>101.12828904870594</v>
      </c>
      <c r="J283" s="4">
        <f t="shared" si="72"/>
        <v>132.37350943722691</v>
      </c>
      <c r="K283" s="4">
        <f t="shared" si="73"/>
        <v>91.313179852343708</v>
      </c>
      <c r="L283" s="4">
        <f t="shared" si="74"/>
        <v>100.2072256305385</v>
      </c>
      <c r="M283" s="4">
        <f t="shared" si="75"/>
        <v>109.90962054905739</v>
      </c>
      <c r="N283" s="4">
        <f t="shared" si="76"/>
        <v>96.586632057105788</v>
      </c>
      <c r="O283" s="4">
        <f t="shared" si="77"/>
        <v>116.00872288078727</v>
      </c>
      <c r="P283" s="4">
        <f t="shared" si="78"/>
        <v>85.598472763409077</v>
      </c>
      <c r="Q283" s="4">
        <f t="shared" si="79"/>
        <v>88.76425302256672</v>
      </c>
      <c r="R283" s="4">
        <f t="shared" si="80"/>
        <v>97.929588538481696</v>
      </c>
      <c r="S283" s="4">
        <f t="shared" si="81"/>
        <v>111.2334390744542</v>
      </c>
      <c r="T283" s="4">
        <f t="shared" si="82"/>
        <v>127.97513321492006</v>
      </c>
      <c r="U283" s="4">
        <f t="shared" si="83"/>
        <v>109.25519000568558</v>
      </c>
      <c r="V283" s="4">
        <f t="shared" si="84"/>
        <v>100.07492881762326</v>
      </c>
      <c r="W283" s="4">
        <f t="shared" si="85"/>
        <v>86.188065099457518</v>
      </c>
      <c r="X283" s="4">
        <f t="shared" si="86"/>
        <v>117.56790022154755</v>
      </c>
      <c r="Y283" s="4">
        <f t="shared" si="87"/>
        <v>101.03397341211226</v>
      </c>
      <c r="Z283" s="4">
        <f t="shared" si="88"/>
        <v>130.86083701939438</v>
      </c>
      <c r="AA283" s="4">
        <f t="shared" si="89"/>
        <v>109.7244464078635</v>
      </c>
      <c r="AB283" s="4">
        <f t="shared" si="90"/>
        <v>83.140193140193134</v>
      </c>
      <c r="AC283" s="4">
        <f t="shared" si="91"/>
        <v>93.347293814433002</v>
      </c>
      <c r="AD283" s="4">
        <f t="shared" si="92"/>
        <v>96.029362696029366</v>
      </c>
      <c r="AE283" s="4">
        <f t="shared" si="93"/>
        <v>98.472064114958442</v>
      </c>
      <c r="AF283" s="4">
        <f t="shared" si="94"/>
        <v>98.023561061332515</v>
      </c>
      <c r="AG283" s="4">
        <f t="shared" si="95"/>
        <v>102.82091097308488</v>
      </c>
      <c r="AH283" s="4">
        <f t="shared" si="96"/>
        <v>110.46265051354392</v>
      </c>
      <c r="AI283" s="4">
        <f t="shared" si="97"/>
        <v>117.75632587392131</v>
      </c>
      <c r="AJ283" s="4">
        <f t="shared" si="98"/>
        <v>94.153391361471492</v>
      </c>
      <c r="AK283" s="4">
        <f t="shared" si="99"/>
        <v>104.24421104354768</v>
      </c>
      <c r="AL283" s="4">
        <f t="shared" si="100"/>
        <v>109.17446216199617</v>
      </c>
      <c r="AM283" s="4">
        <f t="shared" si="101"/>
        <v>79.845218978360379</v>
      </c>
      <c r="AN283" s="4">
        <f t="shared" si="102"/>
        <v>129.40588403313339</v>
      </c>
      <c r="AO283" s="4">
        <f t="shared" si="103"/>
        <v>125.86681788723266</v>
      </c>
      <c r="AP283" s="4">
        <f t="shared" si="104"/>
        <v>106.83868791635045</v>
      </c>
      <c r="AQ283" s="4">
        <f t="shared" si="105"/>
        <v>92.373154913871531</v>
      </c>
      <c r="AR283" s="4">
        <f t="shared" si="106"/>
        <v>95.853770191615979</v>
      </c>
      <c r="AS283" s="4">
        <f t="shared" si="107"/>
        <v>93.362642730658834</v>
      </c>
      <c r="AT283" s="4">
        <f t="shared" si="108"/>
        <v>109.52837784592194</v>
      </c>
      <c r="AU283" s="4">
        <f t="shared" si="109"/>
        <v>120.21080082581766</v>
      </c>
      <c r="AV283" s="4">
        <f t="shared" si="110"/>
        <v>91.395178962746542</v>
      </c>
      <c r="AW283" s="4">
        <f t="shared" si="111"/>
        <v>102.98612687753175</v>
      </c>
      <c r="AX283" s="4">
        <f t="shared" si="112"/>
        <v>84.273777594388292</v>
      </c>
    </row>
    <row r="284" spans="1:50" ht="14.25" customHeight="1" x14ac:dyDescent="0.3">
      <c r="A284" s="2">
        <v>45810</v>
      </c>
      <c r="B284" s="4">
        <f t="shared" si="64"/>
        <v>115.7584442169908</v>
      </c>
      <c r="C284" s="4">
        <f t="shared" si="65"/>
        <v>108.37689874127756</v>
      </c>
      <c r="D284" s="4">
        <f t="shared" si="66"/>
        <v>116.19352008522905</v>
      </c>
      <c r="E284" s="4">
        <f t="shared" si="67"/>
        <v>83.886734185218074</v>
      </c>
      <c r="F284" s="4">
        <f t="shared" si="68"/>
        <v>112.99809138004906</v>
      </c>
      <c r="G284" s="4">
        <f t="shared" si="69"/>
        <v>102.57816439737771</v>
      </c>
      <c r="H284" s="4">
        <f t="shared" si="70"/>
        <v>82.539176626826034</v>
      </c>
      <c r="I284" s="4">
        <f t="shared" si="71"/>
        <v>102.13169114163905</v>
      </c>
      <c r="J284" s="4">
        <f t="shared" si="72"/>
        <v>131.47953224806426</v>
      </c>
      <c r="K284" s="4">
        <f t="shared" si="73"/>
        <v>91.586212922109112</v>
      </c>
      <c r="L284" s="4">
        <f t="shared" si="74"/>
        <v>100.32992501704156</v>
      </c>
      <c r="M284" s="4">
        <f t="shared" si="75"/>
        <v>109.6508837201003</v>
      </c>
      <c r="N284" s="4">
        <f t="shared" si="76"/>
        <v>98.179753406878646</v>
      </c>
      <c r="O284" s="4">
        <f t="shared" si="77"/>
        <v>115.38805636322968</v>
      </c>
      <c r="P284" s="4">
        <f t="shared" si="78"/>
        <v>85.33172938622873</v>
      </c>
      <c r="Q284" s="4">
        <f t="shared" si="79"/>
        <v>88.605518664514932</v>
      </c>
      <c r="R284" s="4">
        <f t="shared" si="80"/>
        <v>97.798549838385611</v>
      </c>
      <c r="S284" s="4">
        <f t="shared" si="81"/>
        <v>111.43870125023325</v>
      </c>
      <c r="T284" s="4">
        <f t="shared" si="82"/>
        <v>128.71098705912203</v>
      </c>
      <c r="U284" s="4">
        <f t="shared" si="83"/>
        <v>108.34857169199563</v>
      </c>
      <c r="V284" s="4">
        <f t="shared" si="84"/>
        <v>99.670313202457677</v>
      </c>
      <c r="W284" s="4">
        <f t="shared" si="85"/>
        <v>87.233273056057854</v>
      </c>
      <c r="X284" s="4">
        <f t="shared" si="86"/>
        <v>120.45622384508083</v>
      </c>
      <c r="Y284" s="4">
        <f t="shared" si="87"/>
        <v>100.57396075121335</v>
      </c>
      <c r="Z284" s="4">
        <f t="shared" si="88"/>
        <v>131.84756719972782</v>
      </c>
      <c r="AA284" s="4">
        <f t="shared" si="89"/>
        <v>108.1009442818488</v>
      </c>
      <c r="AB284" s="4">
        <f t="shared" si="90"/>
        <v>82.47752247752247</v>
      </c>
      <c r="AC284" s="4">
        <f t="shared" si="91"/>
        <v>94.410438144329916</v>
      </c>
      <c r="AD284" s="4">
        <f t="shared" si="92"/>
        <v>94.974974974974984</v>
      </c>
      <c r="AE284" s="4">
        <f t="shared" si="93"/>
        <v>97.402337381514897</v>
      </c>
      <c r="AF284" s="4">
        <f t="shared" si="94"/>
        <v>98.353329138914773</v>
      </c>
      <c r="AG284" s="4">
        <f t="shared" si="95"/>
        <v>103.44202898550725</v>
      </c>
      <c r="AH284" s="4">
        <f t="shared" si="96"/>
        <v>110.92825136914313</v>
      </c>
      <c r="AI284" s="4">
        <f t="shared" si="97"/>
        <v>116.30832236360975</v>
      </c>
      <c r="AJ284" s="4">
        <f t="shared" si="98"/>
        <v>94.087699129577928</v>
      </c>
      <c r="AK284" s="4">
        <f t="shared" si="99"/>
        <v>103.35564973486477</v>
      </c>
      <c r="AL284" s="4">
        <f t="shared" si="100"/>
        <v>109.73737539148054</v>
      </c>
      <c r="AM284" s="4">
        <f t="shared" si="101"/>
        <v>79.533959154222174</v>
      </c>
      <c r="AN284" s="4">
        <f t="shared" si="102"/>
        <v>128.71322479291629</v>
      </c>
      <c r="AO284" s="4">
        <f t="shared" si="103"/>
        <v>124.22229423201556</v>
      </c>
      <c r="AP284" s="4">
        <f t="shared" si="104"/>
        <v>106.43393203474155</v>
      </c>
      <c r="AQ284" s="4">
        <f t="shared" si="105"/>
        <v>90.9176277254453</v>
      </c>
      <c r="AR284" s="4">
        <f t="shared" si="106"/>
        <v>96.148060950886133</v>
      </c>
      <c r="AS284" s="4">
        <f t="shared" si="107"/>
        <v>93.83756352065565</v>
      </c>
      <c r="AT284" s="4">
        <f t="shared" si="108"/>
        <v>110.07657649940896</v>
      </c>
      <c r="AU284" s="4">
        <f t="shared" si="109"/>
        <v>121.74290992067804</v>
      </c>
      <c r="AV284" s="4">
        <f t="shared" si="110"/>
        <v>91.139517896274668</v>
      </c>
      <c r="AW284" s="4">
        <f t="shared" si="111"/>
        <v>101.14593664487911</v>
      </c>
      <c r="AX284" s="4">
        <f t="shared" si="112"/>
        <v>83.835362079636909</v>
      </c>
    </row>
    <row r="285" spans="1:50" ht="14.25" customHeight="1" x14ac:dyDescent="0.3">
      <c r="A285" s="2">
        <v>45811</v>
      </c>
      <c r="B285" s="4">
        <f t="shared" si="64"/>
        <v>115.08700102354146</v>
      </c>
      <c r="C285" s="4">
        <f t="shared" si="65"/>
        <v>107.95620274181607</v>
      </c>
      <c r="D285" s="4">
        <f t="shared" si="66"/>
        <v>115.39136429153348</v>
      </c>
      <c r="E285" s="4">
        <f t="shared" si="67"/>
        <v>82.802222519422713</v>
      </c>
      <c r="F285" s="4">
        <f t="shared" si="68"/>
        <v>112.01651540528961</v>
      </c>
      <c r="G285" s="4">
        <f t="shared" si="69"/>
        <v>102.09278870398384</v>
      </c>
      <c r="H285" s="4">
        <f t="shared" si="70"/>
        <v>81.965471447543152</v>
      </c>
      <c r="I285" s="4">
        <f t="shared" si="71"/>
        <v>101.30054691873735</v>
      </c>
      <c r="J285" s="4">
        <f t="shared" si="72"/>
        <v>129.46808357244819</v>
      </c>
      <c r="K285" s="4">
        <f t="shared" si="73"/>
        <v>91.072910750950143</v>
      </c>
      <c r="L285" s="4">
        <f t="shared" si="74"/>
        <v>99.381049761417856</v>
      </c>
      <c r="M285" s="4">
        <f t="shared" si="75"/>
        <v>108.20552626178814</v>
      </c>
      <c r="N285" s="4">
        <f t="shared" si="76"/>
        <v>98.848150551589882</v>
      </c>
      <c r="O285" s="4">
        <f t="shared" si="77"/>
        <v>114.32006262581076</v>
      </c>
      <c r="P285" s="4">
        <f t="shared" si="78"/>
        <v>85.274196500954531</v>
      </c>
      <c r="Q285" s="4">
        <f t="shared" si="79"/>
        <v>88.229847350458996</v>
      </c>
      <c r="R285" s="4">
        <f t="shared" si="80"/>
        <v>96.400803704027254</v>
      </c>
      <c r="S285" s="4">
        <f t="shared" si="81"/>
        <v>110.23511849225602</v>
      </c>
      <c r="T285" s="4">
        <f t="shared" si="82"/>
        <v>126.3575234712002</v>
      </c>
      <c r="U285" s="4">
        <f t="shared" si="83"/>
        <v>108.17339459409625</v>
      </c>
      <c r="V285" s="4">
        <f t="shared" si="84"/>
        <v>98.381537539337629</v>
      </c>
      <c r="W285" s="4">
        <f t="shared" si="85"/>
        <v>85.967450271247742</v>
      </c>
      <c r="X285" s="4">
        <f t="shared" si="86"/>
        <v>117.52687289734965</v>
      </c>
      <c r="Y285" s="4">
        <f t="shared" si="87"/>
        <v>100.1350495885208</v>
      </c>
      <c r="Z285" s="4">
        <f t="shared" si="88"/>
        <v>131.337189520245</v>
      </c>
      <c r="AA285" s="4">
        <f t="shared" si="89"/>
        <v>107.54873267436081</v>
      </c>
      <c r="AB285" s="4">
        <f t="shared" si="90"/>
        <v>81.991341991341997</v>
      </c>
      <c r="AC285" s="4">
        <f t="shared" si="91"/>
        <v>92.864046391752581</v>
      </c>
      <c r="AD285" s="4">
        <f t="shared" si="92"/>
        <v>93.9406072739406</v>
      </c>
      <c r="AE285" s="4">
        <f t="shared" si="93"/>
        <v>97.968663299220296</v>
      </c>
      <c r="AF285" s="4">
        <f t="shared" si="94"/>
        <v>97.876033237150978</v>
      </c>
      <c r="AG285" s="4">
        <f t="shared" si="95"/>
        <v>101.6692546583851</v>
      </c>
      <c r="AH285" s="4">
        <f t="shared" si="96"/>
        <v>110.24137485939778</v>
      </c>
      <c r="AI285" s="4">
        <f t="shared" si="97"/>
        <v>115.07240017551557</v>
      </c>
      <c r="AJ285" s="4">
        <f t="shared" si="98"/>
        <v>93.250123172934778</v>
      </c>
      <c r="AK285" s="4">
        <f t="shared" si="99"/>
        <v>104.51446471346968</v>
      </c>
      <c r="AL285" s="4">
        <f t="shared" si="100"/>
        <v>109.59408838761181</v>
      </c>
      <c r="AM285" s="4">
        <f t="shared" si="101"/>
        <v>79.08829167875156</v>
      </c>
      <c r="AN285" s="4">
        <f t="shared" si="102"/>
        <v>126.77092259354468</v>
      </c>
      <c r="AO285" s="4">
        <f t="shared" si="103"/>
        <v>122.79650032404408</v>
      </c>
      <c r="AP285" s="4">
        <f t="shared" si="104"/>
        <v>106.58571549034488</v>
      </c>
      <c r="AQ285" s="4">
        <f t="shared" si="105"/>
        <v>90.606567479531634</v>
      </c>
      <c r="AR285" s="4">
        <f t="shared" si="106"/>
        <v>96.344254790399589</v>
      </c>
      <c r="AS285" s="4">
        <f t="shared" si="107"/>
        <v>92.439939481522188</v>
      </c>
      <c r="AT285" s="4">
        <f t="shared" si="108"/>
        <v>111.05305535093279</v>
      </c>
      <c r="AU285" s="4">
        <f t="shared" si="109"/>
        <v>121.11268064761491</v>
      </c>
      <c r="AV285" s="4">
        <f t="shared" si="110"/>
        <v>91.183345507669827</v>
      </c>
      <c r="AW285" s="4">
        <f t="shared" si="111"/>
        <v>100.57954043041333</v>
      </c>
      <c r="AX285" s="4">
        <f t="shared" si="112"/>
        <v>82.612956467918295</v>
      </c>
    </row>
    <row r="286" spans="1:50" ht="14.25" customHeight="1" x14ac:dyDescent="0.3">
      <c r="A286" s="2">
        <v>45812</v>
      </c>
      <c r="B286" s="4">
        <f t="shared" si="64"/>
        <v>116.560900716479</v>
      </c>
      <c r="C286" s="4">
        <f t="shared" si="65"/>
        <v>108.88734322062422</v>
      </c>
      <c r="D286" s="4">
        <f t="shared" si="66"/>
        <v>117.52835746067556</v>
      </c>
      <c r="E286" s="4">
        <f t="shared" si="67"/>
        <v>82.211333876399721</v>
      </c>
      <c r="F286" s="4">
        <f t="shared" si="68"/>
        <v>111.47898570482609</v>
      </c>
      <c r="G286" s="4">
        <f t="shared" si="69"/>
        <v>101.67675239536055</v>
      </c>
      <c r="H286" s="4">
        <f t="shared" si="70"/>
        <v>82.401062416998656</v>
      </c>
      <c r="I286" s="4">
        <f t="shared" si="71"/>
        <v>101.82593342233324</v>
      </c>
      <c r="J286" s="4">
        <f t="shared" si="72"/>
        <v>129.58343546782405</v>
      </c>
      <c r="K286" s="4">
        <f t="shared" si="73"/>
        <v>91.083832073740751</v>
      </c>
      <c r="L286" s="4">
        <f t="shared" si="74"/>
        <v>98.882072256305392</v>
      </c>
      <c r="M286" s="4">
        <f t="shared" si="75"/>
        <v>108.51779484846054</v>
      </c>
      <c r="N286" s="4">
        <f t="shared" si="76"/>
        <v>99.072031148604793</v>
      </c>
      <c r="O286" s="4">
        <f t="shared" si="77"/>
        <v>114.42071125027957</v>
      </c>
      <c r="P286" s="4">
        <f t="shared" si="78"/>
        <v>85.049295222155379</v>
      </c>
      <c r="Q286" s="4">
        <f t="shared" si="79"/>
        <v>88.092277573480771</v>
      </c>
      <c r="R286" s="4">
        <f t="shared" si="80"/>
        <v>96.383331877347771</v>
      </c>
      <c r="S286" s="4">
        <f t="shared" si="81"/>
        <v>109.25545810785596</v>
      </c>
      <c r="T286" s="4">
        <f t="shared" si="82"/>
        <v>124.08652626236993</v>
      </c>
      <c r="U286" s="4">
        <f t="shared" si="83"/>
        <v>107.55873811023864</v>
      </c>
      <c r="V286" s="4">
        <f t="shared" si="84"/>
        <v>98.681252809830653</v>
      </c>
      <c r="W286" s="4">
        <f t="shared" si="85"/>
        <v>88.853526220614839</v>
      </c>
      <c r="X286" s="4">
        <f t="shared" si="86"/>
        <v>117.84688602609339</v>
      </c>
      <c r="Y286" s="4">
        <f t="shared" si="87"/>
        <v>100.46423296054022</v>
      </c>
      <c r="Z286" s="4">
        <f t="shared" si="88"/>
        <v>132.90234773732564</v>
      </c>
      <c r="AA286" s="4">
        <f t="shared" si="89"/>
        <v>106.96891048649843</v>
      </c>
      <c r="AB286" s="4">
        <f t="shared" si="90"/>
        <v>82.204462204462189</v>
      </c>
      <c r="AC286" s="4">
        <f t="shared" si="91"/>
        <v>92.960695876288668</v>
      </c>
      <c r="AD286" s="4">
        <f t="shared" si="92"/>
        <v>94.647981314647964</v>
      </c>
      <c r="AE286" s="4">
        <f t="shared" si="93"/>
        <v>97.974383763035505</v>
      </c>
      <c r="AF286" s="4">
        <f t="shared" si="94"/>
        <v>97.58531664244029</v>
      </c>
      <c r="AG286" s="4">
        <f t="shared" si="95"/>
        <v>102.12215320910975</v>
      </c>
      <c r="AH286" s="4">
        <f t="shared" si="96"/>
        <v>110.52257933654184</v>
      </c>
      <c r="AI286" s="4">
        <f t="shared" si="97"/>
        <v>115.67939154599969</v>
      </c>
      <c r="AJ286" s="4">
        <f t="shared" si="98"/>
        <v>95.368697651502714</v>
      </c>
      <c r="AK286" s="4">
        <f t="shared" si="99"/>
        <v>104.40390639395613</v>
      </c>
      <c r="AL286" s="4">
        <f t="shared" si="100"/>
        <v>108.88788815425869</v>
      </c>
      <c r="AM286" s="4">
        <f t="shared" si="101"/>
        <v>77.906919164408848</v>
      </c>
      <c r="AN286" s="4">
        <f t="shared" si="102"/>
        <v>126.81376749500141</v>
      </c>
      <c r="AO286" s="4">
        <f t="shared" si="103"/>
        <v>122.94232015554114</v>
      </c>
      <c r="AP286" s="4">
        <f t="shared" si="104"/>
        <v>107.23501138375914</v>
      </c>
      <c r="AQ286" s="4">
        <f t="shared" si="105"/>
        <v>91.363676379963039</v>
      </c>
      <c r="AR286" s="4">
        <f t="shared" si="106"/>
        <v>96.259237459943762</v>
      </c>
      <c r="AS286" s="4">
        <f t="shared" si="107"/>
        <v>93.016629012232613</v>
      </c>
      <c r="AT286" s="4">
        <f t="shared" si="108"/>
        <v>109.84530519246914</v>
      </c>
      <c r="AU286" s="4">
        <f t="shared" si="109"/>
        <v>122.17755079865262</v>
      </c>
      <c r="AV286" s="4">
        <f t="shared" si="110"/>
        <v>91.446311176040908</v>
      </c>
      <c r="AW286" s="4">
        <f t="shared" si="111"/>
        <v>100.38835183481305</v>
      </c>
      <c r="AX286" s="4">
        <f t="shared" si="112"/>
        <v>84.005570455952153</v>
      </c>
    </row>
    <row r="287" spans="1:50" ht="14.25" customHeight="1" x14ac:dyDescent="0.3">
      <c r="A287" s="2">
        <v>45813</v>
      </c>
      <c r="B287" s="4">
        <f t="shared" si="64"/>
        <v>118.10849539406347</v>
      </c>
      <c r="C287" s="4">
        <f t="shared" si="65"/>
        <v>109.35852274002109</v>
      </c>
      <c r="D287" s="4">
        <f t="shared" si="66"/>
        <v>117.74143009337594</v>
      </c>
      <c r="E287" s="4">
        <f t="shared" si="67"/>
        <v>81.973033106785493</v>
      </c>
      <c r="F287" s="4">
        <f t="shared" si="68"/>
        <v>113.33307365714953</v>
      </c>
      <c r="G287" s="4">
        <f t="shared" si="69"/>
        <v>101.61371659102369</v>
      </c>
      <c r="H287" s="4">
        <f t="shared" si="70"/>
        <v>82.565737051792823</v>
      </c>
      <c r="I287" s="4">
        <f t="shared" si="71"/>
        <v>102.33840058567678</v>
      </c>
      <c r="J287" s="4">
        <f t="shared" si="72"/>
        <v>128.81922916095917</v>
      </c>
      <c r="K287" s="4">
        <f t="shared" si="73"/>
        <v>91.542527630946651</v>
      </c>
      <c r="L287" s="4">
        <f t="shared" si="74"/>
        <v>99.321063394683023</v>
      </c>
      <c r="M287" s="4">
        <f t="shared" si="75"/>
        <v>108.18768234254972</v>
      </c>
      <c r="N287" s="4">
        <f t="shared" si="76"/>
        <v>98.689162881245934</v>
      </c>
      <c r="O287" s="4">
        <f t="shared" si="77"/>
        <v>114.06284947439052</v>
      </c>
      <c r="P287" s="4">
        <f t="shared" si="78"/>
        <v>85.378801746907612</v>
      </c>
      <c r="Q287" s="4">
        <f t="shared" si="79"/>
        <v>89.05526601232836</v>
      </c>
      <c r="R287" s="4">
        <f t="shared" si="80"/>
        <v>97.48405695815498</v>
      </c>
      <c r="S287" s="4">
        <f t="shared" si="81"/>
        <v>108.13584623997015</v>
      </c>
      <c r="T287" s="4">
        <f t="shared" si="82"/>
        <v>123.31895458005582</v>
      </c>
      <c r="U287" s="4">
        <f t="shared" si="83"/>
        <v>107.68781597184874</v>
      </c>
      <c r="V287" s="4">
        <f t="shared" si="84"/>
        <v>98.501423647534821</v>
      </c>
      <c r="W287" s="4">
        <f t="shared" si="85"/>
        <v>92.788426763110309</v>
      </c>
      <c r="X287" s="4">
        <f t="shared" si="86"/>
        <v>119.52900631820795</v>
      </c>
      <c r="Y287" s="4">
        <f t="shared" si="87"/>
        <v>100.3460645705845</v>
      </c>
      <c r="Z287" s="4">
        <f t="shared" si="88"/>
        <v>133.88907791765911</v>
      </c>
      <c r="AA287" s="4">
        <f t="shared" si="89"/>
        <v>106.99099895079796</v>
      </c>
      <c r="AB287" s="4">
        <f t="shared" si="90"/>
        <v>82.564102564102555</v>
      </c>
      <c r="AC287" s="4">
        <f t="shared" si="91"/>
        <v>94.797036082474236</v>
      </c>
      <c r="AD287" s="4">
        <f t="shared" si="92"/>
        <v>94.781448114781426</v>
      </c>
      <c r="AE287" s="4">
        <f t="shared" si="93"/>
        <v>97.905738197253029</v>
      </c>
      <c r="AF287" s="4">
        <f t="shared" si="94"/>
        <v>97.346668691558364</v>
      </c>
      <c r="AG287" s="4">
        <f t="shared" si="95"/>
        <v>102.19979296066253</v>
      </c>
      <c r="AH287" s="4">
        <f t="shared" si="96"/>
        <v>110.69775589607423</v>
      </c>
      <c r="AI287" s="4">
        <f t="shared" si="97"/>
        <v>115.52581541611818</v>
      </c>
      <c r="AJ287" s="4">
        <f t="shared" si="98"/>
        <v>95.746427984890786</v>
      </c>
      <c r="AK287" s="4">
        <f t="shared" si="99"/>
        <v>104.59635976496119</v>
      </c>
      <c r="AL287" s="4">
        <f t="shared" si="100"/>
        <v>108.66272286246495</v>
      </c>
      <c r="AM287" s="4">
        <f t="shared" si="101"/>
        <v>80.262590106182046</v>
      </c>
      <c r="AN287" s="4">
        <f t="shared" si="102"/>
        <v>126.73521850899741</v>
      </c>
      <c r="AO287" s="4">
        <f t="shared" si="103"/>
        <v>123.39598185353209</v>
      </c>
      <c r="AP287" s="4">
        <f t="shared" si="104"/>
        <v>107.47111898136437</v>
      </c>
      <c r="AQ287" s="4">
        <f t="shared" si="105"/>
        <v>91.721689115825924</v>
      </c>
      <c r="AR287" s="4">
        <f t="shared" si="106"/>
        <v>97.429860702373944</v>
      </c>
      <c r="AS287" s="4">
        <f t="shared" si="107"/>
        <v>93.301581486230674</v>
      </c>
      <c r="AT287" s="4">
        <f t="shared" si="108"/>
        <v>111.60125400441987</v>
      </c>
      <c r="AU287" s="4">
        <f t="shared" si="109"/>
        <v>120.81929805498208</v>
      </c>
      <c r="AV287" s="4">
        <f t="shared" si="110"/>
        <v>94.273192111029942</v>
      </c>
      <c r="AW287" s="4">
        <f t="shared" si="111"/>
        <v>99.869752769247299</v>
      </c>
      <c r="AX287" s="4">
        <f t="shared" si="112"/>
        <v>82.855374458427903</v>
      </c>
    </row>
    <row r="288" spans="1:50" ht="14.25" customHeight="1" x14ac:dyDescent="0.3">
      <c r="A288" s="2">
        <v>45814</v>
      </c>
      <c r="B288" s="4">
        <f t="shared" si="64"/>
        <v>118.19856704196521</v>
      </c>
      <c r="C288" s="4">
        <f t="shared" si="65"/>
        <v>110.99082321793176</v>
      </c>
      <c r="D288" s="4">
        <f t="shared" si="66"/>
        <v>117.20248166948674</v>
      </c>
      <c r="E288" s="4">
        <f t="shared" si="67"/>
        <v>82.29157801310653</v>
      </c>
      <c r="F288" s="4">
        <f t="shared" si="68"/>
        <v>113.71479764733378</v>
      </c>
      <c r="G288" s="4">
        <f t="shared" si="69"/>
        <v>102.50252143217344</v>
      </c>
      <c r="H288" s="4">
        <f t="shared" si="70"/>
        <v>83.070385126162023</v>
      </c>
      <c r="I288" s="4">
        <f t="shared" si="71"/>
        <v>102.91546445028207</v>
      </c>
      <c r="J288" s="4">
        <f t="shared" si="72"/>
        <v>135.1275359393249</v>
      </c>
      <c r="K288" s="4">
        <f t="shared" si="73"/>
        <v>91.968459219780712</v>
      </c>
      <c r="L288" s="4">
        <f t="shared" si="74"/>
        <v>99.694614860259023</v>
      </c>
      <c r="M288" s="4">
        <f t="shared" si="75"/>
        <v>111.18546077460454</v>
      </c>
      <c r="N288" s="4">
        <f t="shared" si="76"/>
        <v>100.79493835171967</v>
      </c>
      <c r="O288" s="4">
        <f t="shared" si="77"/>
        <v>115.93603220755982</v>
      </c>
      <c r="P288" s="4">
        <f t="shared" si="78"/>
        <v>85.656005648683276</v>
      </c>
      <c r="Q288" s="4">
        <f t="shared" si="79"/>
        <v>88.84891134686103</v>
      </c>
      <c r="R288" s="4">
        <f t="shared" si="80"/>
        <v>98.305232812090509</v>
      </c>
      <c r="S288" s="4">
        <f t="shared" si="81"/>
        <v>111.45736144803135</v>
      </c>
      <c r="T288" s="4">
        <f t="shared" si="82"/>
        <v>126.23699568637402</v>
      </c>
      <c r="U288" s="4">
        <f t="shared" si="83"/>
        <v>109.40578084423069</v>
      </c>
      <c r="V288" s="4">
        <f t="shared" si="84"/>
        <v>99.760227783605586</v>
      </c>
      <c r="W288" s="4">
        <f t="shared" si="85"/>
        <v>94.705244122965652</v>
      </c>
      <c r="X288" s="4">
        <f t="shared" si="86"/>
        <v>120.75982604414541</v>
      </c>
      <c r="Y288" s="4">
        <f t="shared" si="87"/>
        <v>101.3125131884364</v>
      </c>
      <c r="Z288" s="4">
        <f t="shared" si="88"/>
        <v>132.9363729159578</v>
      </c>
      <c r="AA288" s="4">
        <f t="shared" si="89"/>
        <v>110.98348887293609</v>
      </c>
      <c r="AB288" s="4">
        <f t="shared" si="90"/>
        <v>82.780552780552767</v>
      </c>
      <c r="AC288" s="4">
        <f t="shared" si="91"/>
        <v>95.296391752577321</v>
      </c>
      <c r="AD288" s="4">
        <f t="shared" si="92"/>
        <v>94.894894894894904</v>
      </c>
      <c r="AE288" s="4">
        <f t="shared" si="93"/>
        <v>98.815291943870818</v>
      </c>
      <c r="AF288" s="4">
        <f t="shared" si="94"/>
        <v>97.420432603649132</v>
      </c>
      <c r="AG288" s="4">
        <f t="shared" si="95"/>
        <v>103.24792960662525</v>
      </c>
      <c r="AH288" s="4">
        <f t="shared" si="96"/>
        <v>111.43073150043334</v>
      </c>
      <c r="AI288" s="4">
        <f t="shared" si="97"/>
        <v>115.17478426210326</v>
      </c>
      <c r="AJ288" s="4">
        <f t="shared" si="98"/>
        <v>96.56758088356051</v>
      </c>
      <c r="AK288" s="4">
        <f t="shared" si="99"/>
        <v>105.41531027987634</v>
      </c>
      <c r="AL288" s="4">
        <f t="shared" si="100"/>
        <v>110.41287126686181</v>
      </c>
      <c r="AM288" s="4">
        <f t="shared" si="101"/>
        <v>81.734000183926256</v>
      </c>
      <c r="AN288" s="4">
        <f t="shared" si="102"/>
        <v>127.14938588974579</v>
      </c>
      <c r="AO288" s="4">
        <f t="shared" si="103"/>
        <v>122.34283862605315</v>
      </c>
      <c r="AP288" s="4">
        <f t="shared" si="104"/>
        <v>109.64668184501221</v>
      </c>
      <c r="AQ288" s="4">
        <f t="shared" si="105"/>
        <v>92.208821199049211</v>
      </c>
      <c r="AR288" s="4">
        <f t="shared" si="106"/>
        <v>98.371591132038461</v>
      </c>
      <c r="AS288" s="4">
        <f t="shared" si="107"/>
        <v>94.203930987224624</v>
      </c>
      <c r="AT288" s="4">
        <f t="shared" si="108"/>
        <v>117.90553851952102</v>
      </c>
      <c r="AU288" s="4">
        <f t="shared" si="109"/>
        <v>121.22134086710854</v>
      </c>
      <c r="AV288" s="4">
        <f t="shared" si="110"/>
        <v>96.486486486486498</v>
      </c>
      <c r="AW288" s="4">
        <f t="shared" si="111"/>
        <v>101.99911575274534</v>
      </c>
      <c r="AX288" s="4">
        <f t="shared" si="112"/>
        <v>84.882401485454935</v>
      </c>
    </row>
    <row r="289" spans="1:50" ht="14.25" customHeight="1" x14ac:dyDescent="0.3">
      <c r="A289" s="2">
        <v>45817</v>
      </c>
      <c r="B289" s="4">
        <f t="shared" si="64"/>
        <v>118.63254861821903</v>
      </c>
      <c r="C289" s="4">
        <f t="shared" si="65"/>
        <v>111.0020417779174</v>
      </c>
      <c r="D289" s="4">
        <f t="shared" si="66"/>
        <v>116.88287272043618</v>
      </c>
      <c r="E289" s="4">
        <f t="shared" si="67"/>
        <v>83.208306483969409</v>
      </c>
      <c r="F289" s="4">
        <f t="shared" si="68"/>
        <v>111.77501655435668</v>
      </c>
      <c r="G289" s="4">
        <f t="shared" si="69"/>
        <v>103.38502269288954</v>
      </c>
      <c r="H289" s="4">
        <f t="shared" si="70"/>
        <v>83.553784860557769</v>
      </c>
      <c r="I289" s="4">
        <f t="shared" si="71"/>
        <v>103.0618836398088</v>
      </c>
      <c r="J289" s="4">
        <f t="shared" si="72"/>
        <v>138.53041685291191</v>
      </c>
      <c r="K289" s="4">
        <f t="shared" si="73"/>
        <v>92.405312131405353</v>
      </c>
      <c r="L289" s="4">
        <f t="shared" si="74"/>
        <v>100.31083844580778</v>
      </c>
      <c r="M289" s="4">
        <f t="shared" si="75"/>
        <v>112.74680370796644</v>
      </c>
      <c r="N289" s="4">
        <f t="shared" si="76"/>
        <v>100.17521090201167</v>
      </c>
      <c r="O289" s="4">
        <f t="shared" si="77"/>
        <v>119.55938268843656</v>
      </c>
      <c r="P289" s="4">
        <f t="shared" si="78"/>
        <v>86.210413452234619</v>
      </c>
      <c r="Q289" s="4">
        <f t="shared" si="79"/>
        <v>89.653165427656816</v>
      </c>
      <c r="R289" s="4">
        <f t="shared" si="80"/>
        <v>98.366384205468677</v>
      </c>
      <c r="S289" s="4">
        <f t="shared" si="81"/>
        <v>113.81787646949057</v>
      </c>
      <c r="T289" s="4">
        <f t="shared" si="82"/>
        <v>127.97513321492006</v>
      </c>
      <c r="U289" s="4">
        <f t="shared" si="83"/>
        <v>108.60672741521581</v>
      </c>
      <c r="V289" s="4">
        <f t="shared" si="84"/>
        <v>101.03401768320097</v>
      </c>
      <c r="W289" s="4">
        <f t="shared" si="85"/>
        <v>92.889692585895119</v>
      </c>
      <c r="X289" s="4">
        <f t="shared" si="86"/>
        <v>120.38237466152457</v>
      </c>
      <c r="Y289" s="4">
        <f t="shared" si="87"/>
        <v>102.4688752901456</v>
      </c>
      <c r="Z289" s="4">
        <f t="shared" si="88"/>
        <v>133.53181354202113</v>
      </c>
      <c r="AA289" s="4">
        <f t="shared" si="89"/>
        <v>111.32586006957868</v>
      </c>
      <c r="AB289" s="4">
        <f t="shared" si="90"/>
        <v>83.679653679653683</v>
      </c>
      <c r="AC289" s="4">
        <f t="shared" si="91"/>
        <v>96.810567010309285</v>
      </c>
      <c r="AD289" s="4">
        <f t="shared" si="92"/>
        <v>95.802469135802454</v>
      </c>
      <c r="AE289" s="4">
        <f t="shared" si="93"/>
        <v>98.861055654392459</v>
      </c>
      <c r="AF289" s="4">
        <f t="shared" si="94"/>
        <v>97.537587052263902</v>
      </c>
      <c r="AG289" s="4">
        <f t="shared" si="95"/>
        <v>103.77846790890271</v>
      </c>
      <c r="AH289" s="4">
        <f t="shared" si="96"/>
        <v>111.34314322066716</v>
      </c>
      <c r="AI289" s="4">
        <f t="shared" si="97"/>
        <v>115.05046072838962</v>
      </c>
      <c r="AJ289" s="4">
        <f t="shared" si="98"/>
        <v>99.934307768106407</v>
      </c>
      <c r="AK289" s="4">
        <f t="shared" si="99"/>
        <v>106.81162090780664</v>
      </c>
      <c r="AL289" s="4">
        <f t="shared" si="100"/>
        <v>110.35146255091803</v>
      </c>
      <c r="AM289" s="4">
        <f t="shared" si="101"/>
        <v>83.665225910965546</v>
      </c>
      <c r="AN289" s="4">
        <f t="shared" si="102"/>
        <v>127.87774921451012</v>
      </c>
      <c r="AO289" s="4">
        <f t="shared" si="103"/>
        <v>123.20155541153596</v>
      </c>
      <c r="AP289" s="4">
        <f t="shared" si="104"/>
        <v>109.75630322961463</v>
      </c>
      <c r="AQ289" s="4">
        <f t="shared" si="105"/>
        <v>92.678346098541525</v>
      </c>
      <c r="AR289" s="4">
        <f t="shared" si="106"/>
        <v>98.528546203649199</v>
      </c>
      <c r="AS289" s="4">
        <f t="shared" si="107"/>
        <v>94.061454750225579</v>
      </c>
      <c r="AT289" s="4">
        <f t="shared" si="108"/>
        <v>119.5758312918644</v>
      </c>
      <c r="AU289" s="4">
        <f t="shared" si="109"/>
        <v>121.82983809627297</v>
      </c>
      <c r="AV289" s="4">
        <f t="shared" si="110"/>
        <v>96.355003652300951</v>
      </c>
      <c r="AW289" s="4">
        <f t="shared" si="111"/>
        <v>103.9444597129781</v>
      </c>
      <c r="AX289" s="4">
        <f t="shared" si="112"/>
        <v>86.305962451000624</v>
      </c>
    </row>
    <row r="290" spans="1:50" ht="14.25" customHeight="1" x14ac:dyDescent="0.3">
      <c r="A290" s="2">
        <v>45818</v>
      </c>
      <c r="B290" s="4">
        <f t="shared" si="64"/>
        <v>117.78915046059365</v>
      </c>
      <c r="C290" s="4">
        <f t="shared" si="65"/>
        <v>110.23917969889385</v>
      </c>
      <c r="D290" s="4">
        <f t="shared" si="66"/>
        <v>116.38152534937645</v>
      </c>
      <c r="E290" s="4">
        <f t="shared" si="67"/>
        <v>84.205279091539111</v>
      </c>
      <c r="F290" s="4">
        <f t="shared" si="68"/>
        <v>110.84797257819498</v>
      </c>
      <c r="G290" s="4">
        <f t="shared" si="69"/>
        <v>103.00680786686837</v>
      </c>
      <c r="H290" s="4">
        <f t="shared" si="70"/>
        <v>84.7808764940239</v>
      </c>
      <c r="I290" s="4">
        <f t="shared" si="71"/>
        <v>103.14801257482451</v>
      </c>
      <c r="J290" s="4">
        <f t="shared" si="72"/>
        <v>136.94432829149423</v>
      </c>
      <c r="K290" s="4">
        <f t="shared" si="73"/>
        <v>93.268096631864054</v>
      </c>
      <c r="L290" s="4">
        <f t="shared" si="74"/>
        <v>100.33537832310837</v>
      </c>
      <c r="M290" s="4">
        <f t="shared" si="75"/>
        <v>111.70293443251876</v>
      </c>
      <c r="N290" s="4">
        <f t="shared" si="76"/>
        <v>99.529526281635299</v>
      </c>
      <c r="O290" s="4">
        <f t="shared" si="77"/>
        <v>120.28069783046296</v>
      </c>
      <c r="P290" s="4">
        <f t="shared" si="78"/>
        <v>87.246005387170158</v>
      </c>
      <c r="Q290" s="4">
        <f t="shared" si="79"/>
        <v>89.356861292626775</v>
      </c>
      <c r="R290" s="4">
        <f t="shared" si="80"/>
        <v>99.510788852974557</v>
      </c>
      <c r="S290" s="4">
        <f t="shared" si="81"/>
        <v>115.02145922746783</v>
      </c>
      <c r="T290" s="4">
        <f t="shared" si="82"/>
        <v>126.75082466379091</v>
      </c>
      <c r="U290" s="4">
        <f t="shared" si="83"/>
        <v>108.3086190205449</v>
      </c>
      <c r="V290" s="4">
        <f t="shared" si="84"/>
        <v>101.66341975123632</v>
      </c>
      <c r="W290" s="4">
        <f t="shared" si="85"/>
        <v>92.470162748643787</v>
      </c>
      <c r="X290" s="4">
        <f t="shared" si="86"/>
        <v>120.93214080577665</v>
      </c>
      <c r="Y290" s="4">
        <f t="shared" si="87"/>
        <v>103.26229162270522</v>
      </c>
      <c r="Z290" s="4">
        <f t="shared" si="88"/>
        <v>135.2160598843144</v>
      </c>
      <c r="AA290" s="4">
        <f t="shared" si="89"/>
        <v>110.78469269424045</v>
      </c>
      <c r="AB290" s="4">
        <f t="shared" si="90"/>
        <v>84.871794871794862</v>
      </c>
      <c r="AC290" s="4">
        <f t="shared" si="91"/>
        <v>96.987757731958766</v>
      </c>
      <c r="AD290" s="4">
        <f t="shared" si="92"/>
        <v>97.73106439773106</v>
      </c>
      <c r="AE290" s="4">
        <f t="shared" si="93"/>
        <v>98.689441739936285</v>
      </c>
      <c r="AF290" s="4">
        <f t="shared" si="94"/>
        <v>96.279261493068361</v>
      </c>
      <c r="AG290" s="4">
        <f t="shared" si="95"/>
        <v>103.40320910973084</v>
      </c>
      <c r="AH290" s="4">
        <f t="shared" si="96"/>
        <v>112.08533864394906</v>
      </c>
      <c r="AI290" s="4">
        <f t="shared" si="97"/>
        <v>113.85110428550533</v>
      </c>
      <c r="AJ290" s="4">
        <f t="shared" si="98"/>
        <v>99.458039086877974</v>
      </c>
      <c r="AK290" s="4">
        <f t="shared" si="99"/>
        <v>110.88589971950944</v>
      </c>
      <c r="AL290" s="4">
        <f t="shared" si="100"/>
        <v>110.07512332917118</v>
      </c>
      <c r="AM290" s="4">
        <f t="shared" si="101"/>
        <v>82.257482615431428</v>
      </c>
      <c r="AN290" s="4">
        <f t="shared" si="102"/>
        <v>127.49928591830904</v>
      </c>
      <c r="AO290" s="4">
        <f t="shared" si="103"/>
        <v>123.53370058327933</v>
      </c>
      <c r="AP290" s="4">
        <f t="shared" si="104"/>
        <v>111.02959777384265</v>
      </c>
      <c r="AQ290" s="4">
        <f t="shared" si="105"/>
        <v>94.544707574023548</v>
      </c>
      <c r="AR290" s="4">
        <f t="shared" si="106"/>
        <v>98.803217578968017</v>
      </c>
      <c r="AS290" s="4">
        <f t="shared" si="107"/>
        <v>93.878271016941113</v>
      </c>
      <c r="AT290" s="4">
        <f t="shared" si="108"/>
        <v>119.9869802819797</v>
      </c>
      <c r="AU290" s="4">
        <f t="shared" si="109"/>
        <v>121.16701075736174</v>
      </c>
      <c r="AV290" s="4">
        <f t="shared" si="110"/>
        <v>98.524470416362306</v>
      </c>
      <c r="AW290" s="4">
        <f t="shared" si="111"/>
        <v>104.65185751669912</v>
      </c>
      <c r="AX290" s="4">
        <f t="shared" si="112"/>
        <v>87.172477821332791</v>
      </c>
    </row>
    <row r="291" spans="1:50" ht="14.25" customHeight="1" x14ac:dyDescent="0.3">
      <c r="A291" s="2">
        <v>45819</v>
      </c>
      <c r="B291" s="4">
        <f t="shared" si="64"/>
        <v>118.64073694984647</v>
      </c>
      <c r="C291" s="4">
        <f t="shared" si="65"/>
        <v>109.40339697996366</v>
      </c>
      <c r="D291" s="4">
        <f t="shared" si="66"/>
        <v>116.57579745566208</v>
      </c>
      <c r="E291" s="4">
        <f t="shared" si="67"/>
        <v>84.424126737103194</v>
      </c>
      <c r="F291" s="4">
        <f t="shared" si="68"/>
        <v>111.47898570482609</v>
      </c>
      <c r="G291" s="4">
        <f t="shared" si="69"/>
        <v>102.7546646495209</v>
      </c>
      <c r="H291" s="4">
        <f t="shared" si="70"/>
        <v>86.645418326693218</v>
      </c>
      <c r="I291" s="4">
        <f t="shared" si="71"/>
        <v>102.33840058567678</v>
      </c>
      <c r="J291" s="4">
        <f t="shared" si="72"/>
        <v>135.89895173965076</v>
      </c>
      <c r="K291" s="4">
        <f t="shared" si="73"/>
        <v>93.082434144423559</v>
      </c>
      <c r="L291" s="4">
        <f t="shared" si="74"/>
        <v>100.47171097477845</v>
      </c>
      <c r="M291" s="4">
        <f t="shared" si="75"/>
        <v>111.09624117841244</v>
      </c>
      <c r="N291" s="4">
        <f t="shared" si="76"/>
        <v>99.957819597663828</v>
      </c>
      <c r="O291" s="4">
        <f t="shared" si="77"/>
        <v>119.95638559606351</v>
      </c>
      <c r="P291" s="4">
        <f t="shared" si="78"/>
        <v>90.059886503308135</v>
      </c>
      <c r="Q291" s="4">
        <f t="shared" si="79"/>
        <v>89.452101907457859</v>
      </c>
      <c r="R291" s="4">
        <f t="shared" si="80"/>
        <v>100.14851052677558</v>
      </c>
      <c r="S291" s="4">
        <f t="shared" si="81"/>
        <v>114.89083784288117</v>
      </c>
      <c r="T291" s="4">
        <f t="shared" si="82"/>
        <v>127.6896726719107</v>
      </c>
      <c r="U291" s="4">
        <f t="shared" si="83"/>
        <v>108.84337016150099</v>
      </c>
      <c r="V291" s="4">
        <f t="shared" si="84"/>
        <v>101.33373295369398</v>
      </c>
      <c r="W291" s="4">
        <f t="shared" si="85"/>
        <v>92.972875226039804</v>
      </c>
      <c r="X291" s="4">
        <f t="shared" si="86"/>
        <v>119.50438992368919</v>
      </c>
      <c r="Y291" s="4">
        <f t="shared" si="87"/>
        <v>104.3764507280017</v>
      </c>
      <c r="Z291" s="4">
        <f t="shared" si="88"/>
        <v>133.68492684586596</v>
      </c>
      <c r="AA291" s="4">
        <f t="shared" si="89"/>
        <v>111.22646198023082</v>
      </c>
      <c r="AB291" s="4">
        <f t="shared" si="90"/>
        <v>86.220446220446235</v>
      </c>
      <c r="AC291" s="4">
        <f t="shared" si="91"/>
        <v>95.183634020618555</v>
      </c>
      <c r="AD291" s="4">
        <f t="shared" si="92"/>
        <v>98.28495161828495</v>
      </c>
      <c r="AE291" s="4">
        <f t="shared" si="93"/>
        <v>99.753448009564622</v>
      </c>
      <c r="AF291" s="4">
        <f t="shared" si="94"/>
        <v>95.841017074176122</v>
      </c>
      <c r="AG291" s="4">
        <f t="shared" si="95"/>
        <v>104.06314699792962</v>
      </c>
      <c r="AH291" s="4">
        <f t="shared" si="96"/>
        <v>111.52292968966091</v>
      </c>
      <c r="AI291" s="4">
        <f t="shared" si="97"/>
        <v>114.3849641655697</v>
      </c>
      <c r="AJ291" s="4">
        <f t="shared" si="98"/>
        <v>99.40876991295778</v>
      </c>
      <c r="AK291" s="4">
        <f t="shared" si="99"/>
        <v>111.46735458509917</v>
      </c>
      <c r="AL291" s="4">
        <f t="shared" si="100"/>
        <v>109.5531492436493</v>
      </c>
      <c r="AM291" s="4">
        <f t="shared" si="101"/>
        <v>81.726926097014029</v>
      </c>
      <c r="AN291" s="4">
        <f t="shared" si="102"/>
        <v>128.48471865181375</v>
      </c>
      <c r="AO291" s="4">
        <f t="shared" si="103"/>
        <v>123.81723914452367</v>
      </c>
      <c r="AP291" s="4">
        <f t="shared" si="104"/>
        <v>110.49835567923097</v>
      </c>
      <c r="AQ291" s="4">
        <f t="shared" si="105"/>
        <v>96.105877864835534</v>
      </c>
      <c r="AR291" s="4">
        <f t="shared" si="106"/>
        <v>99.516055195866855</v>
      </c>
      <c r="AS291" s="4">
        <f t="shared" si="107"/>
        <v>94.000393505797419</v>
      </c>
      <c r="AT291" s="4">
        <f t="shared" si="108"/>
        <v>117.52865194524867</v>
      </c>
      <c r="AU291" s="4">
        <f t="shared" si="109"/>
        <v>119.99348038683037</v>
      </c>
      <c r="AV291" s="4">
        <f t="shared" si="110"/>
        <v>98.692476260043833</v>
      </c>
      <c r="AW291" s="4">
        <f t="shared" si="111"/>
        <v>105.39988289698519</v>
      </c>
      <c r="AX291" s="4">
        <f t="shared" si="112"/>
        <v>86.26985764390345</v>
      </c>
    </row>
    <row r="292" spans="1:50" ht="14.25" customHeight="1" x14ac:dyDescent="0.3">
      <c r="A292" s="2">
        <v>45820</v>
      </c>
      <c r="B292" s="4">
        <f t="shared" si="64"/>
        <v>118.042988741044</v>
      </c>
      <c r="C292" s="4">
        <f t="shared" si="65"/>
        <v>109.01074738046626</v>
      </c>
      <c r="D292" s="4">
        <f t="shared" si="66"/>
        <v>115.57310271354264</v>
      </c>
      <c r="E292" s="4">
        <f t="shared" si="67"/>
        <v>83.50739826624033</v>
      </c>
      <c r="F292" s="4">
        <f t="shared" si="68"/>
        <v>111.02714914501615</v>
      </c>
      <c r="G292" s="4">
        <f t="shared" si="69"/>
        <v>101.60741301058999</v>
      </c>
      <c r="H292" s="4">
        <f t="shared" si="70"/>
        <v>85.450199203187239</v>
      </c>
      <c r="I292" s="4">
        <f t="shared" si="71"/>
        <v>100.4564833555833</v>
      </c>
      <c r="J292" s="4">
        <f t="shared" si="72"/>
        <v>135.08427897855896</v>
      </c>
      <c r="K292" s="4">
        <f t="shared" si="73"/>
        <v>91.95753789699009</v>
      </c>
      <c r="L292" s="4">
        <f t="shared" si="74"/>
        <v>98.26584867075664</v>
      </c>
      <c r="M292" s="4">
        <f t="shared" si="75"/>
        <v>110.54307968202137</v>
      </c>
      <c r="N292" s="4">
        <f t="shared" si="76"/>
        <v>97.962362102530804</v>
      </c>
      <c r="O292" s="4">
        <f t="shared" si="77"/>
        <v>118.92194140013419</v>
      </c>
      <c r="P292" s="4">
        <f t="shared" si="78"/>
        <v>88.977222207693714</v>
      </c>
      <c r="Q292" s="4">
        <f t="shared" si="79"/>
        <v>89.282785258869282</v>
      </c>
      <c r="R292" s="4">
        <f t="shared" si="80"/>
        <v>98.916746745872274</v>
      </c>
      <c r="S292" s="4">
        <f t="shared" si="81"/>
        <v>113.16476954655721</v>
      </c>
      <c r="T292" s="4">
        <f t="shared" si="82"/>
        <v>128.69829992387716</v>
      </c>
      <c r="U292" s="4">
        <f t="shared" si="83"/>
        <v>106.11122209075403</v>
      </c>
      <c r="V292" s="4">
        <f t="shared" si="84"/>
        <v>100.01498576352465</v>
      </c>
      <c r="W292" s="4">
        <f t="shared" si="85"/>
        <v>90.980108499095834</v>
      </c>
      <c r="X292" s="4">
        <f t="shared" si="86"/>
        <v>118.63461065069336</v>
      </c>
      <c r="Y292" s="4">
        <f t="shared" si="87"/>
        <v>104.61278750791307</v>
      </c>
      <c r="Z292" s="4">
        <f t="shared" si="88"/>
        <v>131.8135420210956</v>
      </c>
      <c r="AA292" s="4">
        <f t="shared" si="89"/>
        <v>109.96189739908331</v>
      </c>
      <c r="AB292" s="4">
        <f t="shared" si="90"/>
        <v>86.450216450216445</v>
      </c>
      <c r="AC292" s="4">
        <f t="shared" si="91"/>
        <v>93.105670103092791</v>
      </c>
      <c r="AD292" s="4">
        <f t="shared" si="92"/>
        <v>95.475475475475463</v>
      </c>
      <c r="AE292" s="4">
        <f t="shared" si="93"/>
        <v>98.014427009741951</v>
      </c>
      <c r="AF292" s="4">
        <f t="shared" si="94"/>
        <v>96.300956761330355</v>
      </c>
      <c r="AG292" s="4">
        <f t="shared" si="95"/>
        <v>101.63043478260869</v>
      </c>
      <c r="AH292" s="4">
        <f t="shared" si="96"/>
        <v>109.97400011063785</v>
      </c>
      <c r="AI292" s="4">
        <f t="shared" si="97"/>
        <v>111.81073570279361</v>
      </c>
      <c r="AJ292" s="4">
        <f t="shared" si="98"/>
        <v>97.224503202496308</v>
      </c>
      <c r="AK292" s="4">
        <f t="shared" si="99"/>
        <v>110.11199148291465</v>
      </c>
      <c r="AL292" s="4">
        <f t="shared" si="100"/>
        <v>108.80600986633368</v>
      </c>
      <c r="AM292" s="4">
        <f t="shared" si="101"/>
        <v>79.618848197168958</v>
      </c>
      <c r="AN292" s="4">
        <f t="shared" si="102"/>
        <v>126.10682662096542</v>
      </c>
      <c r="AO292" s="4">
        <f t="shared" si="103"/>
        <v>122.24562540505511</v>
      </c>
      <c r="AP292" s="4">
        <f t="shared" si="104"/>
        <v>109.79846530061555</v>
      </c>
      <c r="AQ292" s="4">
        <f t="shared" si="105"/>
        <v>96.51084309064764</v>
      </c>
      <c r="AR292" s="4">
        <f t="shared" si="106"/>
        <v>98.280034006932183</v>
      </c>
      <c r="AS292" s="4">
        <f t="shared" si="107"/>
        <v>94.936665920362557</v>
      </c>
      <c r="AT292" s="4">
        <f t="shared" si="108"/>
        <v>114.44503451938395</v>
      </c>
      <c r="AU292" s="4">
        <f t="shared" si="109"/>
        <v>117.90720417255243</v>
      </c>
      <c r="AV292" s="4">
        <f t="shared" si="110"/>
        <v>99.539810080350634</v>
      </c>
      <c r="AW292" s="4">
        <f t="shared" si="111"/>
        <v>104.26470061060857</v>
      </c>
      <c r="AX292" s="4">
        <f t="shared" si="112"/>
        <v>85.609655456983717</v>
      </c>
    </row>
    <row r="293" spans="1:50" ht="14.25" customHeight="1" x14ac:dyDescent="0.3">
      <c r="A293" s="2">
        <v>45821</v>
      </c>
      <c r="B293" s="4">
        <f t="shared" si="64"/>
        <v>116.92118730808599</v>
      </c>
      <c r="C293" s="4">
        <f t="shared" si="65"/>
        <v>107.56355314231865</v>
      </c>
      <c r="D293" s="4">
        <f t="shared" si="66"/>
        <v>115.33496271228927</v>
      </c>
      <c r="E293" s="4">
        <f t="shared" si="67"/>
        <v>83.787036924461077</v>
      </c>
      <c r="F293" s="4">
        <f t="shared" si="68"/>
        <v>110.31823316324542</v>
      </c>
      <c r="G293" s="4">
        <f t="shared" si="69"/>
        <v>99.892839132627316</v>
      </c>
      <c r="H293" s="4">
        <f t="shared" si="70"/>
        <v>85.099601593625508</v>
      </c>
      <c r="I293" s="4">
        <f t="shared" si="71"/>
        <v>99.866500150725642</v>
      </c>
      <c r="J293" s="4">
        <f t="shared" si="72"/>
        <v>134.54356696898475</v>
      </c>
      <c r="K293" s="4">
        <f t="shared" si="73"/>
        <v>90.406710060722546</v>
      </c>
      <c r="L293" s="4">
        <f t="shared" si="74"/>
        <v>97.815950920245399</v>
      </c>
      <c r="M293" s="4">
        <f t="shared" si="75"/>
        <v>110.70367495516717</v>
      </c>
      <c r="N293" s="4">
        <f t="shared" si="76"/>
        <v>97.534068786502274</v>
      </c>
      <c r="O293" s="4">
        <f t="shared" si="77"/>
        <v>117.83717289197048</v>
      </c>
      <c r="P293" s="4">
        <f t="shared" si="78"/>
        <v>88.668636732132114</v>
      </c>
      <c r="Q293" s="4">
        <f t="shared" si="79"/>
        <v>89.30394983994286</v>
      </c>
      <c r="R293" s="4">
        <f t="shared" si="80"/>
        <v>98.051891325238046</v>
      </c>
      <c r="S293" s="4">
        <f t="shared" si="81"/>
        <v>112.50233252472476</v>
      </c>
      <c r="T293" s="4">
        <f t="shared" si="82"/>
        <v>127.56914488708449</v>
      </c>
      <c r="U293" s="4">
        <f t="shared" si="83"/>
        <v>105.16465110561334</v>
      </c>
      <c r="V293" s="4">
        <f t="shared" si="84"/>
        <v>99.490484040161846</v>
      </c>
      <c r="W293" s="4">
        <f t="shared" si="85"/>
        <v>90.08318264014467</v>
      </c>
      <c r="X293" s="4">
        <f t="shared" si="86"/>
        <v>115.28678099614345</v>
      </c>
      <c r="Y293" s="4">
        <f t="shared" si="87"/>
        <v>106.14475627769573</v>
      </c>
      <c r="Z293" s="4">
        <f t="shared" si="88"/>
        <v>134.12725416808439</v>
      </c>
      <c r="AA293" s="4">
        <f t="shared" si="89"/>
        <v>109.03418189850352</v>
      </c>
      <c r="AB293" s="4">
        <f t="shared" si="90"/>
        <v>86.650016650016639</v>
      </c>
      <c r="AC293" s="4">
        <f t="shared" si="91"/>
        <v>91.978092783505161</v>
      </c>
      <c r="AD293" s="4">
        <f t="shared" si="92"/>
        <v>95.035035035035023</v>
      </c>
      <c r="AE293" s="4">
        <f t="shared" si="93"/>
        <v>96.83029099999429</v>
      </c>
      <c r="AF293" s="4">
        <f t="shared" si="94"/>
        <v>96.075325971405618</v>
      </c>
      <c r="AG293" s="4">
        <f t="shared" si="95"/>
        <v>101.24223602484473</v>
      </c>
      <c r="AH293" s="4">
        <f t="shared" si="96"/>
        <v>109.56832807803659</v>
      </c>
      <c r="AI293" s="4">
        <f t="shared" si="97"/>
        <v>111.25493637560334</v>
      </c>
      <c r="AJ293" s="4">
        <f t="shared" si="98"/>
        <v>96.584003941533922</v>
      </c>
      <c r="AK293" s="4">
        <f t="shared" si="99"/>
        <v>109.076019081547</v>
      </c>
      <c r="AL293" s="4">
        <f t="shared" si="100"/>
        <v>108.87765336826804</v>
      </c>
      <c r="AM293" s="4">
        <f t="shared" si="101"/>
        <v>79.08829167875156</v>
      </c>
      <c r="AN293" s="4">
        <f t="shared" si="102"/>
        <v>125.33561839474434</v>
      </c>
      <c r="AO293" s="4">
        <f t="shared" si="103"/>
        <v>121.97828904731043</v>
      </c>
      <c r="AP293" s="4">
        <f t="shared" si="104"/>
        <v>108.23846867358122</v>
      </c>
      <c r="AQ293" s="4">
        <f t="shared" si="105"/>
        <v>97.367726032221142</v>
      </c>
      <c r="AR293" s="4">
        <f t="shared" si="106"/>
        <v>98.436989078542936</v>
      </c>
      <c r="AS293" s="4">
        <f t="shared" si="107"/>
        <v>94.909527589505586</v>
      </c>
      <c r="AT293" s="4">
        <f t="shared" si="108"/>
        <v>114.29085364809073</v>
      </c>
      <c r="AU293" s="4">
        <f t="shared" si="109"/>
        <v>117.17918070194501</v>
      </c>
      <c r="AV293" s="4">
        <f t="shared" si="110"/>
        <v>99.525200876552219</v>
      </c>
      <c r="AW293" s="4">
        <f t="shared" si="111"/>
        <v>103.5716419515576</v>
      </c>
      <c r="AX293" s="4">
        <f t="shared" si="112"/>
        <v>84.263461935217677</v>
      </c>
    </row>
    <row r="294" spans="1:50" ht="14.25" customHeight="1" x14ac:dyDescent="0.3">
      <c r="A294" s="2">
        <v>45824</v>
      </c>
      <c r="B294" s="4">
        <f t="shared" si="64"/>
        <v>117.73183213920164</v>
      </c>
      <c r="C294" s="4">
        <f t="shared" si="65"/>
        <v>108.56200498104064</v>
      </c>
      <c r="D294" s="4">
        <f t="shared" si="66"/>
        <v>116.64473271918278</v>
      </c>
      <c r="E294" s="4">
        <f t="shared" si="67"/>
        <v>85.017447020632474</v>
      </c>
      <c r="F294" s="4">
        <f t="shared" si="68"/>
        <v>111.15958399875355</v>
      </c>
      <c r="G294" s="4">
        <f t="shared" si="69"/>
        <v>99.911749873928386</v>
      </c>
      <c r="H294" s="4">
        <f t="shared" si="70"/>
        <v>86.257636122177956</v>
      </c>
      <c r="I294" s="4">
        <f t="shared" si="71"/>
        <v>100.22824167779167</v>
      </c>
      <c r="J294" s="4">
        <f t="shared" si="72"/>
        <v>135.2500973281617</v>
      </c>
      <c r="K294" s="4">
        <f t="shared" si="73"/>
        <v>91.345943820715576</v>
      </c>
      <c r="L294" s="4">
        <f t="shared" si="74"/>
        <v>98.942058623040211</v>
      </c>
      <c r="M294" s="4">
        <f t="shared" si="75"/>
        <v>111.79215402871088</v>
      </c>
      <c r="N294" s="4">
        <f t="shared" si="76"/>
        <v>98.105126541207014</v>
      </c>
      <c r="O294" s="4">
        <f t="shared" si="77"/>
        <v>119.60411541042271</v>
      </c>
      <c r="P294" s="4">
        <f t="shared" si="78"/>
        <v>90.117419388582334</v>
      </c>
      <c r="Q294" s="4">
        <f t="shared" si="79"/>
        <v>89.171671208233022</v>
      </c>
      <c r="R294" s="4">
        <f t="shared" si="80"/>
        <v>100.4193238403075</v>
      </c>
      <c r="S294" s="4">
        <f t="shared" si="81"/>
        <v>113.39802201903342</v>
      </c>
      <c r="T294" s="4">
        <f t="shared" si="82"/>
        <v>128.66023851814259</v>
      </c>
      <c r="U294" s="4">
        <f t="shared" si="83"/>
        <v>105.66252285753801</v>
      </c>
      <c r="V294" s="4">
        <f t="shared" si="84"/>
        <v>100.01498576352465</v>
      </c>
      <c r="W294" s="4">
        <f t="shared" si="85"/>
        <v>91.193490054249565</v>
      </c>
      <c r="X294" s="4">
        <f t="shared" si="86"/>
        <v>114.92574054320177</v>
      </c>
      <c r="Y294" s="4">
        <f t="shared" si="87"/>
        <v>108.37307448828868</v>
      </c>
      <c r="Z294" s="4">
        <f t="shared" si="88"/>
        <v>137.41068390609055</v>
      </c>
      <c r="AA294" s="4">
        <f t="shared" si="89"/>
        <v>110.86200231928875</v>
      </c>
      <c r="AB294" s="4">
        <f t="shared" si="90"/>
        <v>87.542457542457541</v>
      </c>
      <c r="AC294" s="4">
        <f t="shared" si="91"/>
        <v>92.992912371134025</v>
      </c>
      <c r="AD294" s="4">
        <f t="shared" si="92"/>
        <v>91.644978311644977</v>
      </c>
      <c r="AE294" s="4">
        <f t="shared" si="93"/>
        <v>97.585392223601488</v>
      </c>
      <c r="AF294" s="4">
        <f t="shared" si="94"/>
        <v>97.403076389039541</v>
      </c>
      <c r="AG294" s="4">
        <f t="shared" si="95"/>
        <v>102.05745341614907</v>
      </c>
      <c r="AH294" s="4">
        <f t="shared" si="96"/>
        <v>110.16761630801572</v>
      </c>
      <c r="AI294" s="4">
        <f t="shared" si="97"/>
        <v>112.74681878016672</v>
      </c>
      <c r="AJ294" s="4">
        <f t="shared" si="98"/>
        <v>96.61685005748069</v>
      </c>
      <c r="AK294" s="4">
        <f t="shared" si="99"/>
        <v>110.75896238969759</v>
      </c>
      <c r="AL294" s="4">
        <f t="shared" si="100"/>
        <v>109.81925367940555</v>
      </c>
      <c r="AM294" s="4">
        <f t="shared" si="101"/>
        <v>80.354553236041056</v>
      </c>
      <c r="AN294" s="4">
        <f t="shared" si="102"/>
        <v>128.37760639817193</v>
      </c>
      <c r="AO294" s="4">
        <f t="shared" si="103"/>
        <v>124.84607906675306</v>
      </c>
      <c r="AP294" s="4">
        <f t="shared" si="104"/>
        <v>109.55392528881018</v>
      </c>
      <c r="AQ294" s="4">
        <f t="shared" si="105"/>
        <v>99.41602840625643</v>
      </c>
      <c r="AR294" s="4">
        <f t="shared" si="106"/>
        <v>99.862664312340598</v>
      </c>
      <c r="AS294" s="4">
        <f t="shared" si="107"/>
        <v>96.531042858209005</v>
      </c>
      <c r="AT294" s="4">
        <f t="shared" si="108"/>
        <v>115.83266236102307</v>
      </c>
      <c r="AU294" s="4">
        <f t="shared" si="109"/>
        <v>117.72248179941325</v>
      </c>
      <c r="AV294" s="4">
        <f t="shared" si="110"/>
        <v>98.378378378378386</v>
      </c>
      <c r="AW294" s="4">
        <f t="shared" si="111"/>
        <v>104.30532818717361</v>
      </c>
      <c r="AX294" s="4">
        <f t="shared" si="112"/>
        <v>84.717350938724991</v>
      </c>
    </row>
    <row r="295" spans="1:50" ht="14.25" customHeight="1" x14ac:dyDescent="0.3">
      <c r="A295" s="2">
        <v>45825</v>
      </c>
      <c r="B295" s="4">
        <f t="shared" si="64"/>
        <v>117.19140225179119</v>
      </c>
      <c r="C295" s="4">
        <f t="shared" si="65"/>
        <v>108.23666674145707</v>
      </c>
      <c r="D295" s="4">
        <f t="shared" si="66"/>
        <v>116.23738798019676</v>
      </c>
      <c r="E295" s="4">
        <f t="shared" si="67"/>
        <v>85.479458716823316</v>
      </c>
      <c r="F295" s="4">
        <f t="shared" si="68"/>
        <v>110.87134343473689</v>
      </c>
      <c r="G295" s="4">
        <f t="shared" si="69"/>
        <v>99.886535552193635</v>
      </c>
      <c r="H295" s="4">
        <f t="shared" si="70"/>
        <v>87.112881806108888</v>
      </c>
      <c r="I295" s="4">
        <f t="shared" si="71"/>
        <v>100.2799190388011</v>
      </c>
      <c r="J295" s="4">
        <f t="shared" si="72"/>
        <v>133.08724928986487</v>
      </c>
      <c r="K295" s="4">
        <f t="shared" si="73"/>
        <v>91.171202656065688</v>
      </c>
      <c r="L295" s="4">
        <f t="shared" si="74"/>
        <v>98.76755282890251</v>
      </c>
      <c r="M295" s="4">
        <f t="shared" si="75"/>
        <v>112.37208140395958</v>
      </c>
      <c r="N295" s="4">
        <f t="shared" si="76"/>
        <v>97.573004542504862</v>
      </c>
      <c r="O295" s="4">
        <f t="shared" si="77"/>
        <v>119.48110042496086</v>
      </c>
      <c r="P295" s="4">
        <f t="shared" si="78"/>
        <v>90.462616700227514</v>
      </c>
      <c r="Q295" s="4">
        <f t="shared" si="79"/>
        <v>87.314479219026964</v>
      </c>
      <c r="R295" s="4">
        <f t="shared" si="80"/>
        <v>99.440901546256669</v>
      </c>
      <c r="S295" s="4">
        <f t="shared" si="81"/>
        <v>113.37003172233626</v>
      </c>
      <c r="T295" s="4">
        <f t="shared" si="82"/>
        <v>127.0806901801573</v>
      </c>
      <c r="U295" s="4">
        <f t="shared" si="83"/>
        <v>104.66677935368871</v>
      </c>
      <c r="V295" s="4">
        <f t="shared" si="84"/>
        <v>100.46455866926418</v>
      </c>
      <c r="W295" s="4">
        <f t="shared" si="85"/>
        <v>89.421338155515386</v>
      </c>
      <c r="X295" s="4">
        <f t="shared" si="86"/>
        <v>114.24468696151638</v>
      </c>
      <c r="Y295" s="4">
        <f t="shared" si="87"/>
        <v>106.4823802489977</v>
      </c>
      <c r="Z295" s="4">
        <f t="shared" si="88"/>
        <v>136.69615515481459</v>
      </c>
      <c r="AA295" s="4">
        <f t="shared" si="89"/>
        <v>110.40366668507372</v>
      </c>
      <c r="AB295" s="4">
        <f t="shared" si="90"/>
        <v>87.549117549117554</v>
      </c>
      <c r="AC295" s="4">
        <f t="shared" si="91"/>
        <v>92.960695876288668</v>
      </c>
      <c r="AD295" s="4">
        <f t="shared" si="92"/>
        <v>90.056723390056732</v>
      </c>
      <c r="AE295" s="4">
        <f t="shared" si="93"/>
        <v>97.184959756537054</v>
      </c>
      <c r="AF295" s="4">
        <f t="shared" si="94"/>
        <v>98.27088711951923</v>
      </c>
      <c r="AG295" s="4">
        <f t="shared" si="95"/>
        <v>101.268115942029</v>
      </c>
      <c r="AH295" s="4">
        <f t="shared" si="96"/>
        <v>108.88606147775259</v>
      </c>
      <c r="AI295" s="4">
        <f t="shared" si="97"/>
        <v>111.59865438057625</v>
      </c>
      <c r="AJ295" s="4">
        <f t="shared" si="98"/>
        <v>95.188044013795377</v>
      </c>
      <c r="AK295" s="4">
        <f t="shared" si="99"/>
        <v>109.38722027721475</v>
      </c>
      <c r="AL295" s="4">
        <f t="shared" si="100"/>
        <v>109.32798395185554</v>
      </c>
      <c r="AM295" s="4">
        <f t="shared" si="101"/>
        <v>79.604700023344492</v>
      </c>
      <c r="AN295" s="4">
        <f t="shared" si="102"/>
        <v>128.54898600399883</v>
      </c>
      <c r="AO295" s="4">
        <f t="shared" si="103"/>
        <v>125.39695398574207</v>
      </c>
      <c r="AP295" s="4">
        <f t="shared" si="104"/>
        <v>108.22160384518087</v>
      </c>
      <c r="AQ295" s="4">
        <f t="shared" si="105"/>
        <v>100.86568653343897</v>
      </c>
      <c r="AR295" s="4">
        <f t="shared" si="106"/>
        <v>98.325812569485322</v>
      </c>
      <c r="AS295" s="4">
        <f t="shared" si="107"/>
        <v>95.072357574647384</v>
      </c>
      <c r="AT295" s="4">
        <f t="shared" si="108"/>
        <v>113.92253267777912</v>
      </c>
      <c r="AU295" s="4">
        <f t="shared" si="109"/>
        <v>116.44029120938823</v>
      </c>
      <c r="AV295" s="4">
        <f t="shared" si="110"/>
        <v>96.333089846603357</v>
      </c>
      <c r="AW295" s="4">
        <f t="shared" si="111"/>
        <v>104.46066892109884</v>
      </c>
      <c r="AX295" s="4">
        <f t="shared" si="112"/>
        <v>83.469156179079846</v>
      </c>
    </row>
    <row r="296" spans="1:50" ht="14.25" customHeight="1" x14ac:dyDescent="0.3">
      <c r="A296" s="2">
        <v>45826</v>
      </c>
      <c r="B296" s="4">
        <f t="shared" si="64"/>
        <v>117.10133060388944</v>
      </c>
      <c r="C296" s="4">
        <f t="shared" si="65"/>
        <v>108.47786578114832</v>
      </c>
      <c r="D296" s="4">
        <f t="shared" si="66"/>
        <v>116.93300745754216</v>
      </c>
      <c r="E296" s="4">
        <f t="shared" si="67"/>
        <v>83.92564043331835</v>
      </c>
      <c r="F296" s="4">
        <f t="shared" si="68"/>
        <v>110.04557317025669</v>
      </c>
      <c r="G296" s="4">
        <f t="shared" si="69"/>
        <v>99.836106908724148</v>
      </c>
      <c r="H296" s="4">
        <f t="shared" si="70"/>
        <v>86.741035856573717</v>
      </c>
      <c r="I296" s="4">
        <f t="shared" si="71"/>
        <v>98.932001205805093</v>
      </c>
      <c r="J296" s="4">
        <f t="shared" si="72"/>
        <v>132.51048981298575</v>
      </c>
      <c r="K296" s="4">
        <f t="shared" si="73"/>
        <v>90.843562972347215</v>
      </c>
      <c r="L296" s="4">
        <f t="shared" si="74"/>
        <v>98.200408997955009</v>
      </c>
      <c r="M296" s="4">
        <f t="shared" si="75"/>
        <v>113.73714122569882</v>
      </c>
      <c r="N296" s="4">
        <f t="shared" si="76"/>
        <v>98.672939649578183</v>
      </c>
      <c r="O296" s="4">
        <f t="shared" si="77"/>
        <v>119.23507045403711</v>
      </c>
      <c r="P296" s="4">
        <f t="shared" si="78"/>
        <v>89.746070765448891</v>
      </c>
      <c r="Q296" s="4">
        <f t="shared" si="79"/>
        <v>87.198074023122302</v>
      </c>
      <c r="R296" s="4">
        <f t="shared" si="80"/>
        <v>99.641827553070669</v>
      </c>
      <c r="S296" s="4">
        <f t="shared" si="81"/>
        <v>113.92050755738012</v>
      </c>
      <c r="T296" s="4">
        <f t="shared" si="82"/>
        <v>125.69144887084495</v>
      </c>
      <c r="U296" s="4">
        <f t="shared" si="83"/>
        <v>106.5752877360665</v>
      </c>
      <c r="V296" s="4">
        <f t="shared" si="84"/>
        <v>99.625355911883702</v>
      </c>
      <c r="W296" s="4">
        <f t="shared" si="85"/>
        <v>89.840867992766732</v>
      </c>
      <c r="X296" s="4">
        <f t="shared" si="86"/>
        <v>112.62821038811848</v>
      </c>
      <c r="Y296" s="4">
        <f t="shared" si="87"/>
        <v>105.65942181894916</v>
      </c>
      <c r="Z296" s="4">
        <f t="shared" si="88"/>
        <v>136.27084042191225</v>
      </c>
      <c r="AA296" s="4">
        <f t="shared" si="89"/>
        <v>108.93478380915566</v>
      </c>
      <c r="AB296" s="4">
        <f t="shared" si="90"/>
        <v>87.109557109557102</v>
      </c>
      <c r="AC296" s="4">
        <f t="shared" si="91"/>
        <v>92.557989690721669</v>
      </c>
      <c r="AD296" s="4">
        <f t="shared" si="92"/>
        <v>89.456122789456117</v>
      </c>
      <c r="AE296" s="4">
        <f t="shared" si="93"/>
        <v>96.881775174331139</v>
      </c>
      <c r="AF296" s="4">
        <f t="shared" si="94"/>
        <v>98.991170025817382</v>
      </c>
      <c r="AG296" s="4">
        <f t="shared" si="95"/>
        <v>101.02225672877849</v>
      </c>
      <c r="AH296" s="4">
        <f t="shared" si="96"/>
        <v>107.90876067194044</v>
      </c>
      <c r="AI296" s="4">
        <f t="shared" si="97"/>
        <v>111.2403100775194</v>
      </c>
      <c r="AJ296" s="4">
        <f t="shared" si="98"/>
        <v>94.646083100673323</v>
      </c>
      <c r="AK296" s="4">
        <f t="shared" si="99"/>
        <v>109.55101038019777</v>
      </c>
      <c r="AL296" s="4">
        <f t="shared" si="100"/>
        <v>110.39240169488056</v>
      </c>
      <c r="AM296" s="4">
        <f t="shared" si="101"/>
        <v>81.139776883298794</v>
      </c>
      <c r="AN296" s="4">
        <f t="shared" si="102"/>
        <v>128.3347614967152</v>
      </c>
      <c r="AO296" s="4">
        <f t="shared" si="103"/>
        <v>124.14128321451719</v>
      </c>
      <c r="AP296" s="4">
        <f t="shared" si="104"/>
        <v>108.83717008179441</v>
      </c>
      <c r="AQ296" s="4">
        <f t="shared" si="105"/>
        <v>100.40203069519032</v>
      </c>
      <c r="AR296" s="4">
        <f t="shared" si="106"/>
        <v>97.972663658361128</v>
      </c>
      <c r="AS296" s="4">
        <f t="shared" si="107"/>
        <v>94.081808498368304</v>
      </c>
      <c r="AT296" s="4">
        <f t="shared" si="108"/>
        <v>113.42572764805648</v>
      </c>
      <c r="AU296" s="4">
        <f t="shared" si="109"/>
        <v>115.74486580462893</v>
      </c>
      <c r="AV296" s="4">
        <f t="shared" si="110"/>
        <v>95.93133674214755</v>
      </c>
      <c r="AW296" s="4">
        <f t="shared" si="111"/>
        <v>104.1475975958034</v>
      </c>
      <c r="AX296" s="4">
        <f t="shared" si="112"/>
        <v>87.734681246131643</v>
      </c>
    </row>
    <row r="297" spans="1:50" ht="14.25" customHeight="1" x14ac:dyDescent="0.3">
      <c r="A297" s="2">
        <v>45827</v>
      </c>
      <c r="B297" s="4">
        <f t="shared" si="64"/>
        <v>117.36335721596724</v>
      </c>
      <c r="C297" s="4">
        <f t="shared" si="65"/>
        <v>108.55639570104782</v>
      </c>
      <c r="D297" s="4">
        <f t="shared" si="66"/>
        <v>117.62862693488752</v>
      </c>
      <c r="E297" s="4">
        <f t="shared" si="67"/>
        <v>83.259370934601023</v>
      </c>
      <c r="F297" s="4">
        <f t="shared" si="68"/>
        <v>109.94429945857516</v>
      </c>
      <c r="G297" s="4">
        <f t="shared" si="69"/>
        <v>98.978819969742801</v>
      </c>
      <c r="H297" s="4">
        <f t="shared" si="70"/>
        <v>85.970783532536515</v>
      </c>
      <c r="I297" s="4">
        <f t="shared" si="71"/>
        <v>98.798501356530721</v>
      </c>
      <c r="J297" s="4">
        <f t="shared" si="72"/>
        <v>129.84297723241966</v>
      </c>
      <c r="K297" s="4">
        <f t="shared" si="73"/>
        <v>90.865405617928445</v>
      </c>
      <c r="L297" s="4">
        <f t="shared" si="74"/>
        <v>98.734832992501708</v>
      </c>
      <c r="M297" s="4">
        <f t="shared" si="75"/>
        <v>114.25461488361306</v>
      </c>
      <c r="N297" s="4">
        <f t="shared" si="76"/>
        <v>100.41531473069436</v>
      </c>
      <c r="O297" s="4">
        <f t="shared" si="77"/>
        <v>120.01789308879445</v>
      </c>
      <c r="P297" s="4">
        <f t="shared" si="78"/>
        <v>89.64146551949581</v>
      </c>
      <c r="Q297" s="4">
        <f t="shared" si="79"/>
        <v>87.176909442048725</v>
      </c>
      <c r="R297" s="4">
        <f t="shared" si="80"/>
        <v>99.764130339827034</v>
      </c>
      <c r="S297" s="4">
        <f t="shared" si="81"/>
        <v>113.59395409591345</v>
      </c>
      <c r="T297" s="4">
        <f t="shared" si="82"/>
        <v>124.81603653894948</v>
      </c>
      <c r="U297" s="4">
        <f t="shared" si="83"/>
        <v>107.73084192571878</v>
      </c>
      <c r="V297" s="4">
        <f t="shared" si="84"/>
        <v>98.921025026225081</v>
      </c>
      <c r="W297" s="4">
        <f t="shared" si="85"/>
        <v>90.206148282097658</v>
      </c>
      <c r="X297" s="4">
        <f t="shared" si="86"/>
        <v>109.78911955362271</v>
      </c>
      <c r="Y297" s="4">
        <f t="shared" si="87"/>
        <v>106.16585777590211</v>
      </c>
      <c r="Z297" s="4">
        <f t="shared" si="88"/>
        <v>135.60734943858458</v>
      </c>
      <c r="AA297" s="4">
        <f t="shared" si="89"/>
        <v>110.00607432768237</v>
      </c>
      <c r="AB297" s="4">
        <f t="shared" si="90"/>
        <v>88.438228438228435</v>
      </c>
      <c r="AC297" s="4">
        <f t="shared" si="91"/>
        <v>92.284149484536087</v>
      </c>
      <c r="AD297" s="4">
        <f t="shared" si="92"/>
        <v>89.729729729729712</v>
      </c>
      <c r="AE297" s="4">
        <f t="shared" si="93"/>
        <v>97.202121147982695</v>
      </c>
      <c r="AF297" s="4">
        <f t="shared" si="94"/>
        <v>98.409736836395965</v>
      </c>
      <c r="AG297" s="4">
        <f t="shared" si="95"/>
        <v>99.443581780538295</v>
      </c>
      <c r="AH297" s="4">
        <f t="shared" si="96"/>
        <v>106.89919049989859</v>
      </c>
      <c r="AI297" s="4">
        <f t="shared" si="97"/>
        <v>110.42855053385988</v>
      </c>
      <c r="AJ297" s="4">
        <f t="shared" si="98"/>
        <v>93.315815404828399</v>
      </c>
      <c r="AK297" s="4">
        <f t="shared" si="99"/>
        <v>110.27987633847225</v>
      </c>
      <c r="AL297" s="4">
        <f t="shared" si="100"/>
        <v>112.44959367899617</v>
      </c>
      <c r="AM297" s="4">
        <f t="shared" si="101"/>
        <v>80.977072884317465</v>
      </c>
      <c r="AN297" s="4">
        <f t="shared" si="102"/>
        <v>127.77777777777777</v>
      </c>
      <c r="AO297" s="4">
        <f t="shared" si="103"/>
        <v>123.43648736228128</v>
      </c>
      <c r="AP297" s="4">
        <f t="shared" si="104"/>
        <v>108.16257694577958</v>
      </c>
      <c r="AQ297" s="4">
        <f t="shared" si="105"/>
        <v>98.834991343134661</v>
      </c>
      <c r="AR297" s="4">
        <f t="shared" si="106"/>
        <v>97.050552612647962</v>
      </c>
      <c r="AS297" s="4">
        <f t="shared" si="107"/>
        <v>95.113065070932805</v>
      </c>
      <c r="AT297" s="4">
        <f t="shared" si="108"/>
        <v>111.72973806383091</v>
      </c>
      <c r="AU297" s="4">
        <f t="shared" si="109"/>
        <v>118.25491687493211</v>
      </c>
      <c r="AV297" s="4">
        <f t="shared" si="110"/>
        <v>96.866325785244697</v>
      </c>
      <c r="AW297" s="4">
        <f t="shared" si="111"/>
        <v>104.77851996128432</v>
      </c>
      <c r="AX297" s="4">
        <f t="shared" si="112"/>
        <v>86.393645553950904</v>
      </c>
    </row>
    <row r="298" spans="1:50" ht="14.25" customHeight="1" x14ac:dyDescent="0.3">
      <c r="A298" s="2">
        <v>45828</v>
      </c>
      <c r="B298" s="4">
        <f t="shared" si="64"/>
        <v>120.05731832139202</v>
      </c>
      <c r="C298" s="4">
        <f t="shared" si="65"/>
        <v>110.20552401893693</v>
      </c>
      <c r="D298" s="4">
        <f t="shared" si="66"/>
        <v>121.3699316914207</v>
      </c>
      <c r="E298" s="4">
        <f t="shared" si="67"/>
        <v>83.543872873834331</v>
      </c>
      <c r="F298" s="4">
        <f t="shared" si="68"/>
        <v>111.17516456978147</v>
      </c>
      <c r="G298" s="4">
        <f t="shared" si="69"/>
        <v>100.37191124558748</v>
      </c>
      <c r="H298" s="4">
        <f t="shared" si="70"/>
        <v>86.209827357237728</v>
      </c>
      <c r="I298" s="4">
        <f t="shared" si="71"/>
        <v>99.31527496662504</v>
      </c>
      <c r="J298" s="4">
        <f t="shared" si="72"/>
        <v>130.49183164390868</v>
      </c>
      <c r="K298" s="4">
        <f t="shared" si="73"/>
        <v>91.422393080249876</v>
      </c>
      <c r="L298" s="4">
        <f t="shared" si="74"/>
        <v>99.850034083162925</v>
      </c>
      <c r="M298" s="4">
        <f t="shared" si="75"/>
        <v>114.12078548932487</v>
      </c>
      <c r="N298" s="4">
        <f t="shared" si="76"/>
        <v>103.32251784555484</v>
      </c>
      <c r="O298" s="4">
        <f t="shared" si="77"/>
        <v>121.32632520688884</v>
      </c>
      <c r="P298" s="4">
        <f t="shared" si="78"/>
        <v>91.00133371688591</v>
      </c>
      <c r="Q298" s="4">
        <f t="shared" si="79"/>
        <v>88.10285986401756</v>
      </c>
      <c r="R298" s="4">
        <f t="shared" si="80"/>
        <v>100.09609504673713</v>
      </c>
      <c r="S298" s="4">
        <f t="shared" si="81"/>
        <v>113.89251726068299</v>
      </c>
      <c r="T298" s="4">
        <f t="shared" si="82"/>
        <v>125.99594011672164</v>
      </c>
      <c r="U298" s="4">
        <f t="shared" si="83"/>
        <v>108.14880833474194</v>
      </c>
      <c r="V298" s="4">
        <f t="shared" si="84"/>
        <v>100.46455866926418</v>
      </c>
      <c r="W298" s="4">
        <f t="shared" si="85"/>
        <v>91.620253164556971</v>
      </c>
      <c r="X298" s="4">
        <f t="shared" si="86"/>
        <v>110.71633708049562</v>
      </c>
      <c r="Y298" s="4">
        <f t="shared" si="87"/>
        <v>106.30512766406414</v>
      </c>
      <c r="Z298" s="4">
        <f t="shared" si="88"/>
        <v>138.90779176590681</v>
      </c>
      <c r="AA298" s="4">
        <f t="shared" si="89"/>
        <v>111.05527638190952</v>
      </c>
      <c r="AB298" s="4">
        <f t="shared" si="90"/>
        <v>88.757908757908751</v>
      </c>
      <c r="AC298" s="4">
        <f t="shared" si="91"/>
        <v>94.426546391752595</v>
      </c>
      <c r="AD298" s="4">
        <f t="shared" si="92"/>
        <v>90.250250250250247</v>
      </c>
      <c r="AE298" s="4">
        <f t="shared" si="93"/>
        <v>95.772005194181148</v>
      </c>
      <c r="AF298" s="4">
        <f t="shared" si="94"/>
        <v>99.177749332870476</v>
      </c>
      <c r="AG298" s="4">
        <f t="shared" si="95"/>
        <v>100.68581780538304</v>
      </c>
      <c r="AH298" s="4">
        <f t="shared" si="96"/>
        <v>108.81230292637053</v>
      </c>
      <c r="AI298" s="4">
        <f t="shared" si="97"/>
        <v>111.13792599093169</v>
      </c>
      <c r="AJ298" s="4">
        <f t="shared" si="98"/>
        <v>96.649696173427486</v>
      </c>
      <c r="AK298" s="4">
        <f t="shared" si="99"/>
        <v>111.07425833793991</v>
      </c>
      <c r="AL298" s="4">
        <f t="shared" si="100"/>
        <v>113.09438519640554</v>
      </c>
      <c r="AM298" s="4">
        <f t="shared" si="101"/>
        <v>83.438855129774126</v>
      </c>
      <c r="AN298" s="4">
        <f t="shared" si="102"/>
        <v>129.31305341331048</v>
      </c>
      <c r="AO298" s="4">
        <f t="shared" si="103"/>
        <v>126.20706416072586</v>
      </c>
      <c r="AP298" s="4">
        <f t="shared" si="104"/>
        <v>109.47803356100852</v>
      </c>
      <c r="AQ298" s="4">
        <f t="shared" si="105"/>
        <v>99.545147753616803</v>
      </c>
      <c r="AR298" s="4">
        <f t="shared" si="106"/>
        <v>98.077300372768292</v>
      </c>
      <c r="AS298" s="4">
        <f t="shared" si="107"/>
        <v>95.845800004070753</v>
      </c>
      <c r="AT298" s="4">
        <f t="shared" si="108"/>
        <v>114.15380398471898</v>
      </c>
      <c r="AU298" s="4">
        <f t="shared" si="109"/>
        <v>119.54797348690644</v>
      </c>
      <c r="AV298" s="4">
        <f t="shared" si="110"/>
        <v>96.807888970051138</v>
      </c>
      <c r="AW298" s="4">
        <f t="shared" si="111"/>
        <v>103.68396525147274</v>
      </c>
      <c r="AX298" s="4">
        <f t="shared" si="112"/>
        <v>86.677326181142973</v>
      </c>
    </row>
    <row r="299" spans="1:50" ht="14.25" customHeight="1" x14ac:dyDescent="0.3">
      <c r="A299" s="2">
        <v>45831</v>
      </c>
      <c r="B299" s="4">
        <f t="shared" si="64"/>
        <v>119.28761514841351</v>
      </c>
      <c r="C299" s="4">
        <f t="shared" si="65"/>
        <v>109.29121138010727</v>
      </c>
      <c r="D299" s="4">
        <f t="shared" si="66"/>
        <v>121.34486432286771</v>
      </c>
      <c r="E299" s="4">
        <f t="shared" si="67"/>
        <v>82.520152220695692</v>
      </c>
      <c r="F299" s="4">
        <f t="shared" si="68"/>
        <v>110.62984458380399</v>
      </c>
      <c r="G299" s="4">
        <f t="shared" si="69"/>
        <v>99.621785173978822</v>
      </c>
      <c r="H299" s="4">
        <f t="shared" si="70"/>
        <v>84.143426294820713</v>
      </c>
      <c r="I299" s="4">
        <f t="shared" si="71"/>
        <v>97.975970027130614</v>
      </c>
      <c r="J299" s="4">
        <f t="shared" si="72"/>
        <v>132.00582527071649</v>
      </c>
      <c r="K299" s="4">
        <f t="shared" si="73"/>
        <v>90.406710060722546</v>
      </c>
      <c r="L299" s="4">
        <f t="shared" si="74"/>
        <v>97.715064758009547</v>
      </c>
      <c r="M299" s="4">
        <f t="shared" si="75"/>
        <v>113.29996520435748</v>
      </c>
      <c r="N299" s="4">
        <f t="shared" si="76"/>
        <v>101.71966255678132</v>
      </c>
      <c r="O299" s="4">
        <f t="shared" si="77"/>
        <v>122.12592261239095</v>
      </c>
      <c r="P299" s="4">
        <f t="shared" si="78"/>
        <v>89.081827453646795</v>
      </c>
      <c r="Q299" s="4">
        <f t="shared" si="79"/>
        <v>87.965290087039335</v>
      </c>
      <c r="R299" s="4">
        <f t="shared" si="80"/>
        <v>100.01747182667945</v>
      </c>
      <c r="S299" s="4">
        <f t="shared" si="81"/>
        <v>113.27673073334577</v>
      </c>
      <c r="T299" s="4">
        <f t="shared" si="82"/>
        <v>126.71910682567872</v>
      </c>
      <c r="U299" s="4">
        <f t="shared" si="83"/>
        <v>107.74006177297662</v>
      </c>
      <c r="V299" s="4">
        <f t="shared" si="84"/>
        <v>99.685298965982327</v>
      </c>
      <c r="W299" s="4">
        <f t="shared" si="85"/>
        <v>92.094032549728766</v>
      </c>
      <c r="X299" s="4">
        <f t="shared" si="86"/>
        <v>111.16763764667267</v>
      </c>
      <c r="Y299" s="4">
        <f t="shared" si="87"/>
        <v>106.08989238235915</v>
      </c>
      <c r="Z299" s="4">
        <f t="shared" si="88"/>
        <v>143.21197686287854</v>
      </c>
      <c r="AA299" s="4">
        <f t="shared" si="89"/>
        <v>110.11099453310507</v>
      </c>
      <c r="AB299" s="4">
        <f t="shared" si="90"/>
        <v>87.659007659007656</v>
      </c>
      <c r="AC299" s="4">
        <f t="shared" si="91"/>
        <v>93.508376288659804</v>
      </c>
      <c r="AD299" s="4">
        <f t="shared" si="92"/>
        <v>89.589589589589579</v>
      </c>
      <c r="AE299" s="4">
        <f t="shared" si="93"/>
        <v>94.805246809411315</v>
      </c>
      <c r="AF299" s="4">
        <f t="shared" si="94"/>
        <v>98.240513743952434</v>
      </c>
      <c r="AG299" s="4">
        <f t="shared" si="95"/>
        <v>101.57867494824018</v>
      </c>
      <c r="AH299" s="4">
        <f t="shared" si="96"/>
        <v>108.75237410337262</v>
      </c>
      <c r="AI299" s="4">
        <f t="shared" si="97"/>
        <v>111.47433084686264</v>
      </c>
      <c r="AJ299" s="4">
        <f t="shared" si="98"/>
        <v>96.288388898012798</v>
      </c>
      <c r="AK299" s="4">
        <f t="shared" si="99"/>
        <v>111.52877587371783</v>
      </c>
      <c r="AL299" s="4">
        <f t="shared" si="100"/>
        <v>113.65729842588989</v>
      </c>
      <c r="AM299" s="4">
        <f t="shared" si="101"/>
        <v>86.586823805717287</v>
      </c>
      <c r="AN299" s="4">
        <f t="shared" si="102"/>
        <v>129.86289631533845</v>
      </c>
      <c r="AO299" s="4">
        <f t="shared" si="103"/>
        <v>125.42935839274141</v>
      </c>
      <c r="AP299" s="4">
        <f t="shared" si="104"/>
        <v>111.54397504005395</v>
      </c>
      <c r="AQ299" s="4">
        <f t="shared" si="105"/>
        <v>98.70587199577426</v>
      </c>
      <c r="AR299" s="4">
        <f t="shared" si="106"/>
        <v>98.038061604865604</v>
      </c>
      <c r="AS299" s="4">
        <f t="shared" si="107"/>
        <v>95.085926740075848</v>
      </c>
      <c r="AT299" s="4">
        <f t="shared" si="108"/>
        <v>113.34863721240984</v>
      </c>
      <c r="AU299" s="4">
        <f t="shared" si="109"/>
        <v>120.54764750624798</v>
      </c>
      <c r="AV299" s="4">
        <f t="shared" si="110"/>
        <v>96.267348429510605</v>
      </c>
      <c r="AW299" s="4">
        <f t="shared" si="111"/>
        <v>101.64302699343983</v>
      </c>
      <c r="AX299" s="4">
        <f t="shared" si="112"/>
        <v>86.641221374045799</v>
      </c>
    </row>
    <row r="300" spans="1:50" ht="14.25" customHeight="1" x14ac:dyDescent="0.3">
      <c r="A300" s="2">
        <v>45832</v>
      </c>
      <c r="B300" s="4">
        <f t="shared" si="64"/>
        <v>118.79631525076763</v>
      </c>
      <c r="C300" s="4">
        <f t="shared" si="65"/>
        <v>109.99237137920979</v>
      </c>
      <c r="D300" s="4">
        <f t="shared" si="66"/>
        <v>121.17565958513504</v>
      </c>
      <c r="E300" s="4">
        <f t="shared" si="67"/>
        <v>82.442339724495142</v>
      </c>
      <c r="F300" s="4">
        <f t="shared" si="68"/>
        <v>110.94145600436256</v>
      </c>
      <c r="G300" s="4">
        <f t="shared" si="69"/>
        <v>100.27735753908217</v>
      </c>
      <c r="H300" s="4">
        <f t="shared" si="70"/>
        <v>84.01593625498009</v>
      </c>
      <c r="I300" s="4">
        <f t="shared" si="71"/>
        <v>97.45919641703631</v>
      </c>
      <c r="J300" s="4">
        <f t="shared" si="72"/>
        <v>132.15001513993624</v>
      </c>
      <c r="K300" s="4">
        <f t="shared" si="73"/>
        <v>90.505001965838105</v>
      </c>
      <c r="L300" s="4">
        <f t="shared" si="74"/>
        <v>98.290388548057251</v>
      </c>
      <c r="M300" s="4">
        <f t="shared" si="75"/>
        <v>112.51483275786696</v>
      </c>
      <c r="N300" s="4">
        <f t="shared" si="76"/>
        <v>102.20960415314731</v>
      </c>
      <c r="O300" s="4">
        <f t="shared" si="77"/>
        <v>124.33460076045625</v>
      </c>
      <c r="P300" s="4">
        <f t="shared" si="78"/>
        <v>88.485577551714215</v>
      </c>
      <c r="Q300" s="4">
        <f t="shared" si="79"/>
        <v>87.922960924892195</v>
      </c>
      <c r="R300" s="4">
        <f t="shared" si="80"/>
        <v>101.15314056084563</v>
      </c>
      <c r="S300" s="4">
        <f t="shared" si="81"/>
        <v>113.93916775517823</v>
      </c>
      <c r="T300" s="4">
        <f t="shared" si="82"/>
        <v>127.45496066988073</v>
      </c>
      <c r="U300" s="4">
        <f t="shared" si="83"/>
        <v>108.36393810409209</v>
      </c>
      <c r="V300" s="4">
        <f t="shared" si="84"/>
        <v>98.891053499175769</v>
      </c>
      <c r="W300" s="4">
        <f t="shared" si="85"/>
        <v>92.249547920433997</v>
      </c>
      <c r="X300" s="4">
        <f t="shared" si="86"/>
        <v>114.01493394600803</v>
      </c>
      <c r="Y300" s="4">
        <f t="shared" si="87"/>
        <v>102.94154884996836</v>
      </c>
      <c r="Z300" s="4">
        <f t="shared" si="88"/>
        <v>142.39537257570603</v>
      </c>
      <c r="AA300" s="4">
        <f t="shared" si="89"/>
        <v>111.21541774808105</v>
      </c>
      <c r="AB300" s="4">
        <f t="shared" si="90"/>
        <v>88.235098235098249</v>
      </c>
      <c r="AC300" s="4">
        <f t="shared" si="91"/>
        <v>92.123067010309285</v>
      </c>
      <c r="AD300" s="4">
        <f t="shared" si="92"/>
        <v>89.909909909909913</v>
      </c>
      <c r="AE300" s="4">
        <f t="shared" si="93"/>
        <v>95.840650759963637</v>
      </c>
      <c r="AF300" s="4">
        <f t="shared" si="94"/>
        <v>98.726487753021061</v>
      </c>
      <c r="AG300" s="4">
        <f t="shared" si="95"/>
        <v>101.61749482401656</v>
      </c>
      <c r="AH300" s="4">
        <f t="shared" si="96"/>
        <v>109.06123803728495</v>
      </c>
      <c r="AI300" s="4">
        <f t="shared" si="97"/>
        <v>113.20023402076933</v>
      </c>
      <c r="AJ300" s="4">
        <f t="shared" si="98"/>
        <v>98.80111676794219</v>
      </c>
      <c r="AK300" s="4">
        <f t="shared" si="99"/>
        <v>113.87097434637512</v>
      </c>
      <c r="AL300" s="4">
        <f t="shared" si="100"/>
        <v>115.22322068245552</v>
      </c>
      <c r="AM300" s="4">
        <f t="shared" si="101"/>
        <v>85.702562941688299</v>
      </c>
      <c r="AN300" s="4">
        <f t="shared" si="102"/>
        <v>131.60525564124535</v>
      </c>
      <c r="AO300" s="4">
        <f t="shared" si="103"/>
        <v>126.32858068697344</v>
      </c>
      <c r="AP300" s="4">
        <f t="shared" si="104"/>
        <v>112.89316131208362</v>
      </c>
      <c r="AQ300" s="4">
        <f t="shared" si="105"/>
        <v>98.430026117322527</v>
      </c>
      <c r="AR300" s="4">
        <f t="shared" si="106"/>
        <v>98.253874828330396</v>
      </c>
      <c r="AS300" s="4">
        <f t="shared" si="107"/>
        <v>95.065572991933138</v>
      </c>
      <c r="AT300" s="4">
        <f t="shared" si="108"/>
        <v>115.81553115310162</v>
      </c>
      <c r="AU300" s="4">
        <f t="shared" si="109"/>
        <v>120.36292513310877</v>
      </c>
      <c r="AV300" s="4">
        <f t="shared" si="110"/>
        <v>97.684441197954712</v>
      </c>
      <c r="AW300" s="4">
        <f t="shared" si="111"/>
        <v>102.58463082677116</v>
      </c>
      <c r="AX300" s="4">
        <f t="shared" si="112"/>
        <v>85.821126469981451</v>
      </c>
    </row>
    <row r="301" spans="1:50" ht="14.25" customHeight="1" x14ac:dyDescent="0.3">
      <c r="A301" s="2">
        <v>45833</v>
      </c>
      <c r="B301" s="4">
        <f t="shared" si="64"/>
        <v>120.14738996929376</v>
      </c>
      <c r="C301" s="4">
        <f t="shared" si="65"/>
        <v>111.07496241782407</v>
      </c>
      <c r="D301" s="4">
        <f t="shared" si="66"/>
        <v>123.18104906937393</v>
      </c>
      <c r="E301" s="4">
        <f t="shared" si="67"/>
        <v>83.765152159904687</v>
      </c>
      <c r="F301" s="4">
        <f t="shared" si="68"/>
        <v>111.07389085809993</v>
      </c>
      <c r="G301" s="4">
        <f t="shared" si="69"/>
        <v>100.863590519415</v>
      </c>
      <c r="H301" s="4">
        <f t="shared" si="70"/>
        <v>85.784860557768923</v>
      </c>
      <c r="I301" s="4">
        <f t="shared" si="71"/>
        <v>98.131002110158917</v>
      </c>
      <c r="J301" s="4">
        <f t="shared" si="72"/>
        <v>133.80819863596383</v>
      </c>
      <c r="K301" s="4">
        <f t="shared" si="73"/>
        <v>90.94185487746276</v>
      </c>
      <c r="L301" s="4">
        <f t="shared" si="74"/>
        <v>98.699386503067487</v>
      </c>
      <c r="M301" s="4">
        <f t="shared" si="75"/>
        <v>113.90665845846382</v>
      </c>
      <c r="N301" s="4">
        <f t="shared" si="76"/>
        <v>104.33160285528878</v>
      </c>
      <c r="O301" s="4">
        <f t="shared" si="77"/>
        <v>122.91992842764483</v>
      </c>
      <c r="P301" s="4">
        <f t="shared" si="78"/>
        <v>89.808833913020734</v>
      </c>
      <c r="Q301" s="4">
        <f t="shared" si="79"/>
        <v>88.340961401095242</v>
      </c>
      <c r="R301" s="4">
        <f t="shared" si="80"/>
        <v>102.49847121516554</v>
      </c>
      <c r="S301" s="4">
        <f t="shared" si="81"/>
        <v>113.20208994215339</v>
      </c>
      <c r="T301" s="4">
        <f t="shared" si="82"/>
        <v>127.61989342806392</v>
      </c>
      <c r="U301" s="4">
        <f t="shared" si="83"/>
        <v>112.24242051723343</v>
      </c>
      <c r="V301" s="4">
        <f t="shared" si="84"/>
        <v>99.160797242619509</v>
      </c>
      <c r="W301" s="4">
        <f t="shared" si="85"/>
        <v>93.620253164556971</v>
      </c>
      <c r="X301" s="4">
        <f t="shared" si="86"/>
        <v>114.31033068023304</v>
      </c>
      <c r="Y301" s="4">
        <f t="shared" si="87"/>
        <v>102.09326862207217</v>
      </c>
      <c r="Z301" s="4">
        <f t="shared" si="88"/>
        <v>138.15923783599865</v>
      </c>
      <c r="AA301" s="4">
        <f t="shared" si="89"/>
        <v>113.14263625821414</v>
      </c>
      <c r="AB301" s="4">
        <f t="shared" si="90"/>
        <v>89.713619713619721</v>
      </c>
      <c r="AC301" s="4">
        <f t="shared" si="91"/>
        <v>93.572809278350519</v>
      </c>
      <c r="AD301" s="4">
        <f t="shared" si="92"/>
        <v>90.023356690023363</v>
      </c>
      <c r="AE301" s="4">
        <f t="shared" si="93"/>
        <v>95.983662355343768</v>
      </c>
      <c r="AF301" s="4">
        <f t="shared" si="94"/>
        <v>98.926084221031402</v>
      </c>
      <c r="AG301" s="4">
        <f t="shared" si="95"/>
        <v>101.38457556935818</v>
      </c>
      <c r="AH301" s="4">
        <f t="shared" si="96"/>
        <v>110.84066308937695</v>
      </c>
      <c r="AI301" s="4">
        <f t="shared" si="97"/>
        <v>114.37033786748572</v>
      </c>
      <c r="AJ301" s="4">
        <f t="shared" si="98"/>
        <v>99.622269666611913</v>
      </c>
      <c r="AK301" s="4">
        <f t="shared" si="99"/>
        <v>115.95520340683414</v>
      </c>
      <c r="AL301" s="4">
        <f t="shared" si="100"/>
        <v>114.13833336744928</v>
      </c>
      <c r="AM301" s="4">
        <f t="shared" si="101"/>
        <v>86.650490587927365</v>
      </c>
      <c r="AN301" s="4">
        <f t="shared" si="102"/>
        <v>131.583833190517</v>
      </c>
      <c r="AO301" s="4">
        <f t="shared" si="103"/>
        <v>127.20349967595594</v>
      </c>
      <c r="AP301" s="4">
        <f t="shared" si="104"/>
        <v>113.44126823509568</v>
      </c>
      <c r="AQ301" s="4">
        <f t="shared" si="105"/>
        <v>100.06749420430201</v>
      </c>
      <c r="AR301" s="4">
        <f t="shared" si="106"/>
        <v>98.750899221764428</v>
      </c>
      <c r="AS301" s="4">
        <f t="shared" si="107"/>
        <v>95.554062947358418</v>
      </c>
      <c r="AT301" s="4">
        <f t="shared" si="108"/>
        <v>115.65278467784765</v>
      </c>
      <c r="AU301" s="4">
        <f t="shared" si="109"/>
        <v>122.40573725958927</v>
      </c>
      <c r="AV301" s="4">
        <f t="shared" si="110"/>
        <v>97.998539079620144</v>
      </c>
      <c r="AW301" s="4">
        <f t="shared" si="111"/>
        <v>102.78298899470646</v>
      </c>
      <c r="AX301" s="4">
        <f t="shared" si="112"/>
        <v>85.599339797813073</v>
      </c>
    </row>
    <row r="302" spans="1:50" ht="14.25" customHeight="1" x14ac:dyDescent="0.3">
      <c r="A302" s="2">
        <v>45834</v>
      </c>
      <c r="B302" s="4">
        <f t="shared" si="64"/>
        <v>122.44012282497441</v>
      </c>
      <c r="C302" s="4">
        <f t="shared" si="65"/>
        <v>113.40842289483722</v>
      </c>
      <c r="D302" s="4">
        <f t="shared" si="66"/>
        <v>126.23300119069999</v>
      </c>
      <c r="E302" s="4">
        <f t="shared" si="67"/>
        <v>83.692202944716669</v>
      </c>
      <c r="F302" s="4">
        <f t="shared" si="68"/>
        <v>112.10999883145716</v>
      </c>
      <c r="G302" s="4">
        <f t="shared" si="69"/>
        <v>100.48537569339385</v>
      </c>
      <c r="H302" s="4">
        <f t="shared" si="70"/>
        <v>85.843293492695878</v>
      </c>
      <c r="I302" s="4">
        <f t="shared" si="71"/>
        <v>98.221437491925428</v>
      </c>
      <c r="J302" s="4">
        <f t="shared" si="72"/>
        <v>137.19666056262886</v>
      </c>
      <c r="K302" s="4">
        <f t="shared" si="73"/>
        <v>91.804639377921447</v>
      </c>
      <c r="L302" s="4">
        <f t="shared" si="74"/>
        <v>99.784594410361279</v>
      </c>
      <c r="M302" s="4">
        <f t="shared" si="75"/>
        <v>113.44271655826488</v>
      </c>
      <c r="N302" s="4">
        <f t="shared" si="76"/>
        <v>104.3413367942894</v>
      </c>
      <c r="O302" s="4">
        <f t="shared" si="77"/>
        <v>123.23305748154776</v>
      </c>
      <c r="P302" s="4">
        <f t="shared" si="78"/>
        <v>90.174952273856519</v>
      </c>
      <c r="Q302" s="4">
        <f t="shared" si="79"/>
        <v>88.351543691632045</v>
      </c>
      <c r="R302" s="4">
        <f t="shared" si="80"/>
        <v>104.40290032322879</v>
      </c>
      <c r="S302" s="4">
        <f t="shared" si="81"/>
        <v>115.08676991976114</v>
      </c>
      <c r="T302" s="4">
        <f t="shared" si="82"/>
        <v>130.27150469424004</v>
      </c>
      <c r="U302" s="4">
        <f t="shared" si="83"/>
        <v>113.5485655454308</v>
      </c>
      <c r="V302" s="4">
        <f t="shared" si="84"/>
        <v>101.04900344672561</v>
      </c>
      <c r="W302" s="4">
        <f t="shared" si="85"/>
        <v>95.905967450271262</v>
      </c>
      <c r="X302" s="4">
        <f t="shared" si="86"/>
        <v>117.28070895216214</v>
      </c>
      <c r="Y302" s="4">
        <f t="shared" si="87"/>
        <v>103.2833931209116</v>
      </c>
      <c r="Z302" s="4">
        <f t="shared" si="88"/>
        <v>139.53725757060226</v>
      </c>
      <c r="AA302" s="4">
        <f t="shared" si="89"/>
        <v>114.03721906234468</v>
      </c>
      <c r="AB302" s="4">
        <f t="shared" si="90"/>
        <v>89.417249417249394</v>
      </c>
      <c r="AC302" s="4">
        <f t="shared" si="91"/>
        <v>94.555412371134025</v>
      </c>
      <c r="AD302" s="4">
        <f t="shared" si="92"/>
        <v>91.124457791124456</v>
      </c>
      <c r="AE302" s="4">
        <f t="shared" si="93"/>
        <v>96.481342707266705</v>
      </c>
      <c r="AF302" s="4">
        <f t="shared" si="94"/>
        <v>99.355650532618839</v>
      </c>
      <c r="AG302" s="4">
        <f t="shared" si="95"/>
        <v>102.00569358178053</v>
      </c>
      <c r="AH302" s="4">
        <f t="shared" si="96"/>
        <v>112.08533864394906</v>
      </c>
      <c r="AI302" s="4">
        <f t="shared" si="97"/>
        <v>117.40529471990638</v>
      </c>
      <c r="AJ302" s="4">
        <f t="shared" si="98"/>
        <v>102.64411233371654</v>
      </c>
      <c r="AK302" s="4">
        <f t="shared" si="99"/>
        <v>118.06400098274061</v>
      </c>
      <c r="AL302" s="4">
        <f t="shared" si="100"/>
        <v>114.86500317278366</v>
      </c>
      <c r="AM302" s="4">
        <f t="shared" si="101"/>
        <v>86.402897545999252</v>
      </c>
      <c r="AN302" s="4">
        <f t="shared" si="102"/>
        <v>132.87632105112823</v>
      </c>
      <c r="AO302" s="4">
        <f t="shared" si="103"/>
        <v>129.52851587815942</v>
      </c>
      <c r="AP302" s="4">
        <f t="shared" si="104"/>
        <v>116.4685049329623</v>
      </c>
      <c r="AQ302" s="4">
        <f t="shared" si="105"/>
        <v>99.198873140241233</v>
      </c>
      <c r="AR302" s="4">
        <f t="shared" si="106"/>
        <v>98.999411418481458</v>
      </c>
      <c r="AS302" s="4">
        <f t="shared" si="107"/>
        <v>96.361428290353004</v>
      </c>
      <c r="AT302" s="4">
        <f t="shared" si="108"/>
        <v>120.46665410378088</v>
      </c>
      <c r="AU302" s="4">
        <f t="shared" si="109"/>
        <v>124.45941540801914</v>
      </c>
      <c r="AV302" s="4">
        <f t="shared" si="110"/>
        <v>96.530314097881671</v>
      </c>
      <c r="AW302" s="4">
        <f t="shared" si="111"/>
        <v>102.23810149724568</v>
      </c>
      <c r="AX302" s="4">
        <f t="shared" si="112"/>
        <v>86.249226325562205</v>
      </c>
    </row>
    <row r="303" spans="1:50" ht="14.25" customHeight="1" x14ac:dyDescent="0.3">
      <c r="A303" s="2">
        <v>45835</v>
      </c>
      <c r="B303" s="4">
        <f t="shared" si="64"/>
        <v>124.08597748208803</v>
      </c>
      <c r="C303" s="4">
        <f t="shared" si="65"/>
        <v>113.02138257533265</v>
      </c>
      <c r="D303" s="4">
        <f t="shared" si="66"/>
        <v>127.03515698439554</v>
      </c>
      <c r="E303" s="4">
        <f t="shared" si="67"/>
        <v>83.67518146117277</v>
      </c>
      <c r="F303" s="4">
        <f t="shared" si="68"/>
        <v>113.90955478518288</v>
      </c>
      <c r="G303" s="4">
        <f t="shared" si="69"/>
        <v>101.53807362581946</v>
      </c>
      <c r="H303" s="4">
        <f t="shared" si="70"/>
        <v>85.418326693227087</v>
      </c>
      <c r="I303" s="4">
        <f t="shared" si="71"/>
        <v>99.345420093880549</v>
      </c>
      <c r="J303" s="4">
        <f t="shared" si="72"/>
        <v>136.54780615113981</v>
      </c>
      <c r="K303" s="4">
        <f t="shared" si="73"/>
        <v>91.444235725831092</v>
      </c>
      <c r="L303" s="4">
        <f t="shared" si="74"/>
        <v>100.31901840490795</v>
      </c>
      <c r="M303" s="4">
        <f t="shared" si="75"/>
        <v>112.79141350606248</v>
      </c>
      <c r="N303" s="4">
        <f t="shared" si="76"/>
        <v>103.93575600259572</v>
      </c>
      <c r="O303" s="4">
        <f t="shared" si="77"/>
        <v>123.4567210914784</v>
      </c>
      <c r="P303" s="4">
        <f t="shared" si="78"/>
        <v>90.133110175475309</v>
      </c>
      <c r="Q303" s="4">
        <f t="shared" si="79"/>
        <v>89.293367549406042</v>
      </c>
      <c r="R303" s="4">
        <f t="shared" si="80"/>
        <v>106.69170961824059</v>
      </c>
      <c r="S303" s="4">
        <f t="shared" si="81"/>
        <v>114.3030416122411</v>
      </c>
      <c r="T303" s="4">
        <f t="shared" si="82"/>
        <v>129.66252220248666</v>
      </c>
      <c r="U303" s="4">
        <f t="shared" si="83"/>
        <v>112.67268005593374</v>
      </c>
      <c r="V303" s="4">
        <f t="shared" si="84"/>
        <v>101.39367600779261</v>
      </c>
      <c r="W303" s="4">
        <f t="shared" si="85"/>
        <v>94.705244122965652</v>
      </c>
      <c r="X303" s="4">
        <f t="shared" si="86"/>
        <v>118.1751046196767</v>
      </c>
      <c r="Y303" s="4">
        <f t="shared" si="87"/>
        <v>102.48153618906943</v>
      </c>
      <c r="Z303" s="4">
        <f t="shared" si="88"/>
        <v>141.03436543041855</v>
      </c>
      <c r="AA303" s="4">
        <f t="shared" si="89"/>
        <v>113.63410458887849</v>
      </c>
      <c r="AB303" s="4">
        <f t="shared" si="90"/>
        <v>88.261738261738259</v>
      </c>
      <c r="AC303" s="4">
        <f t="shared" si="91"/>
        <v>96.407860824742272</v>
      </c>
      <c r="AD303" s="4">
        <f t="shared" si="92"/>
        <v>91.678345011678346</v>
      </c>
      <c r="AE303" s="4">
        <f t="shared" si="93"/>
        <v>96.515665490157957</v>
      </c>
      <c r="AF303" s="4">
        <f t="shared" si="94"/>
        <v>102.34525849912133</v>
      </c>
      <c r="AG303" s="4">
        <f t="shared" si="95"/>
        <v>102.00569358178053</v>
      </c>
      <c r="AH303" s="4">
        <f t="shared" si="96"/>
        <v>113.34384392690528</v>
      </c>
      <c r="AI303" s="4">
        <f t="shared" si="97"/>
        <v>118.07079128272633</v>
      </c>
      <c r="AJ303" s="4">
        <f t="shared" si="98"/>
        <v>106.24076202988995</v>
      </c>
      <c r="AK303" s="4">
        <f t="shared" si="99"/>
        <v>117.15496591118482</v>
      </c>
      <c r="AL303" s="4">
        <f t="shared" si="100"/>
        <v>115.85777741387426</v>
      </c>
      <c r="AM303" s="4">
        <f t="shared" si="101"/>
        <v>85.164932336358689</v>
      </c>
      <c r="AN303" s="4">
        <f t="shared" si="102"/>
        <v>132.14795772636387</v>
      </c>
      <c r="AO303" s="4">
        <f t="shared" si="103"/>
        <v>130.74368114063512</v>
      </c>
      <c r="AP303" s="4">
        <f t="shared" si="104"/>
        <v>117.60688084998733</v>
      </c>
      <c r="AQ303" s="4">
        <f t="shared" si="105"/>
        <v>98.271561463743879</v>
      </c>
      <c r="AR303" s="4">
        <f t="shared" si="106"/>
        <v>98.253874828330396</v>
      </c>
      <c r="AS303" s="4">
        <f t="shared" si="107"/>
        <v>99.170245534048433</v>
      </c>
      <c r="AT303" s="4">
        <f t="shared" si="108"/>
        <v>119.90988984633309</v>
      </c>
      <c r="AU303" s="4">
        <f t="shared" si="109"/>
        <v>122.16668477670325</v>
      </c>
      <c r="AV303" s="4">
        <f t="shared" si="110"/>
        <v>95.032870708546383</v>
      </c>
      <c r="AW303" s="4">
        <f t="shared" si="111"/>
        <v>103.24901119648213</v>
      </c>
      <c r="AX303" s="4">
        <f t="shared" si="112"/>
        <v>88.477408706416355</v>
      </c>
    </row>
    <row r="304" spans="1:50" ht="14.25" customHeight="1" x14ac:dyDescent="0.3">
      <c r="A304" s="2">
        <v>45838</v>
      </c>
      <c r="B304" s="4">
        <f t="shared" si="64"/>
        <v>122.87410440122824</v>
      </c>
      <c r="C304" s="4">
        <f t="shared" si="65"/>
        <v>112.26973905629474</v>
      </c>
      <c r="D304" s="4">
        <f t="shared" si="66"/>
        <v>125.9384596102024</v>
      </c>
      <c r="E304" s="4">
        <f t="shared" si="67"/>
        <v>84.183394326982707</v>
      </c>
      <c r="F304" s="4">
        <f t="shared" si="68"/>
        <v>112.63194796089276</v>
      </c>
      <c r="G304" s="4">
        <f t="shared" si="69"/>
        <v>103.42284417549166</v>
      </c>
      <c r="H304" s="4">
        <f t="shared" si="70"/>
        <v>85.088977423638767</v>
      </c>
      <c r="I304" s="4">
        <f t="shared" si="71"/>
        <v>98.815727143533877</v>
      </c>
      <c r="J304" s="4">
        <f t="shared" si="72"/>
        <v>135.03381252433203</v>
      </c>
      <c r="K304" s="4">
        <f t="shared" si="73"/>
        <v>90.96369752304399</v>
      </c>
      <c r="L304" s="4">
        <f t="shared" si="74"/>
        <v>100.06271301976824</v>
      </c>
      <c r="M304" s="4">
        <f t="shared" si="75"/>
        <v>110.63229927821348</v>
      </c>
      <c r="N304" s="4">
        <f t="shared" si="76"/>
        <v>103.28358208955221</v>
      </c>
      <c r="O304" s="4">
        <f t="shared" si="77"/>
        <v>120.97405502124803</v>
      </c>
      <c r="P304" s="4">
        <f t="shared" si="78"/>
        <v>90.410314077250959</v>
      </c>
      <c r="Q304" s="4">
        <f t="shared" si="79"/>
        <v>88.663721262467263</v>
      </c>
      <c r="R304" s="4">
        <f t="shared" si="80"/>
        <v>105.64340001747181</v>
      </c>
      <c r="S304" s="4">
        <f t="shared" si="81"/>
        <v>111.88654599738759</v>
      </c>
      <c r="T304" s="4">
        <f t="shared" si="82"/>
        <v>130.42375031717836</v>
      </c>
      <c r="U304" s="4">
        <f t="shared" si="83"/>
        <v>113.41026783656282</v>
      </c>
      <c r="V304" s="4">
        <f t="shared" si="84"/>
        <v>100.3746440881163</v>
      </c>
      <c r="W304" s="4">
        <f t="shared" si="85"/>
        <v>95.533453887884264</v>
      </c>
      <c r="X304" s="4">
        <f t="shared" si="86"/>
        <v>118.99565110363504</v>
      </c>
      <c r="Y304" s="4">
        <f t="shared" si="87"/>
        <v>103.06393753956533</v>
      </c>
      <c r="Z304" s="4">
        <f t="shared" si="88"/>
        <v>143.41612793467166</v>
      </c>
      <c r="AA304" s="4">
        <f t="shared" si="89"/>
        <v>112.70638908829864</v>
      </c>
      <c r="AB304" s="4">
        <f t="shared" si="90"/>
        <v>88.571428571428569</v>
      </c>
      <c r="AC304" s="4">
        <f t="shared" si="91"/>
        <v>96.617268041237111</v>
      </c>
      <c r="AD304" s="4">
        <f t="shared" si="92"/>
        <v>91.82515849182515</v>
      </c>
      <c r="AE304" s="4">
        <f t="shared" si="93"/>
        <v>95.82920983233322</v>
      </c>
      <c r="AF304" s="4">
        <f t="shared" si="94"/>
        <v>101.58158505629922</v>
      </c>
      <c r="AG304" s="4">
        <f t="shared" si="95"/>
        <v>101.43633540372672</v>
      </c>
      <c r="AH304" s="4">
        <f t="shared" si="96"/>
        <v>113.64809795135626</v>
      </c>
      <c r="AI304" s="4">
        <f t="shared" si="97"/>
        <v>116.83486909463214</v>
      </c>
      <c r="AJ304" s="4">
        <f t="shared" si="98"/>
        <v>107.324683856134</v>
      </c>
      <c r="AK304" s="4">
        <f t="shared" si="99"/>
        <v>116.47523698380525</v>
      </c>
      <c r="AL304" s="4">
        <f t="shared" si="100"/>
        <v>115.78613391193988</v>
      </c>
      <c r="AM304" s="4">
        <f t="shared" si="101"/>
        <v>87.966270753602473</v>
      </c>
      <c r="AN304" s="4">
        <f t="shared" si="102"/>
        <v>131.26963724650099</v>
      </c>
      <c r="AO304" s="4">
        <f t="shared" si="103"/>
        <v>131.93454309786131</v>
      </c>
      <c r="AP304" s="4">
        <f t="shared" si="104"/>
        <v>116.84796357197065</v>
      </c>
      <c r="AQ304" s="4">
        <f t="shared" si="105"/>
        <v>99.011063180444296</v>
      </c>
      <c r="AR304" s="4">
        <f t="shared" si="106"/>
        <v>98.482767641096075</v>
      </c>
      <c r="AS304" s="4">
        <f t="shared" si="107"/>
        <v>98.267896033054484</v>
      </c>
      <c r="AT304" s="4">
        <f t="shared" si="108"/>
        <v>121.09194319291454</v>
      </c>
      <c r="AU304" s="4">
        <f t="shared" si="109"/>
        <v>119.40671520156474</v>
      </c>
      <c r="AV304" s="4">
        <f t="shared" si="110"/>
        <v>93.739956172388602</v>
      </c>
      <c r="AW304" s="4">
        <f t="shared" si="111"/>
        <v>101.2606498022393</v>
      </c>
      <c r="AX304" s="4">
        <f t="shared" si="112"/>
        <v>89.962863626985779</v>
      </c>
    </row>
    <row r="305" spans="1:50" ht="14.25" customHeight="1" x14ac:dyDescent="0.3">
      <c r="A305" s="2">
        <v>45839</v>
      </c>
      <c r="B305" s="4">
        <f t="shared" si="64"/>
        <v>125.15046059365405</v>
      </c>
      <c r="C305" s="4">
        <f t="shared" si="65"/>
        <v>112.86432273553369</v>
      </c>
      <c r="D305" s="4">
        <f t="shared" si="66"/>
        <v>126.55261013975058</v>
      </c>
      <c r="E305" s="4">
        <f t="shared" si="67"/>
        <v>83.397974443458281</v>
      </c>
      <c r="F305" s="4">
        <f t="shared" si="68"/>
        <v>111.55688855996573</v>
      </c>
      <c r="G305" s="4">
        <f t="shared" si="69"/>
        <v>103.41654059505798</v>
      </c>
      <c r="H305" s="4">
        <f t="shared" si="70"/>
        <v>85.354581673306768</v>
      </c>
      <c r="I305" s="4">
        <f t="shared" si="71"/>
        <v>98.854485164290949</v>
      </c>
      <c r="J305" s="4">
        <f t="shared" si="72"/>
        <v>135.05544100471499</v>
      </c>
      <c r="K305" s="4">
        <f t="shared" si="73"/>
        <v>90.668821807697356</v>
      </c>
      <c r="L305" s="4">
        <f t="shared" si="74"/>
        <v>99.978186775732766</v>
      </c>
      <c r="M305" s="4">
        <f t="shared" si="75"/>
        <v>111.00702158222033</v>
      </c>
      <c r="N305" s="4">
        <f t="shared" si="76"/>
        <v>103.0532121998702</v>
      </c>
      <c r="O305" s="4">
        <f t="shared" si="77"/>
        <v>122.09796466114962</v>
      </c>
      <c r="P305" s="4">
        <f t="shared" si="78"/>
        <v>89.871597060592578</v>
      </c>
      <c r="Q305" s="4">
        <f t="shared" si="79"/>
        <v>88.21397391465382</v>
      </c>
      <c r="R305" s="4">
        <f t="shared" si="80"/>
        <v>106.66550187822136</v>
      </c>
      <c r="S305" s="4">
        <f t="shared" si="81"/>
        <v>109.47005038253405</v>
      </c>
      <c r="T305" s="4">
        <f t="shared" si="82"/>
        <v>130.28419182948488</v>
      </c>
      <c r="U305" s="4">
        <f t="shared" si="83"/>
        <v>113.72681592574952</v>
      </c>
      <c r="V305" s="4">
        <f t="shared" si="84"/>
        <v>99.685298965982327</v>
      </c>
      <c r="W305" s="4">
        <f t="shared" si="85"/>
        <v>94.394213381555161</v>
      </c>
      <c r="X305" s="4">
        <f t="shared" si="86"/>
        <v>118.73307622876837</v>
      </c>
      <c r="Y305" s="4">
        <f t="shared" si="87"/>
        <v>102.70943236969825</v>
      </c>
      <c r="Z305" s="4">
        <f t="shared" si="88"/>
        <v>147.07383463763188</v>
      </c>
      <c r="AA305" s="4">
        <f t="shared" si="89"/>
        <v>113.71141421392676</v>
      </c>
      <c r="AB305" s="4">
        <f t="shared" si="90"/>
        <v>88.095238095238088</v>
      </c>
      <c r="AC305" s="4">
        <f t="shared" si="91"/>
        <v>95.860180412371136</v>
      </c>
      <c r="AD305" s="4">
        <f t="shared" si="92"/>
        <v>91.264597931264575</v>
      </c>
      <c r="AE305" s="4">
        <f t="shared" si="93"/>
        <v>96.092351167832689</v>
      </c>
      <c r="AF305" s="4">
        <f t="shared" si="94"/>
        <v>102.81387629358036</v>
      </c>
      <c r="AG305" s="4">
        <f t="shared" si="95"/>
        <v>100.86697722567288</v>
      </c>
      <c r="AH305" s="4">
        <f t="shared" si="96"/>
        <v>111.10342792867549</v>
      </c>
      <c r="AI305" s="4">
        <f t="shared" si="97"/>
        <v>117.05426356589146</v>
      </c>
      <c r="AJ305" s="4">
        <f t="shared" si="98"/>
        <v>108.26079816061751</v>
      </c>
      <c r="AK305" s="4">
        <f t="shared" si="99"/>
        <v>116.62264807648997</v>
      </c>
      <c r="AL305" s="4">
        <f t="shared" si="100"/>
        <v>116.99383865883364</v>
      </c>
      <c r="AM305" s="4">
        <f t="shared" si="101"/>
        <v>86.926379977504396</v>
      </c>
      <c r="AN305" s="4">
        <f t="shared" si="102"/>
        <v>132.99771493858896</v>
      </c>
      <c r="AO305" s="4">
        <f t="shared" si="103"/>
        <v>131.22164614387555</v>
      </c>
      <c r="AP305" s="4">
        <f t="shared" si="104"/>
        <v>117.09250358377601</v>
      </c>
      <c r="AQ305" s="4">
        <f t="shared" si="105"/>
        <v>98.083751503946942</v>
      </c>
      <c r="AR305" s="4">
        <f t="shared" si="106"/>
        <v>99.123667516839973</v>
      </c>
      <c r="AS305" s="4">
        <f t="shared" si="107"/>
        <v>101.71446405188848</v>
      </c>
      <c r="AT305" s="4">
        <f t="shared" si="108"/>
        <v>119.31029756908163</v>
      </c>
      <c r="AU305" s="4">
        <f t="shared" si="109"/>
        <v>119.04813647723567</v>
      </c>
      <c r="AV305" s="4">
        <f t="shared" si="110"/>
        <v>93.265157048940836</v>
      </c>
      <c r="AW305" s="4">
        <f t="shared" si="111"/>
        <v>100.99537562584391</v>
      </c>
      <c r="AX305" s="4">
        <f t="shared" si="112"/>
        <v>90.684959768929247</v>
      </c>
    </row>
    <row r="306" spans="1:50" ht="14.25" customHeight="1" x14ac:dyDescent="0.3">
      <c r="A306" s="2">
        <v>45840</v>
      </c>
      <c r="B306" s="4">
        <f t="shared" si="64"/>
        <v>124.36438075742066</v>
      </c>
      <c r="C306" s="4">
        <f t="shared" si="65"/>
        <v>111.40030065740763</v>
      </c>
      <c r="D306" s="4">
        <f t="shared" si="66"/>
        <v>127.42370119696685</v>
      </c>
      <c r="E306" s="4">
        <f t="shared" si="67"/>
        <v>83.242349451057166</v>
      </c>
      <c r="F306" s="4">
        <f t="shared" si="68"/>
        <v>111.22969656837923</v>
      </c>
      <c r="G306" s="4">
        <f t="shared" si="69"/>
        <v>102.48361069087241</v>
      </c>
      <c r="H306" s="4">
        <f t="shared" si="70"/>
        <v>85.551128818061088</v>
      </c>
      <c r="I306" s="4">
        <f t="shared" si="71"/>
        <v>99.354032987382126</v>
      </c>
      <c r="J306" s="4">
        <f t="shared" si="72"/>
        <v>133.08724928986487</v>
      </c>
      <c r="K306" s="4">
        <f t="shared" si="73"/>
        <v>90.199204927700833</v>
      </c>
      <c r="L306" s="4">
        <f t="shared" si="74"/>
        <v>98.072256305385139</v>
      </c>
      <c r="M306" s="4">
        <f t="shared" si="75"/>
        <v>112.61297431367825</v>
      </c>
      <c r="N306" s="4">
        <f t="shared" si="76"/>
        <v>102.69954574951331</v>
      </c>
      <c r="O306" s="4">
        <f t="shared" si="77"/>
        <v>121.28718407515096</v>
      </c>
      <c r="P306" s="4">
        <f t="shared" si="78"/>
        <v>89.887287847485553</v>
      </c>
      <c r="Q306" s="4">
        <f t="shared" si="79"/>
        <v>88.758961877298333</v>
      </c>
      <c r="R306" s="4">
        <f t="shared" si="80"/>
        <v>108.63981829300253</v>
      </c>
      <c r="S306" s="4">
        <f t="shared" si="81"/>
        <v>109.65665236051503</v>
      </c>
      <c r="T306" s="4">
        <f t="shared" si="82"/>
        <v>127.37249429078912</v>
      </c>
      <c r="U306" s="4">
        <f t="shared" si="83"/>
        <v>113.9573121071961</v>
      </c>
      <c r="V306" s="4">
        <f t="shared" si="84"/>
        <v>100.02997152704931</v>
      </c>
      <c r="W306" s="4">
        <f t="shared" si="85"/>
        <v>93.942133815551557</v>
      </c>
      <c r="X306" s="4">
        <f t="shared" si="86"/>
        <v>118.47870681874129</v>
      </c>
      <c r="Y306" s="4">
        <f t="shared" si="87"/>
        <v>101.73876345220512</v>
      </c>
      <c r="Z306" s="4">
        <f t="shared" si="88"/>
        <v>145.2705001701259</v>
      </c>
      <c r="AA306" s="4">
        <f t="shared" si="89"/>
        <v>117.057816555304</v>
      </c>
      <c r="AB306" s="4">
        <f t="shared" si="90"/>
        <v>88.911088911088896</v>
      </c>
      <c r="AC306" s="4">
        <f t="shared" si="91"/>
        <v>94.99033505154641</v>
      </c>
      <c r="AD306" s="4">
        <f t="shared" si="92"/>
        <v>91.898565231898559</v>
      </c>
      <c r="AE306" s="4">
        <f t="shared" si="93"/>
        <v>95.606111743540168</v>
      </c>
      <c r="AF306" s="4">
        <f t="shared" si="94"/>
        <v>104.97906406612718</v>
      </c>
      <c r="AG306" s="4">
        <f t="shared" si="95"/>
        <v>100.12939958592133</v>
      </c>
      <c r="AH306" s="4">
        <f t="shared" si="96"/>
        <v>110.08463793771092</v>
      </c>
      <c r="AI306" s="4">
        <f t="shared" si="97"/>
        <v>121.31051630832235</v>
      </c>
      <c r="AJ306" s="4">
        <f t="shared" si="98"/>
        <v>107.3082607981606</v>
      </c>
      <c r="AK306" s="4">
        <f t="shared" si="99"/>
        <v>116.69225887025776</v>
      </c>
      <c r="AL306" s="4">
        <f t="shared" si="100"/>
        <v>117.13712566270237</v>
      </c>
      <c r="AM306" s="4">
        <f t="shared" si="101"/>
        <v>88.037011622724805</v>
      </c>
      <c r="AN306" s="4">
        <f t="shared" si="102"/>
        <v>132.59068837475004</v>
      </c>
      <c r="AO306" s="4">
        <f t="shared" si="103"/>
        <v>127.94880103694102</v>
      </c>
      <c r="AP306" s="4">
        <f t="shared" si="104"/>
        <v>117.77552913399106</v>
      </c>
      <c r="AQ306" s="4">
        <f t="shared" si="105"/>
        <v>98.430026117322527</v>
      </c>
      <c r="AR306" s="4">
        <f t="shared" si="106"/>
        <v>97.939964685108876</v>
      </c>
      <c r="AS306" s="4">
        <f t="shared" si="107"/>
        <v>100.96815995332207</v>
      </c>
      <c r="AT306" s="4">
        <f t="shared" si="108"/>
        <v>115.96114642043412</v>
      </c>
      <c r="AU306" s="4">
        <f t="shared" si="109"/>
        <v>119.06986852113441</v>
      </c>
      <c r="AV306" s="4">
        <f t="shared" si="110"/>
        <v>92.826880934989049</v>
      </c>
      <c r="AW306" s="4">
        <f t="shared" si="111"/>
        <v>101.41838039360951</v>
      </c>
      <c r="AX306" s="4">
        <f t="shared" si="112"/>
        <v>88.472250876831041</v>
      </c>
    </row>
    <row r="307" spans="1:50" ht="14.25" customHeight="1" x14ac:dyDescent="0.3">
      <c r="A307" s="2">
        <v>45841</v>
      </c>
      <c r="B307" s="4">
        <f t="shared" si="64"/>
        <v>124.28249744114635</v>
      </c>
      <c r="C307" s="4">
        <f t="shared" si="65"/>
        <v>111.46200273732865</v>
      </c>
      <c r="D307" s="4">
        <f t="shared" si="66"/>
        <v>126.54634329761234</v>
      </c>
      <c r="E307" s="4">
        <f t="shared" si="67"/>
        <v>82.695230337146967</v>
      </c>
      <c r="F307" s="4">
        <f t="shared" si="68"/>
        <v>111.08168114361392</v>
      </c>
      <c r="G307" s="4">
        <f t="shared" si="69"/>
        <v>101.75239536056479</v>
      </c>
      <c r="H307" s="4">
        <f t="shared" si="70"/>
        <v>85.986719787516591</v>
      </c>
      <c r="I307" s="4">
        <f t="shared" si="71"/>
        <v>99.625339132681631</v>
      </c>
      <c r="J307" s="4">
        <f t="shared" si="72"/>
        <v>131.2344094703906</v>
      </c>
      <c r="K307" s="4">
        <f t="shared" si="73"/>
        <v>90.286575510025784</v>
      </c>
      <c r="L307" s="4">
        <f t="shared" si="74"/>
        <v>97.693251533742327</v>
      </c>
      <c r="M307" s="4">
        <f t="shared" si="75"/>
        <v>113.77282906417565</v>
      </c>
      <c r="N307" s="4">
        <f t="shared" si="76"/>
        <v>102.99805321219986</v>
      </c>
      <c r="O307" s="4">
        <f t="shared" si="77"/>
        <v>118.91075821963764</v>
      </c>
      <c r="P307" s="4">
        <f t="shared" si="78"/>
        <v>89.536860273542715</v>
      </c>
      <c r="Q307" s="4">
        <f t="shared" si="79"/>
        <v>88.875367073202995</v>
      </c>
      <c r="R307" s="4">
        <f t="shared" si="80"/>
        <v>108.30785358609243</v>
      </c>
      <c r="S307" s="4">
        <f t="shared" si="81"/>
        <v>109.26478820675499</v>
      </c>
      <c r="T307" s="4">
        <f t="shared" si="82"/>
        <v>125.64704389748795</v>
      </c>
      <c r="U307" s="4">
        <f t="shared" si="83"/>
        <v>113.05684035834473</v>
      </c>
      <c r="V307" s="4">
        <f t="shared" si="84"/>
        <v>100.2847295069684</v>
      </c>
      <c r="W307" s="4">
        <f t="shared" si="85"/>
        <v>94.339963833634741</v>
      </c>
      <c r="X307" s="4">
        <f t="shared" si="86"/>
        <v>117.42840731927464</v>
      </c>
      <c r="Y307" s="4">
        <f t="shared" si="87"/>
        <v>102.99641274530494</v>
      </c>
      <c r="Z307" s="4">
        <f t="shared" si="88"/>
        <v>145.03232391970059</v>
      </c>
      <c r="AA307" s="4">
        <f t="shared" si="89"/>
        <v>115.53371251863713</v>
      </c>
      <c r="AB307" s="4">
        <f t="shared" si="90"/>
        <v>88.927738927738915</v>
      </c>
      <c r="AC307" s="4">
        <f t="shared" si="91"/>
        <v>94.619845360824755</v>
      </c>
      <c r="AD307" s="4">
        <f t="shared" si="92"/>
        <v>92.14547881214547</v>
      </c>
      <c r="AE307" s="4">
        <f t="shared" si="93"/>
        <v>95.903575861930889</v>
      </c>
      <c r="AF307" s="4">
        <f t="shared" si="94"/>
        <v>105.47805523615298</v>
      </c>
      <c r="AG307" s="4">
        <f t="shared" si="95"/>
        <v>100.01293995859213</v>
      </c>
      <c r="AH307" s="4">
        <f t="shared" si="96"/>
        <v>110.10307757555644</v>
      </c>
      <c r="AI307" s="4">
        <f t="shared" si="97"/>
        <v>121.33245575544829</v>
      </c>
      <c r="AJ307" s="4">
        <f t="shared" si="98"/>
        <v>106.76629988503859</v>
      </c>
      <c r="AK307" s="4">
        <f t="shared" si="99"/>
        <v>115.37374854124438</v>
      </c>
      <c r="AL307" s="4">
        <f t="shared" si="100"/>
        <v>117.00407344482426</v>
      </c>
      <c r="AM307" s="4">
        <f t="shared" si="101"/>
        <v>87.591344147254205</v>
      </c>
      <c r="AN307" s="4">
        <f t="shared" si="102"/>
        <v>129.26306769494428</v>
      </c>
      <c r="AO307" s="4">
        <f t="shared" si="103"/>
        <v>127.32501620220351</v>
      </c>
      <c r="AP307" s="4">
        <f t="shared" si="104"/>
        <v>116.84796357197065</v>
      </c>
      <c r="AQ307" s="4">
        <f t="shared" si="105"/>
        <v>98.124834932652533</v>
      </c>
      <c r="AR307" s="4">
        <f t="shared" si="106"/>
        <v>98.665881891308615</v>
      </c>
      <c r="AS307" s="4">
        <f t="shared" si="107"/>
        <v>102.65073646645364</v>
      </c>
      <c r="AT307" s="4">
        <f t="shared" si="108"/>
        <v>115.70417830161206</v>
      </c>
      <c r="AU307" s="4">
        <f t="shared" si="109"/>
        <v>118.3744431163751</v>
      </c>
      <c r="AV307" s="4">
        <f t="shared" si="110"/>
        <v>94.324324324324323</v>
      </c>
      <c r="AW307" s="4">
        <f t="shared" si="111"/>
        <v>103.01719502431681</v>
      </c>
      <c r="AX307" s="4">
        <f t="shared" si="112"/>
        <v>88.962244687435543</v>
      </c>
    </row>
    <row r="308" spans="1:50" ht="14.25" customHeight="1" x14ac:dyDescent="0.3">
      <c r="A308" s="2">
        <v>45842</v>
      </c>
      <c r="B308" s="4">
        <f t="shared" si="64"/>
        <v>125.06038894575229</v>
      </c>
      <c r="C308" s="4">
        <f t="shared" si="65"/>
        <v>111.58540689717069</v>
      </c>
      <c r="D308" s="4">
        <f t="shared" si="66"/>
        <v>126.41473961270917</v>
      </c>
      <c r="E308" s="4">
        <f t="shared" si="67"/>
        <v>83.157242033337781</v>
      </c>
      <c r="F308" s="4">
        <f t="shared" si="68"/>
        <v>112.39823939547382</v>
      </c>
      <c r="G308" s="4">
        <f t="shared" si="69"/>
        <v>102.35123550176502</v>
      </c>
      <c r="H308" s="4">
        <f t="shared" si="70"/>
        <v>87.155378486055781</v>
      </c>
      <c r="I308" s="4">
        <f t="shared" si="71"/>
        <v>100.7407088411352</v>
      </c>
      <c r="J308" s="4">
        <f t="shared" si="72"/>
        <v>133.41888598907042</v>
      </c>
      <c r="K308" s="4">
        <f t="shared" si="73"/>
        <v>90.111834345375925</v>
      </c>
      <c r="L308" s="4">
        <f t="shared" si="74"/>
        <v>98.012269938650292</v>
      </c>
      <c r="M308" s="4">
        <f t="shared" si="75"/>
        <v>112.82710134453933</v>
      </c>
      <c r="N308" s="4">
        <f t="shared" si="76"/>
        <v>102.61194029850745</v>
      </c>
      <c r="O308" s="4">
        <f t="shared" si="77"/>
        <v>119.0896891075822</v>
      </c>
      <c r="P308" s="4">
        <f t="shared" si="78"/>
        <v>90.269096995214312</v>
      </c>
      <c r="Q308" s="4">
        <f t="shared" si="79"/>
        <v>88.695468134077615</v>
      </c>
      <c r="R308" s="4">
        <f t="shared" si="80"/>
        <v>109.25133222678431</v>
      </c>
      <c r="S308" s="4">
        <f t="shared" si="81"/>
        <v>109.87124463519314</v>
      </c>
      <c r="T308" s="4">
        <f t="shared" si="82"/>
        <v>126.51611266176097</v>
      </c>
      <c r="U308" s="4">
        <f t="shared" si="83"/>
        <v>113.30884951672635</v>
      </c>
      <c r="V308" s="4">
        <f t="shared" si="84"/>
        <v>100.55447325041212</v>
      </c>
      <c r="W308" s="4">
        <f t="shared" si="85"/>
        <v>94.538878842676311</v>
      </c>
      <c r="X308" s="4">
        <f t="shared" si="86"/>
        <v>116.87864117502258</v>
      </c>
      <c r="Y308" s="4">
        <f t="shared" si="87"/>
        <v>103.49862840261659</v>
      </c>
      <c r="Z308" s="4">
        <f t="shared" si="88"/>
        <v>145.47465124191905</v>
      </c>
      <c r="AA308" s="4">
        <f t="shared" si="89"/>
        <v>115.01463360759846</v>
      </c>
      <c r="AB308" s="4">
        <f t="shared" si="90"/>
        <v>89.926739926739913</v>
      </c>
      <c r="AC308" s="4">
        <f t="shared" si="91"/>
        <v>94.716494845360828</v>
      </c>
      <c r="AD308" s="4">
        <f t="shared" si="92"/>
        <v>91.965298631965283</v>
      </c>
      <c r="AE308" s="4">
        <f t="shared" si="93"/>
        <v>96.481342707266705</v>
      </c>
      <c r="AF308" s="4">
        <f t="shared" si="94"/>
        <v>105.1873386414423</v>
      </c>
      <c r="AG308" s="4">
        <f t="shared" si="95"/>
        <v>99.92236024844722</v>
      </c>
      <c r="AH308" s="4">
        <f t="shared" si="96"/>
        <v>110.30591359185709</v>
      </c>
      <c r="AI308" s="4">
        <f t="shared" si="97"/>
        <v>119.21164253327481</v>
      </c>
      <c r="AJ308" s="4">
        <f t="shared" si="98"/>
        <v>106.7334537690918</v>
      </c>
      <c r="AK308" s="4">
        <f t="shared" si="99"/>
        <v>114.89466249001903</v>
      </c>
      <c r="AL308" s="4">
        <f t="shared" si="100"/>
        <v>115.22322068245552</v>
      </c>
      <c r="AM308" s="4">
        <f t="shared" si="101"/>
        <v>77.192436386273442</v>
      </c>
      <c r="AN308" s="4">
        <f t="shared" si="102"/>
        <v>128.51328191945157</v>
      </c>
      <c r="AO308" s="4">
        <f t="shared" si="103"/>
        <v>127.20349967595594</v>
      </c>
      <c r="AP308" s="4">
        <f t="shared" si="104"/>
        <v>117.96104224639514</v>
      </c>
      <c r="AQ308" s="4">
        <f t="shared" si="105"/>
        <v>97.144701704962301</v>
      </c>
      <c r="AR308" s="4">
        <f t="shared" si="106"/>
        <v>98.96671244522922</v>
      </c>
      <c r="AS308" s="4">
        <f t="shared" si="107"/>
        <v>102.49469106402611</v>
      </c>
      <c r="AT308" s="4">
        <f t="shared" si="108"/>
        <v>115.83266236102307</v>
      </c>
      <c r="AU308" s="4">
        <f t="shared" si="109"/>
        <v>118.40704118222321</v>
      </c>
      <c r="AV308" s="4">
        <f t="shared" si="110"/>
        <v>95.500365230094971</v>
      </c>
      <c r="AW308" s="4">
        <f t="shared" si="111"/>
        <v>103.83930598539797</v>
      </c>
      <c r="AX308" s="4">
        <f t="shared" si="112"/>
        <v>88.327831648442356</v>
      </c>
    </row>
    <row r="309" spans="1:50" ht="14.25" customHeight="1" x14ac:dyDescent="0.3">
      <c r="A309" s="2">
        <v>45845</v>
      </c>
      <c r="B309" s="4">
        <f t="shared" si="64"/>
        <v>126.2231320368475</v>
      </c>
      <c r="C309" s="4">
        <f t="shared" si="65"/>
        <v>111.47883057730709</v>
      </c>
      <c r="D309" s="4">
        <f t="shared" si="66"/>
        <v>127.46130224979633</v>
      </c>
      <c r="E309" s="4">
        <f t="shared" si="67"/>
        <v>82.960279152330102</v>
      </c>
      <c r="F309" s="4">
        <f t="shared" si="68"/>
        <v>111.84512912398239</v>
      </c>
      <c r="G309" s="4">
        <f t="shared" si="69"/>
        <v>101.72087745839637</v>
      </c>
      <c r="H309" s="4">
        <f t="shared" si="70"/>
        <v>86.427622841965459</v>
      </c>
      <c r="I309" s="4">
        <f t="shared" si="71"/>
        <v>103.80259248094399</v>
      </c>
      <c r="J309" s="4">
        <f t="shared" si="72"/>
        <v>133.32516257407752</v>
      </c>
      <c r="K309" s="4">
        <f t="shared" si="73"/>
        <v>90.898169586300284</v>
      </c>
      <c r="L309" s="4">
        <f t="shared" si="74"/>
        <v>97.652351738241308</v>
      </c>
      <c r="M309" s="4">
        <f t="shared" si="75"/>
        <v>111.70293443251876</v>
      </c>
      <c r="N309" s="4">
        <f t="shared" si="76"/>
        <v>102.5373134328358</v>
      </c>
      <c r="O309" s="4">
        <f t="shared" si="77"/>
        <v>120.20800715723551</v>
      </c>
      <c r="P309" s="4">
        <f t="shared" si="78"/>
        <v>89.458406339077897</v>
      </c>
      <c r="Q309" s="4">
        <f t="shared" si="79"/>
        <v>88.885949363739783</v>
      </c>
      <c r="R309" s="4">
        <f t="shared" si="80"/>
        <v>107.84485017908622</v>
      </c>
      <c r="S309" s="4">
        <f t="shared" si="81"/>
        <v>109.63799216271693</v>
      </c>
      <c r="T309" s="4">
        <f t="shared" si="82"/>
        <v>127.27734077645268</v>
      </c>
      <c r="U309" s="4">
        <f t="shared" si="83"/>
        <v>112.66960677351446</v>
      </c>
      <c r="V309" s="4">
        <f t="shared" si="84"/>
        <v>101.13891802787352</v>
      </c>
      <c r="W309" s="4">
        <f t="shared" si="85"/>
        <v>93.508137432188065</v>
      </c>
      <c r="X309" s="4">
        <f t="shared" si="86"/>
        <v>117.79765323705588</v>
      </c>
      <c r="Y309" s="4">
        <f t="shared" si="87"/>
        <v>101.92867693606247</v>
      </c>
      <c r="Z309" s="4">
        <f t="shared" si="88"/>
        <v>141.91902007485541</v>
      </c>
      <c r="AA309" s="4">
        <f t="shared" si="89"/>
        <v>115.14716439339554</v>
      </c>
      <c r="AB309" s="4">
        <f t="shared" si="90"/>
        <v>89.160839160839146</v>
      </c>
      <c r="AC309" s="4">
        <f t="shared" si="91"/>
        <v>95.328608247422693</v>
      </c>
      <c r="AD309" s="4">
        <f t="shared" si="92"/>
        <v>91.938605271938599</v>
      </c>
      <c r="AE309" s="4">
        <f t="shared" si="93"/>
        <v>96.83029099999429</v>
      </c>
      <c r="AF309" s="4">
        <f t="shared" si="94"/>
        <v>105.99440262078841</v>
      </c>
      <c r="AG309" s="4">
        <f t="shared" si="95"/>
        <v>99.443581780538295</v>
      </c>
      <c r="AH309" s="4">
        <f t="shared" si="96"/>
        <v>111.65661706404086</v>
      </c>
      <c r="AI309" s="4">
        <f t="shared" si="97"/>
        <v>118.76554044171421</v>
      </c>
      <c r="AJ309" s="4">
        <f t="shared" si="98"/>
        <v>107.75168336344227</v>
      </c>
      <c r="AK309" s="4">
        <f t="shared" si="99"/>
        <v>113.79726880003274</v>
      </c>
      <c r="AL309" s="4">
        <f t="shared" si="100"/>
        <v>116.31834278345239</v>
      </c>
      <c r="AM309" s="4">
        <f t="shared" si="101"/>
        <v>77.800807860725385</v>
      </c>
      <c r="AN309" s="4">
        <f t="shared" si="102"/>
        <v>129.12739217366465</v>
      </c>
      <c r="AO309" s="4">
        <f t="shared" si="103"/>
        <v>127.90829552819183</v>
      </c>
      <c r="AP309" s="4">
        <f t="shared" si="104"/>
        <v>116.72147735896785</v>
      </c>
      <c r="AQ309" s="4">
        <f t="shared" si="105"/>
        <v>95.307685535698567</v>
      </c>
      <c r="AR309" s="4">
        <f t="shared" si="106"/>
        <v>98.78359819501668</v>
      </c>
      <c r="AS309" s="4">
        <f t="shared" si="107"/>
        <v>103.34276390330612</v>
      </c>
      <c r="AT309" s="4">
        <f t="shared" si="108"/>
        <v>115.00179877683175</v>
      </c>
      <c r="AU309" s="4">
        <f t="shared" si="109"/>
        <v>119.73269586004567</v>
      </c>
      <c r="AV309" s="4">
        <f t="shared" si="110"/>
        <v>95.726807888970058</v>
      </c>
      <c r="AW309" s="4">
        <f t="shared" si="111"/>
        <v>102.93116015629667</v>
      </c>
      <c r="AX309" s="4">
        <f t="shared" si="112"/>
        <v>88.142149783371167</v>
      </c>
    </row>
    <row r="310" spans="1:50" ht="14.25" customHeight="1" x14ac:dyDescent="0.3">
      <c r="A310" s="2">
        <v>45846</v>
      </c>
      <c r="B310" s="4">
        <f t="shared" si="64"/>
        <v>125.90378710337767</v>
      </c>
      <c r="C310" s="4">
        <f t="shared" si="65"/>
        <v>112.26412977630193</v>
      </c>
      <c r="D310" s="4">
        <f t="shared" si="66"/>
        <v>127.2168954064047</v>
      </c>
      <c r="E310" s="4">
        <f t="shared" si="67"/>
        <v>82.826538924485391</v>
      </c>
      <c r="F310" s="4">
        <f t="shared" si="68"/>
        <v>112.33591711136212</v>
      </c>
      <c r="G310" s="4">
        <f t="shared" si="69"/>
        <v>102.45209278870398</v>
      </c>
      <c r="H310" s="4">
        <f t="shared" si="70"/>
        <v>87.049136786188569</v>
      </c>
      <c r="I310" s="4">
        <f t="shared" si="71"/>
        <v>103.04035140605488</v>
      </c>
      <c r="J310" s="4">
        <f t="shared" si="72"/>
        <v>133.75773218173691</v>
      </c>
      <c r="K310" s="4">
        <f t="shared" si="73"/>
        <v>91.127517364903227</v>
      </c>
      <c r="L310" s="4">
        <f t="shared" si="74"/>
        <v>98.334014996591691</v>
      </c>
      <c r="M310" s="4">
        <f t="shared" si="75"/>
        <v>110.75720671288242</v>
      </c>
      <c r="N310" s="4">
        <f t="shared" si="76"/>
        <v>102.46268656716417</v>
      </c>
      <c r="O310" s="4">
        <f t="shared" si="77"/>
        <v>124.38492507269065</v>
      </c>
      <c r="P310" s="4">
        <f t="shared" si="78"/>
        <v>89.33811030623184</v>
      </c>
      <c r="Q310" s="4">
        <f t="shared" si="79"/>
        <v>88.494404613878672</v>
      </c>
      <c r="R310" s="4">
        <f t="shared" si="80"/>
        <v>108.71844151306018</v>
      </c>
      <c r="S310" s="4">
        <f t="shared" si="81"/>
        <v>108.73297256950927</v>
      </c>
      <c r="T310" s="4">
        <f t="shared" si="82"/>
        <v>128.03222532352194</v>
      </c>
      <c r="U310" s="4">
        <f t="shared" si="83"/>
        <v>105.76086789495523</v>
      </c>
      <c r="V310" s="4">
        <f t="shared" si="84"/>
        <v>102.86228083320846</v>
      </c>
      <c r="W310" s="4">
        <f t="shared" si="85"/>
        <v>95.298372513562384</v>
      </c>
      <c r="X310" s="4">
        <f t="shared" si="86"/>
        <v>118.85615820136211</v>
      </c>
      <c r="Y310" s="4">
        <f t="shared" si="87"/>
        <v>102.6545684743617</v>
      </c>
      <c r="Z310" s="4">
        <f t="shared" si="88"/>
        <v>143.58625382783262</v>
      </c>
      <c r="AA310" s="4">
        <f t="shared" si="89"/>
        <v>115.41222596498977</v>
      </c>
      <c r="AB310" s="4">
        <f t="shared" si="90"/>
        <v>89.793539793539793</v>
      </c>
      <c r="AC310" s="4">
        <f t="shared" si="91"/>
        <v>95.924613402061865</v>
      </c>
      <c r="AD310" s="4">
        <f t="shared" si="92"/>
        <v>92.519185852519186</v>
      </c>
      <c r="AE310" s="4">
        <f t="shared" si="93"/>
        <v>95.411615973823146</v>
      </c>
      <c r="AF310" s="4">
        <f t="shared" si="94"/>
        <v>107.80812704749093</v>
      </c>
      <c r="AG310" s="4">
        <f t="shared" si="95"/>
        <v>99.081262939958592</v>
      </c>
      <c r="AH310" s="4">
        <f t="shared" si="96"/>
        <v>111.46300086666301</v>
      </c>
      <c r="AI310" s="4">
        <f t="shared" si="97"/>
        <v>118.45107503290915</v>
      </c>
      <c r="AJ310" s="4">
        <f t="shared" si="98"/>
        <v>108.01445229101658</v>
      </c>
      <c r="AK310" s="4">
        <f t="shared" si="99"/>
        <v>115.50478062363081</v>
      </c>
      <c r="AL310" s="4">
        <f t="shared" si="100"/>
        <v>116.25693406750864</v>
      </c>
      <c r="AM310" s="4">
        <f t="shared" si="101"/>
        <v>76.966065605082036</v>
      </c>
      <c r="AN310" s="4">
        <f t="shared" si="102"/>
        <v>129.74150242787775</v>
      </c>
      <c r="AO310" s="4">
        <f t="shared" si="103"/>
        <v>128.66979909267661</v>
      </c>
      <c r="AP310" s="4">
        <f t="shared" si="104"/>
        <v>115.62526351294376</v>
      </c>
      <c r="AQ310" s="4">
        <f t="shared" si="105"/>
        <v>95.982627578718777</v>
      </c>
      <c r="AR310" s="4">
        <f t="shared" si="106"/>
        <v>97.331763782617216</v>
      </c>
      <c r="AS310" s="4">
        <f t="shared" si="107"/>
        <v>102.65073646645364</v>
      </c>
      <c r="AT310" s="4">
        <f t="shared" si="108"/>
        <v>114.59921539067722</v>
      </c>
      <c r="AU310" s="4">
        <f t="shared" si="109"/>
        <v>119.51537542105837</v>
      </c>
      <c r="AV310" s="4">
        <f t="shared" si="110"/>
        <v>93.776479181884582</v>
      </c>
      <c r="AW310" s="4">
        <f t="shared" si="111"/>
        <v>102.77342956492643</v>
      </c>
      <c r="AX310" s="4">
        <f t="shared" si="112"/>
        <v>87.714049927790384</v>
      </c>
    </row>
    <row r="311" spans="1:50" ht="14.25" customHeight="1" x14ac:dyDescent="0.3">
      <c r="A311" s="2">
        <v>45847</v>
      </c>
      <c r="B311" s="4">
        <f t="shared" ref="B311:B347" si="113">B142/$B$13*100</f>
        <v>124.38075742067554</v>
      </c>
      <c r="C311" s="4">
        <f t="shared" ref="C311:C347" si="114">C142/$C$13*100</f>
        <v>112.81383921559829</v>
      </c>
      <c r="D311" s="4">
        <f t="shared" ref="D311:D347" si="115">D142/$D$13*100</f>
        <v>126.57141066616533</v>
      </c>
      <c r="E311" s="4">
        <f t="shared" ref="E311:E347" si="116">E142/$E$13*100</f>
        <v>82.281851451081479</v>
      </c>
      <c r="F311" s="4">
        <f t="shared" ref="F311:F347" si="117">F142/$F$13*100</f>
        <v>111.54909827445177</v>
      </c>
      <c r="G311" s="4">
        <f t="shared" ref="G311:G347" si="118">G142/$G$13*100</f>
        <v>102.23777105395864</v>
      </c>
      <c r="H311" s="4">
        <f t="shared" ref="H311:H347" si="119">H142/$H$13*100</f>
        <v>86.783532536520582</v>
      </c>
      <c r="I311" s="4">
        <f t="shared" ref="I311:I347" si="120">I142/$I$13*100</f>
        <v>104.36243055854617</v>
      </c>
      <c r="J311" s="4">
        <f t="shared" ref="J311:J347" si="121">J142/$J$13*100</f>
        <v>135.62499098813319</v>
      </c>
      <c r="K311" s="4">
        <f t="shared" ref="K311:K347" si="122">K142/$K$13*100</f>
        <v>91.61897689048098</v>
      </c>
      <c r="L311" s="4">
        <f t="shared" ref="L311:L347" si="123">L142/$L$13*100</f>
        <v>97.605998636673462</v>
      </c>
      <c r="M311" s="4">
        <f t="shared" ref="M311:M347" si="124">M142/$M$13*100</f>
        <v>111.25683645155824</v>
      </c>
      <c r="N311" s="4">
        <f t="shared" ref="N311:N347" si="125">N142/$N$13*100</f>
        <v>103.05970149253731</v>
      </c>
      <c r="O311" s="4">
        <f t="shared" ref="O311:O347" si="126">O142/$O$13*100</f>
        <v>124.65332140460748</v>
      </c>
      <c r="P311" s="4">
        <f t="shared" ref="P311:P347" si="127">P142/$P$13*100</f>
        <v>87.554590862731757</v>
      </c>
      <c r="Q311" s="4">
        <f t="shared" ref="Q311:Q347" si="128">Q142/$Q$13*100</f>
        <v>88.330379110558482</v>
      </c>
      <c r="R311" s="4">
        <f t="shared" ref="R311:R347" si="129">R142/$R$13*100</f>
        <v>109.74054337380971</v>
      </c>
      <c r="S311" s="4">
        <f t="shared" ref="S311:S347" si="130">S142/$S$13*100</f>
        <v>108.66766187721591</v>
      </c>
      <c r="T311" s="4">
        <f t="shared" ref="T311:T347" si="131">T142/$T$13*100</f>
        <v>128.54605430093883</v>
      </c>
      <c r="U311" s="4">
        <f t="shared" ref="U311:U347" si="132">U142/$U$13*100</f>
        <v>105.47812591238073</v>
      </c>
      <c r="V311" s="4">
        <f t="shared" ref="V311:V347" si="133">V142/$V$13*100</f>
        <v>103.10205304960287</v>
      </c>
      <c r="W311" s="4">
        <f t="shared" ref="W311:W347" si="134">W142/$W$13*100</f>
        <v>95.678119349005428</v>
      </c>
      <c r="X311" s="4">
        <f t="shared" ref="X311:X347" si="135">X142/$X$13*100</f>
        <v>118.40485763518504</v>
      </c>
      <c r="Y311" s="4">
        <f t="shared" ref="Y311:Y347" si="136">Y142/$Y$13*100</f>
        <v>102.7009917704157</v>
      </c>
      <c r="Z311" s="4">
        <f t="shared" ref="Z311:Z347" si="137">Z142/$Z$13*100</f>
        <v>142.10615855733244</v>
      </c>
      <c r="AA311" s="4">
        <f t="shared" ref="AA311:AA347" si="138">AA142/$AA$13*100</f>
        <v>114.90419128610085</v>
      </c>
      <c r="AB311" s="4">
        <f t="shared" ref="AB311:AB347" si="139">AB142/$AB$13*100</f>
        <v>89.177489177489164</v>
      </c>
      <c r="AC311" s="4">
        <f t="shared" ref="AC311:AC347" si="140">AC142/AC$13*100</f>
        <v>96.536726804123717</v>
      </c>
      <c r="AD311" s="4">
        <f t="shared" ref="AD311:AD347" si="141">AD142/$AD$13*100</f>
        <v>92.46579913246579</v>
      </c>
      <c r="AE311" s="4">
        <f t="shared" ref="AE311:AE347" si="142">AE142/$AE$13*100</f>
        <v>95.657595917877032</v>
      </c>
      <c r="AF311" s="4">
        <f t="shared" ref="AF311:AF347" si="143">AF142/$AF$13*100</f>
        <v>108.4286117197839</v>
      </c>
      <c r="AG311" s="4">
        <f t="shared" ref="AG311:AG347" si="144">AG142/$AG$13*100</f>
        <v>100.2717391304348</v>
      </c>
      <c r="AH311" s="4">
        <f t="shared" ref="AH311:AH347" si="145">AH142/$AH$13*100</f>
        <v>111.91938190333943</v>
      </c>
      <c r="AI311" s="4">
        <f t="shared" ref="AI311:AI347" si="146">AI142/$AI$13*100</f>
        <v>116.27906976744184</v>
      </c>
      <c r="AJ311" s="4">
        <f t="shared" ref="AJ311:AJ347" si="147">AJ142/$AJ$13*100</f>
        <v>108.34291345048447</v>
      </c>
      <c r="AK311" s="4">
        <f t="shared" ref="AK311:AK347" si="148">AK142/$AK$13*100</f>
        <v>114.56708228405297</v>
      </c>
      <c r="AL311" s="4">
        <f t="shared" ref="AL311:AL347" si="149">AL142/$AL$13*100</f>
        <v>116.57421243321802</v>
      </c>
      <c r="AM311" s="4">
        <f t="shared" ref="AM311:AM347" si="150">AM142/$AM$13*100</f>
        <v>76.513324042699196</v>
      </c>
      <c r="AN311" s="4">
        <f t="shared" ref="AN311:AN347" si="151">AN142/$AN$13*100</f>
        <v>129.59868608968864</v>
      </c>
      <c r="AO311" s="4">
        <f t="shared" ref="AO311:AO347" si="152">AO142/$AO$13*100</f>
        <v>127.39792611795204</v>
      </c>
      <c r="AP311" s="4">
        <f t="shared" ref="AP311:AP347" si="153">AP142/$AP$13*100</f>
        <v>113.66051100430053</v>
      </c>
      <c r="AQ311" s="4">
        <f t="shared" ref="AQ311:AQ347" si="154">AQ142/$AQ$13*100</f>
        <v>94.773600962526046</v>
      </c>
      <c r="AR311" s="4">
        <f t="shared" ref="AR311:AR347" si="155">AR142/$AR$13*100</f>
        <v>97.554116800732459</v>
      </c>
      <c r="AS311" s="4">
        <f t="shared" ref="AS311:AS347" si="156">AS142/$AS$13*100</f>
        <v>101.34809658531951</v>
      </c>
      <c r="AT311" s="4">
        <f t="shared" ref="AT311:AT347" si="157">AT142/$AT$13*100</f>
        <v>116.67209154917512</v>
      </c>
      <c r="AU311" s="4">
        <f t="shared" ref="AU311:AU347" si="158">AU142/$AU$13*100</f>
        <v>119.29805498207109</v>
      </c>
      <c r="AV311" s="4">
        <f t="shared" ref="AV311:AV347" si="159">AV142/$AV$13*100</f>
        <v>92.724616508400302</v>
      </c>
      <c r="AW311" s="4">
        <f t="shared" ref="AW311:AW347" si="160">AW142/$AW$13*100</f>
        <v>103.55491294944257</v>
      </c>
      <c r="AX311" s="4">
        <f t="shared" ref="AX311:AX347" si="161">AX142/$AX$13*100</f>
        <v>86.728904476996078</v>
      </c>
    </row>
    <row r="312" spans="1:50" ht="14.25" customHeight="1" x14ac:dyDescent="0.3">
      <c r="A312" s="2">
        <v>45848</v>
      </c>
      <c r="B312" s="4">
        <f t="shared" si="113"/>
        <v>124.23336745138178</v>
      </c>
      <c r="C312" s="4">
        <f t="shared" si="114"/>
        <v>112.53337521595729</v>
      </c>
      <c r="D312" s="4">
        <f t="shared" si="115"/>
        <v>123.11211380585323</v>
      </c>
      <c r="E312" s="4">
        <f t="shared" si="116"/>
        <v>82.238081921968671</v>
      </c>
      <c r="F312" s="4">
        <f t="shared" si="117"/>
        <v>110.94145600436256</v>
      </c>
      <c r="G312" s="4">
        <f t="shared" si="118"/>
        <v>101.86585980837116</v>
      </c>
      <c r="H312" s="4">
        <f t="shared" si="119"/>
        <v>85.832669322709151</v>
      </c>
      <c r="I312" s="4">
        <f t="shared" si="120"/>
        <v>103.71646354592828</v>
      </c>
      <c r="J312" s="4">
        <f t="shared" si="121"/>
        <v>136.6415295661327</v>
      </c>
      <c r="K312" s="4">
        <f t="shared" si="122"/>
        <v>91.051068105368927</v>
      </c>
      <c r="L312" s="4">
        <f t="shared" si="123"/>
        <v>97.469665985003388</v>
      </c>
      <c r="M312" s="4">
        <f t="shared" si="124"/>
        <v>112.86278918301618</v>
      </c>
      <c r="N312" s="4">
        <f t="shared" si="125"/>
        <v>102.60869565217392</v>
      </c>
      <c r="O312" s="4">
        <f t="shared" si="126"/>
        <v>123.22746589129949</v>
      </c>
      <c r="P312" s="4">
        <f t="shared" si="127"/>
        <v>87.015873846073376</v>
      </c>
      <c r="Q312" s="4">
        <f t="shared" si="128"/>
        <v>87.965290087039335</v>
      </c>
      <c r="R312" s="4">
        <f t="shared" si="129"/>
        <v>109.33869136018168</v>
      </c>
      <c r="S312" s="4">
        <f t="shared" si="130"/>
        <v>108.63034148161969</v>
      </c>
      <c r="T312" s="4">
        <f t="shared" si="131"/>
        <v>129.37071809185485</v>
      </c>
      <c r="U312" s="4">
        <f t="shared" si="132"/>
        <v>105.1001121748083</v>
      </c>
      <c r="V312" s="4">
        <f t="shared" si="133"/>
        <v>102.33777910984566</v>
      </c>
      <c r="W312" s="4">
        <f t="shared" si="134"/>
        <v>95.063291139240519</v>
      </c>
      <c r="X312" s="4">
        <f t="shared" si="135"/>
        <v>118.41306310002462</v>
      </c>
      <c r="Y312" s="4">
        <f t="shared" si="136"/>
        <v>102.59126397974256</v>
      </c>
      <c r="Z312" s="4">
        <f t="shared" si="137"/>
        <v>140.69411364409666</v>
      </c>
      <c r="AA312" s="4">
        <f t="shared" si="138"/>
        <v>115.22447401844384</v>
      </c>
      <c r="AB312" s="4">
        <f t="shared" si="139"/>
        <v>88.261738261738259</v>
      </c>
      <c r="AC312" s="4">
        <f t="shared" si="140"/>
        <v>96.407860824742272</v>
      </c>
      <c r="AD312" s="4">
        <f t="shared" si="141"/>
        <v>92.839506172839506</v>
      </c>
      <c r="AE312" s="4">
        <f t="shared" si="142"/>
        <v>94.788085417965689</v>
      </c>
      <c r="AF312" s="4">
        <f t="shared" si="143"/>
        <v>106.35888312758985</v>
      </c>
      <c r="AG312" s="4">
        <f t="shared" si="144"/>
        <v>99.391821946169784</v>
      </c>
      <c r="AH312" s="4">
        <f t="shared" si="145"/>
        <v>110.70236580553558</v>
      </c>
      <c r="AI312" s="4">
        <f t="shared" si="146"/>
        <v>117.49305250841012</v>
      </c>
      <c r="AJ312" s="4">
        <f t="shared" si="147"/>
        <v>108.93414353752667</v>
      </c>
      <c r="AK312" s="4">
        <f t="shared" si="148"/>
        <v>113.63347869704971</v>
      </c>
      <c r="AL312" s="4">
        <f t="shared" si="149"/>
        <v>115.69402083802427</v>
      </c>
      <c r="AM312" s="4">
        <f t="shared" si="150"/>
        <v>76.838732040661853</v>
      </c>
      <c r="AN312" s="4">
        <f t="shared" si="151"/>
        <v>129.26306769494428</v>
      </c>
      <c r="AO312" s="4">
        <f t="shared" si="152"/>
        <v>124.95949449125081</v>
      </c>
      <c r="AP312" s="4">
        <f t="shared" si="153"/>
        <v>113.8460241167046</v>
      </c>
      <c r="AQ312" s="4">
        <f t="shared" si="154"/>
        <v>93.910848959708886</v>
      </c>
      <c r="AR312" s="4">
        <f t="shared" si="155"/>
        <v>96.645085344320194</v>
      </c>
      <c r="AS312" s="4">
        <f t="shared" si="156"/>
        <v>99.855488388186672</v>
      </c>
      <c r="AT312" s="4">
        <f t="shared" si="157"/>
        <v>115.07888921247837</v>
      </c>
      <c r="AU312" s="4">
        <f t="shared" si="158"/>
        <v>118.32011300662828</v>
      </c>
      <c r="AV312" s="4">
        <f t="shared" si="159"/>
        <v>92.227903579254928</v>
      </c>
      <c r="AW312" s="4">
        <f t="shared" si="160"/>
        <v>103.27290977093217</v>
      </c>
      <c r="AX312" s="4">
        <f t="shared" si="161"/>
        <v>87.977099236641223</v>
      </c>
    </row>
    <row r="313" spans="1:50" ht="14.25" customHeight="1" x14ac:dyDescent="0.3">
      <c r="A313" s="2">
        <v>45849</v>
      </c>
      <c r="B313" s="4">
        <f t="shared" si="113"/>
        <v>122.43193449334697</v>
      </c>
      <c r="C313" s="4">
        <f t="shared" si="114"/>
        <v>111.27128721757278</v>
      </c>
      <c r="D313" s="4">
        <f t="shared" si="115"/>
        <v>120.44243905496022</v>
      </c>
      <c r="E313" s="4">
        <f t="shared" si="116"/>
        <v>79.417378934698306</v>
      </c>
      <c r="F313" s="4">
        <f t="shared" si="117"/>
        <v>110.77006972305534</v>
      </c>
      <c r="G313" s="4">
        <f t="shared" si="118"/>
        <v>101.94780635400906</v>
      </c>
      <c r="H313" s="4">
        <f t="shared" si="119"/>
        <v>84.722443559096945</v>
      </c>
      <c r="I313" s="4">
        <f t="shared" si="120"/>
        <v>108.50523233280221</v>
      </c>
      <c r="J313" s="4">
        <f t="shared" si="121"/>
        <v>134.60124291667267</v>
      </c>
      <c r="K313" s="4">
        <f t="shared" si="122"/>
        <v>91.040146782578304</v>
      </c>
      <c r="L313" s="4">
        <f t="shared" si="123"/>
        <v>96.539877300613497</v>
      </c>
      <c r="M313" s="4">
        <f t="shared" si="124"/>
        <v>112.18472025195616</v>
      </c>
      <c r="N313" s="4">
        <f t="shared" si="125"/>
        <v>99.714471122647623</v>
      </c>
      <c r="O313" s="4">
        <f t="shared" si="126"/>
        <v>124.16685305300825</v>
      </c>
      <c r="P313" s="4">
        <f t="shared" si="127"/>
        <v>85.687387222469198</v>
      </c>
      <c r="Q313" s="4">
        <f t="shared" si="128"/>
        <v>88.467948887536693</v>
      </c>
      <c r="R313" s="4">
        <f t="shared" si="129"/>
        <v>109.15523718004717</v>
      </c>
      <c r="S313" s="4">
        <f t="shared" si="130"/>
        <v>109.51670087702932</v>
      </c>
      <c r="T313" s="4">
        <f t="shared" si="131"/>
        <v>127.96244607967522</v>
      </c>
      <c r="U313" s="4">
        <f t="shared" si="132"/>
        <v>103.31146180678275</v>
      </c>
      <c r="V313" s="4">
        <f t="shared" si="133"/>
        <v>102.71242319796193</v>
      </c>
      <c r="W313" s="4">
        <f t="shared" si="134"/>
        <v>95.244122965641964</v>
      </c>
      <c r="X313" s="4">
        <f t="shared" si="135"/>
        <v>117.47764010831214</v>
      </c>
      <c r="Y313" s="4">
        <f t="shared" si="136"/>
        <v>102.02996412745307</v>
      </c>
      <c r="Z313" s="4">
        <f t="shared" si="137"/>
        <v>139.26505614154476</v>
      </c>
      <c r="AA313" s="4">
        <f t="shared" si="138"/>
        <v>114.55077585730852</v>
      </c>
      <c r="AB313" s="4">
        <f t="shared" si="139"/>
        <v>86.013986013986013</v>
      </c>
      <c r="AC313" s="4">
        <f t="shared" si="140"/>
        <v>96.182345360824755</v>
      </c>
      <c r="AD313" s="4">
        <f t="shared" si="141"/>
        <v>90.997664330997651</v>
      </c>
      <c r="AE313" s="4">
        <f t="shared" si="142"/>
        <v>92.293963194535806</v>
      </c>
      <c r="AF313" s="4">
        <f t="shared" si="143"/>
        <v>105.83819668930204</v>
      </c>
      <c r="AG313" s="4">
        <f t="shared" si="144"/>
        <v>98.589544513457554</v>
      </c>
      <c r="AH313" s="4">
        <f t="shared" si="145"/>
        <v>110.79917390422453</v>
      </c>
      <c r="AI313" s="4">
        <f t="shared" si="146"/>
        <v>116.89337428696795</v>
      </c>
      <c r="AJ313" s="4">
        <f t="shared" si="147"/>
        <v>107.01264575463951</v>
      </c>
      <c r="AK313" s="4">
        <f t="shared" si="148"/>
        <v>113.09706610978031</v>
      </c>
      <c r="AL313" s="4">
        <f t="shared" si="149"/>
        <v>114.88547274476491</v>
      </c>
      <c r="AM313" s="4">
        <f t="shared" si="150"/>
        <v>75.890804394422801</v>
      </c>
      <c r="AN313" s="4">
        <f t="shared" si="151"/>
        <v>131.04827192230789</v>
      </c>
      <c r="AO313" s="4">
        <f t="shared" si="152"/>
        <v>122.9747245625405</v>
      </c>
      <c r="AP313" s="4">
        <f t="shared" si="153"/>
        <v>113.15456615228938</v>
      </c>
      <c r="AQ313" s="4">
        <f t="shared" si="154"/>
        <v>94.051706429556603</v>
      </c>
      <c r="AR313" s="4">
        <f t="shared" si="155"/>
        <v>97.115950559152438</v>
      </c>
      <c r="AS313" s="4">
        <f t="shared" si="156"/>
        <v>97.555514848059261</v>
      </c>
      <c r="AT313" s="4">
        <f t="shared" si="157"/>
        <v>114.47929693522691</v>
      </c>
      <c r="AU313" s="4">
        <f t="shared" si="158"/>
        <v>117.00532435075519</v>
      </c>
      <c r="AV313" s="4">
        <f t="shared" si="159"/>
        <v>91.650840029218415</v>
      </c>
      <c r="AW313" s="4">
        <f t="shared" si="160"/>
        <v>100.82091603235865</v>
      </c>
      <c r="AX313" s="4">
        <f t="shared" si="161"/>
        <v>88.596038786878481</v>
      </c>
    </row>
    <row r="314" spans="1:50" ht="14.25" customHeight="1" x14ac:dyDescent="0.3">
      <c r="A314" s="2">
        <v>45852</v>
      </c>
      <c r="B314" s="4">
        <f t="shared" si="113"/>
        <v>121.49027635619242</v>
      </c>
      <c r="C314" s="4">
        <f t="shared" si="114"/>
        <v>111.23202225762302</v>
      </c>
      <c r="D314" s="4">
        <f t="shared" si="115"/>
        <v>120.37977063357775</v>
      </c>
      <c r="E314" s="4">
        <f t="shared" si="116"/>
        <v>78.364478595484442</v>
      </c>
      <c r="F314" s="4">
        <f t="shared" si="117"/>
        <v>110.85576286370895</v>
      </c>
      <c r="G314" s="4">
        <f t="shared" si="118"/>
        <v>101.97302067574381</v>
      </c>
      <c r="H314" s="4">
        <f t="shared" si="119"/>
        <v>83.415670650730405</v>
      </c>
      <c r="I314" s="4">
        <f t="shared" si="120"/>
        <v>108.37603893027863</v>
      </c>
      <c r="J314" s="4">
        <f t="shared" si="121"/>
        <v>132.48886133260277</v>
      </c>
      <c r="K314" s="4">
        <f t="shared" si="122"/>
        <v>91.608055567690343</v>
      </c>
      <c r="L314" s="4">
        <f t="shared" si="123"/>
        <v>95.321063394683023</v>
      </c>
      <c r="M314" s="4">
        <f t="shared" si="124"/>
        <v>111.6494026748035</v>
      </c>
      <c r="N314" s="4">
        <f t="shared" si="125"/>
        <v>100.32770927968851</v>
      </c>
      <c r="O314" s="4">
        <f t="shared" si="126"/>
        <v>123.22746589129949</v>
      </c>
      <c r="P314" s="4">
        <f t="shared" si="127"/>
        <v>84.71978869740316</v>
      </c>
      <c r="Q314" s="4">
        <f t="shared" si="128"/>
        <v>89.028810285986381</v>
      </c>
      <c r="R314" s="4">
        <f t="shared" si="129"/>
        <v>109.33869136018168</v>
      </c>
      <c r="S314" s="4">
        <f t="shared" si="130"/>
        <v>109.41406978913977</v>
      </c>
      <c r="T314" s="4">
        <f t="shared" si="131"/>
        <v>127.09972088302459</v>
      </c>
      <c r="U314" s="4">
        <f t="shared" si="132"/>
        <v>104.63604652949583</v>
      </c>
      <c r="V314" s="4">
        <f t="shared" si="133"/>
        <v>102.53259403566612</v>
      </c>
      <c r="W314" s="4">
        <f t="shared" si="134"/>
        <v>97.86618444846296</v>
      </c>
      <c r="X314" s="4">
        <f t="shared" si="135"/>
        <v>117.58431115122671</v>
      </c>
      <c r="Y314" s="4">
        <f t="shared" si="136"/>
        <v>103.06815783920659</v>
      </c>
      <c r="Z314" s="4">
        <f t="shared" si="137"/>
        <v>138.58455256890102</v>
      </c>
      <c r="AA314" s="4">
        <f t="shared" si="138"/>
        <v>114.73852780385445</v>
      </c>
      <c r="AB314" s="4">
        <f t="shared" si="139"/>
        <v>84.665334665334669</v>
      </c>
      <c r="AC314" s="4">
        <f t="shared" si="140"/>
        <v>96.069587628865989</v>
      </c>
      <c r="AD314" s="4">
        <f t="shared" si="141"/>
        <v>90.023356690023363</v>
      </c>
      <c r="AE314" s="4">
        <f t="shared" si="142"/>
        <v>92.528502210959275</v>
      </c>
      <c r="AF314" s="4">
        <f t="shared" si="143"/>
        <v>104.20671251600024</v>
      </c>
      <c r="AG314" s="4">
        <f t="shared" si="144"/>
        <v>99.340062111801259</v>
      </c>
      <c r="AH314" s="4">
        <f t="shared" si="145"/>
        <v>110.31052350131844</v>
      </c>
      <c r="AI314" s="4">
        <f t="shared" si="146"/>
        <v>117.33216322948661</v>
      </c>
      <c r="AJ314" s="4">
        <f t="shared" si="147"/>
        <v>104.81195598620462</v>
      </c>
      <c r="AK314" s="4">
        <f t="shared" si="148"/>
        <v>114.01429068648528</v>
      </c>
      <c r="AL314" s="4">
        <f t="shared" si="149"/>
        <v>113.4116635621149</v>
      </c>
      <c r="AM314" s="4">
        <f t="shared" si="150"/>
        <v>75.190469790111848</v>
      </c>
      <c r="AN314" s="4">
        <f t="shared" si="151"/>
        <v>132.19794344473007</v>
      </c>
      <c r="AO314" s="4">
        <f t="shared" si="152"/>
        <v>123.90635126377188</v>
      </c>
      <c r="AP314" s="4">
        <f t="shared" si="153"/>
        <v>112.40408128847288</v>
      </c>
      <c r="AQ314" s="4">
        <f t="shared" si="154"/>
        <v>92.537488628693836</v>
      </c>
      <c r="AR314" s="4">
        <f t="shared" si="155"/>
        <v>97.050552612647962</v>
      </c>
      <c r="AS314" s="4">
        <f t="shared" si="156"/>
        <v>97.969374393627916</v>
      </c>
      <c r="AT314" s="4">
        <f t="shared" si="157"/>
        <v>114.73626505404897</v>
      </c>
      <c r="AU314" s="4">
        <f t="shared" si="158"/>
        <v>116.46202325328696</v>
      </c>
      <c r="AV314" s="4">
        <f t="shared" si="159"/>
        <v>91.351351351351354</v>
      </c>
      <c r="AW314" s="4">
        <f t="shared" si="160"/>
        <v>101.60956898920979</v>
      </c>
      <c r="AX314" s="4">
        <f t="shared" si="161"/>
        <v>89.498658964307836</v>
      </c>
    </row>
    <row r="315" spans="1:50" ht="14.25" customHeight="1" x14ac:dyDescent="0.3">
      <c r="A315" s="2">
        <v>45853</v>
      </c>
      <c r="B315" s="4">
        <f t="shared" si="113"/>
        <v>121.62947799385874</v>
      </c>
      <c r="C315" s="4">
        <f t="shared" si="114"/>
        <v>111.93318225672554</v>
      </c>
      <c r="D315" s="4">
        <f t="shared" si="115"/>
        <v>121.21326063796451</v>
      </c>
      <c r="E315" s="4">
        <f t="shared" si="116"/>
        <v>79.084244185339642</v>
      </c>
      <c r="F315" s="4">
        <f t="shared" si="117"/>
        <v>111.46340513379815</v>
      </c>
      <c r="G315" s="4">
        <f t="shared" si="118"/>
        <v>102.93116490166415</v>
      </c>
      <c r="H315" s="4">
        <f t="shared" si="119"/>
        <v>84.228419654714472</v>
      </c>
      <c r="I315" s="4">
        <f t="shared" si="120"/>
        <v>108.81960294560959</v>
      </c>
      <c r="J315" s="4">
        <f t="shared" si="121"/>
        <v>133.86587458365176</v>
      </c>
      <c r="K315" s="4">
        <f t="shared" si="122"/>
        <v>92.197806998383641</v>
      </c>
      <c r="L315" s="4">
        <f t="shared" si="123"/>
        <v>95.269256987048394</v>
      </c>
      <c r="M315" s="4">
        <f t="shared" si="124"/>
        <v>111.84568578642615</v>
      </c>
      <c r="N315" s="4">
        <f t="shared" si="125"/>
        <v>101.51200519143413</v>
      </c>
      <c r="O315" s="4">
        <f t="shared" si="126"/>
        <v>122.34958622232162</v>
      </c>
      <c r="P315" s="4">
        <f t="shared" si="127"/>
        <v>81.926828630455816</v>
      </c>
      <c r="Q315" s="4">
        <f t="shared" si="128"/>
        <v>91.404534511495001</v>
      </c>
      <c r="R315" s="4">
        <f t="shared" si="129"/>
        <v>109.21638857342532</v>
      </c>
      <c r="S315" s="4">
        <f t="shared" si="130"/>
        <v>108.77962306400451</v>
      </c>
      <c r="T315" s="4">
        <f t="shared" si="131"/>
        <v>129.18675463080436</v>
      </c>
      <c r="U315" s="4">
        <f t="shared" si="132"/>
        <v>104.9525946186825</v>
      </c>
      <c r="V315" s="4">
        <f t="shared" si="133"/>
        <v>102.50262250861681</v>
      </c>
      <c r="W315" s="4">
        <f t="shared" si="134"/>
        <v>96.36528028933094</v>
      </c>
      <c r="X315" s="4">
        <f t="shared" si="135"/>
        <v>118.57717239681629</v>
      </c>
      <c r="Y315" s="4">
        <f t="shared" si="136"/>
        <v>102.8360413589365</v>
      </c>
      <c r="Z315" s="4">
        <f t="shared" si="137"/>
        <v>139.14596801633209</v>
      </c>
      <c r="AA315" s="4">
        <f t="shared" si="138"/>
        <v>114.30780275001379</v>
      </c>
      <c r="AB315" s="4">
        <f t="shared" si="139"/>
        <v>85.714285714285708</v>
      </c>
      <c r="AC315" s="4">
        <f t="shared" si="140"/>
        <v>96.021262886597953</v>
      </c>
      <c r="AD315" s="4">
        <f t="shared" si="141"/>
        <v>91.344678011344683</v>
      </c>
      <c r="AE315" s="4">
        <f t="shared" si="142"/>
        <v>95.08554953635641</v>
      </c>
      <c r="AF315" s="4">
        <f t="shared" si="143"/>
        <v>103.85524917015599</v>
      </c>
      <c r="AG315" s="4">
        <f t="shared" si="144"/>
        <v>100.01293995859213</v>
      </c>
      <c r="AH315" s="4">
        <f t="shared" si="145"/>
        <v>111.38924231528095</v>
      </c>
      <c r="AI315" s="4">
        <f t="shared" si="146"/>
        <v>116.27906976744184</v>
      </c>
      <c r="AJ315" s="4">
        <f t="shared" si="147"/>
        <v>105.5017244210872</v>
      </c>
      <c r="AK315" s="4">
        <f t="shared" si="148"/>
        <v>113.77679503715987</v>
      </c>
      <c r="AL315" s="4">
        <f t="shared" si="149"/>
        <v>114.44537694716803</v>
      </c>
      <c r="AM315" s="4">
        <f t="shared" si="150"/>
        <v>76.258656913858843</v>
      </c>
      <c r="AN315" s="4">
        <f t="shared" si="151"/>
        <v>130.30562696372462</v>
      </c>
      <c r="AO315" s="4">
        <f t="shared" si="152"/>
        <v>122.62637718729748</v>
      </c>
      <c r="AP315" s="4">
        <f t="shared" si="153"/>
        <v>113.137701323889</v>
      </c>
      <c r="AQ315" s="4">
        <f t="shared" si="154"/>
        <v>92.672477037297881</v>
      </c>
      <c r="AR315" s="4">
        <f t="shared" si="155"/>
        <v>97.50179844352887</v>
      </c>
      <c r="AS315" s="4">
        <f t="shared" si="156"/>
        <v>99.87584213632941</v>
      </c>
      <c r="AT315" s="4">
        <f t="shared" si="157"/>
        <v>117.25455261850514</v>
      </c>
      <c r="AU315" s="4">
        <f t="shared" si="158"/>
        <v>117.54862544822342</v>
      </c>
      <c r="AV315" s="4">
        <f t="shared" si="159"/>
        <v>92.103725346968602</v>
      </c>
      <c r="AW315" s="4">
        <f t="shared" si="160"/>
        <v>106.44425060045167</v>
      </c>
      <c r="AX315" s="4">
        <f t="shared" si="161"/>
        <v>90.880957293171051</v>
      </c>
    </row>
    <row r="316" spans="1:50" ht="14.25" customHeight="1" x14ac:dyDescent="0.3">
      <c r="A316" s="2">
        <v>45854</v>
      </c>
      <c r="B316" s="4">
        <f t="shared" si="113"/>
        <v>121.64585465711359</v>
      </c>
      <c r="C316" s="4">
        <f t="shared" si="114"/>
        <v>111.97805649666807</v>
      </c>
      <c r="D316" s="4">
        <f t="shared" si="115"/>
        <v>121.36366484928243</v>
      </c>
      <c r="E316" s="4">
        <f t="shared" si="116"/>
        <v>78.617369208136267</v>
      </c>
      <c r="F316" s="4">
        <f t="shared" si="117"/>
        <v>111.12063257118375</v>
      </c>
      <c r="G316" s="4">
        <f t="shared" si="118"/>
        <v>104.85375693393848</v>
      </c>
      <c r="H316" s="4">
        <f t="shared" si="119"/>
        <v>85.413014608233738</v>
      </c>
      <c r="I316" s="4">
        <f t="shared" si="120"/>
        <v>108.41910339778649</v>
      </c>
      <c r="J316" s="4">
        <f t="shared" si="121"/>
        <v>132.90701195334015</v>
      </c>
      <c r="K316" s="4">
        <f t="shared" si="122"/>
        <v>92.743873137914463</v>
      </c>
      <c r="L316" s="4">
        <f t="shared" si="123"/>
        <v>95.536468984321743</v>
      </c>
      <c r="M316" s="4">
        <f t="shared" si="124"/>
        <v>112.09550065576404</v>
      </c>
      <c r="N316" s="4">
        <f t="shared" si="125"/>
        <v>103.71512005191433</v>
      </c>
      <c r="O316" s="4">
        <f t="shared" si="126"/>
        <v>121.86311787072242</v>
      </c>
      <c r="P316" s="4">
        <f t="shared" si="127"/>
        <v>81.738539187740272</v>
      </c>
      <c r="Q316" s="4">
        <f t="shared" si="128"/>
        <v>90.002381015370773</v>
      </c>
      <c r="R316" s="4">
        <f t="shared" si="129"/>
        <v>108.78832881977812</v>
      </c>
      <c r="S316" s="4">
        <f t="shared" si="130"/>
        <v>109.01287553648069</v>
      </c>
      <c r="T316" s="4">
        <f t="shared" si="131"/>
        <v>129.15503679269221</v>
      </c>
      <c r="U316" s="4">
        <f t="shared" si="132"/>
        <v>105.02328011432611</v>
      </c>
      <c r="V316" s="4">
        <f t="shared" si="133"/>
        <v>102.63749438033869</v>
      </c>
      <c r="W316" s="4">
        <f t="shared" si="134"/>
        <v>94.882459312839075</v>
      </c>
      <c r="X316" s="4">
        <f t="shared" si="135"/>
        <v>119.52900631820795</v>
      </c>
      <c r="Y316" s="4">
        <f t="shared" si="136"/>
        <v>102.48997678835198</v>
      </c>
      <c r="Z316" s="4">
        <f t="shared" si="137"/>
        <v>138.19326301463084</v>
      </c>
      <c r="AA316" s="4">
        <f t="shared" si="138"/>
        <v>113.73350267822629</v>
      </c>
      <c r="AB316" s="4">
        <f t="shared" si="139"/>
        <v>87.51248751248751</v>
      </c>
      <c r="AC316" s="4">
        <f t="shared" si="140"/>
        <v>95.699097938144348</v>
      </c>
      <c r="AD316" s="4">
        <f t="shared" si="141"/>
        <v>90.623957290623949</v>
      </c>
      <c r="AE316" s="4">
        <f t="shared" si="142"/>
        <v>94.988301651497906</v>
      </c>
      <c r="AF316" s="4">
        <f t="shared" si="143"/>
        <v>104.59288829106373</v>
      </c>
      <c r="AG316" s="4">
        <f t="shared" si="144"/>
        <v>100.01293995859213</v>
      </c>
      <c r="AH316" s="4">
        <f t="shared" si="145"/>
        <v>113.40377274990321</v>
      </c>
      <c r="AI316" s="4">
        <f t="shared" si="146"/>
        <v>115.05777387743163</v>
      </c>
      <c r="AJ316" s="4">
        <f t="shared" si="147"/>
        <v>104.95976350796519</v>
      </c>
      <c r="AK316" s="4">
        <f t="shared" si="148"/>
        <v>113.11344512007861</v>
      </c>
      <c r="AL316" s="4">
        <f t="shared" si="149"/>
        <v>115.17204675250238</v>
      </c>
      <c r="AM316" s="4">
        <f t="shared" si="150"/>
        <v>76.14547152326314</v>
      </c>
      <c r="AN316" s="4">
        <f t="shared" si="151"/>
        <v>130.61268209083116</v>
      </c>
      <c r="AO316" s="4">
        <f t="shared" si="152"/>
        <v>122.48055735580039</v>
      </c>
      <c r="AP316" s="4">
        <f t="shared" si="153"/>
        <v>112.44624335947381</v>
      </c>
      <c r="AQ316" s="4">
        <f t="shared" si="154"/>
        <v>94.368635736713912</v>
      </c>
      <c r="AR316" s="4">
        <f t="shared" si="155"/>
        <v>96.514289451311228</v>
      </c>
      <c r="AS316" s="4">
        <f t="shared" si="156"/>
        <v>99.767288812901555</v>
      </c>
      <c r="AT316" s="4">
        <f t="shared" si="157"/>
        <v>114.49642814314839</v>
      </c>
      <c r="AU316" s="4">
        <f t="shared" si="158"/>
        <v>117.51602738237533</v>
      </c>
      <c r="AV316" s="4">
        <f t="shared" si="159"/>
        <v>91.994156318480663</v>
      </c>
      <c r="AW316" s="4">
        <f t="shared" si="160"/>
        <v>105.73924265417567</v>
      </c>
      <c r="AX316" s="4">
        <f t="shared" si="161"/>
        <v>90.752011553538296</v>
      </c>
    </row>
    <row r="317" spans="1:50" ht="14.25" customHeight="1" x14ac:dyDescent="0.3">
      <c r="A317" s="2">
        <v>45855</v>
      </c>
      <c r="B317" s="4">
        <f t="shared" si="113"/>
        <v>120.89252814738998</v>
      </c>
      <c r="C317" s="4">
        <f t="shared" si="114"/>
        <v>111.45078417734302</v>
      </c>
      <c r="D317" s="4">
        <f t="shared" si="115"/>
        <v>120.94378642601993</v>
      </c>
      <c r="E317" s="4">
        <f t="shared" si="116"/>
        <v>78.036207127138326</v>
      </c>
      <c r="F317" s="4">
        <f t="shared" si="117"/>
        <v>110.52078058660848</v>
      </c>
      <c r="G317" s="4">
        <f t="shared" si="118"/>
        <v>104.51336359051939</v>
      </c>
      <c r="H317" s="4">
        <f t="shared" si="119"/>
        <v>84.116865869853925</v>
      </c>
      <c r="I317" s="4">
        <f t="shared" si="120"/>
        <v>108.0832005512252</v>
      </c>
      <c r="J317" s="4">
        <f t="shared" si="121"/>
        <v>133.13050625063084</v>
      </c>
      <c r="K317" s="4">
        <f t="shared" si="122"/>
        <v>92.601895941636442</v>
      </c>
      <c r="L317" s="4">
        <f t="shared" si="123"/>
        <v>94.723926380368113</v>
      </c>
      <c r="M317" s="4">
        <f t="shared" si="124"/>
        <v>111.31036820927349</v>
      </c>
      <c r="N317" s="4">
        <f t="shared" si="125"/>
        <v>103.66645035691111</v>
      </c>
      <c r="O317" s="4">
        <f t="shared" si="126"/>
        <v>121.38224110937151</v>
      </c>
      <c r="P317" s="4">
        <f t="shared" si="127"/>
        <v>80.750019613483616</v>
      </c>
      <c r="Q317" s="4">
        <f t="shared" si="128"/>
        <v>90.129368501812223</v>
      </c>
      <c r="R317" s="4">
        <f t="shared" si="129"/>
        <v>109.15523718004717</v>
      </c>
      <c r="S317" s="4">
        <f t="shared" si="130"/>
        <v>108.21048703116254</v>
      </c>
      <c r="T317" s="4">
        <f t="shared" si="131"/>
        <v>128.55239786856129</v>
      </c>
      <c r="U317" s="4">
        <f t="shared" si="132"/>
        <v>105.51500530141217</v>
      </c>
      <c r="V317" s="4">
        <f t="shared" si="133"/>
        <v>102.69743743443729</v>
      </c>
      <c r="W317" s="4">
        <f t="shared" si="134"/>
        <v>93.905967450271248</v>
      </c>
      <c r="X317" s="4">
        <f t="shared" si="135"/>
        <v>119.18437679494545</v>
      </c>
      <c r="Y317" s="4">
        <f t="shared" si="136"/>
        <v>102.92044735176198</v>
      </c>
      <c r="Z317" s="4">
        <f t="shared" si="137"/>
        <v>137.5297720313032</v>
      </c>
      <c r="AA317" s="4">
        <f t="shared" si="138"/>
        <v>114.21944889281572</v>
      </c>
      <c r="AB317" s="4">
        <f t="shared" si="139"/>
        <v>86.77988677988678</v>
      </c>
      <c r="AC317" s="4">
        <f t="shared" si="140"/>
        <v>95.554123711340225</v>
      </c>
      <c r="AD317" s="4">
        <f t="shared" si="141"/>
        <v>90.984317650984323</v>
      </c>
      <c r="AE317" s="4">
        <f t="shared" si="142"/>
        <v>95.302927161334253</v>
      </c>
      <c r="AF317" s="4">
        <f t="shared" si="143"/>
        <v>104.0895580673855</v>
      </c>
      <c r="AG317" s="4">
        <f t="shared" si="144"/>
        <v>99.870600414078666</v>
      </c>
      <c r="AH317" s="4">
        <f t="shared" si="145"/>
        <v>112.90129261861298</v>
      </c>
      <c r="AI317" s="4">
        <f t="shared" si="146"/>
        <v>116.93725318121982</v>
      </c>
      <c r="AJ317" s="4">
        <f t="shared" si="147"/>
        <v>104.49991788471011</v>
      </c>
      <c r="AK317" s="4">
        <f t="shared" si="148"/>
        <v>113.27314047048706</v>
      </c>
      <c r="AL317" s="4">
        <f t="shared" si="149"/>
        <v>115.65308169406177</v>
      </c>
      <c r="AM317" s="4">
        <f t="shared" si="150"/>
        <v>76.647731694031592</v>
      </c>
      <c r="AN317" s="4">
        <f t="shared" si="151"/>
        <v>128.73464724364464</v>
      </c>
      <c r="AO317" s="4">
        <f t="shared" si="152"/>
        <v>121.80816591056383</v>
      </c>
      <c r="AP317" s="4">
        <f t="shared" si="153"/>
        <v>113.76169997470274</v>
      </c>
      <c r="AQ317" s="4">
        <f t="shared" si="154"/>
        <v>91.774510667018831</v>
      </c>
      <c r="AR317" s="4">
        <f t="shared" si="155"/>
        <v>96.945915898240798</v>
      </c>
      <c r="AS317" s="4">
        <f t="shared" si="156"/>
        <v>99.740150482044584</v>
      </c>
      <c r="AT317" s="4">
        <f t="shared" si="157"/>
        <v>113.99962311342573</v>
      </c>
      <c r="AU317" s="4">
        <f t="shared" si="158"/>
        <v>120.15647071607086</v>
      </c>
      <c r="AV317" s="4">
        <f t="shared" si="159"/>
        <v>92.264426588750908</v>
      </c>
      <c r="AW317" s="4">
        <f t="shared" si="160"/>
        <v>106.19570542617134</v>
      </c>
      <c r="AX317" s="4">
        <f t="shared" si="161"/>
        <v>89.240767485042312</v>
      </c>
    </row>
    <row r="318" spans="1:50" ht="14.25" customHeight="1" x14ac:dyDescent="0.3">
      <c r="A318" s="2">
        <v>45856</v>
      </c>
      <c r="B318" s="4">
        <f t="shared" si="113"/>
        <v>120.85977482088023</v>
      </c>
      <c r="C318" s="4">
        <f t="shared" si="114"/>
        <v>109.79604657946108</v>
      </c>
      <c r="D318" s="4">
        <f t="shared" si="115"/>
        <v>119.13266904806667</v>
      </c>
      <c r="E318" s="4">
        <f t="shared" si="116"/>
        <v>77.566900509428677</v>
      </c>
      <c r="F318" s="4">
        <f t="shared" si="117"/>
        <v>111.07389085809993</v>
      </c>
      <c r="G318" s="4">
        <f t="shared" si="118"/>
        <v>103.80105900151287</v>
      </c>
      <c r="H318" s="4">
        <f t="shared" si="119"/>
        <v>84.25498007968126</v>
      </c>
      <c r="I318" s="4">
        <f t="shared" si="120"/>
        <v>107.21329830756643</v>
      </c>
      <c r="J318" s="4">
        <f t="shared" si="121"/>
        <v>135.82685680504088</v>
      </c>
      <c r="K318" s="4">
        <f t="shared" si="122"/>
        <v>92.339784194661661</v>
      </c>
      <c r="L318" s="4">
        <f t="shared" si="123"/>
        <v>94.473074301295171</v>
      </c>
      <c r="M318" s="4">
        <f t="shared" si="124"/>
        <v>110.80181651097847</v>
      </c>
      <c r="N318" s="4">
        <f t="shared" si="125"/>
        <v>103.58208955223883</v>
      </c>
      <c r="O318" s="4">
        <f t="shared" si="126"/>
        <v>119.68798926414669</v>
      </c>
      <c r="P318" s="4">
        <f t="shared" si="127"/>
        <v>81.006302466068675</v>
      </c>
      <c r="Q318" s="4">
        <f t="shared" si="128"/>
        <v>89.610836265509661</v>
      </c>
      <c r="R318" s="4">
        <f t="shared" si="129"/>
        <v>109.18144492006638</v>
      </c>
      <c r="S318" s="4">
        <f t="shared" si="130"/>
        <v>102.56577719723829</v>
      </c>
      <c r="T318" s="4">
        <f t="shared" si="131"/>
        <v>128.74904846485663</v>
      </c>
      <c r="U318" s="4">
        <f t="shared" si="132"/>
        <v>104.58072744594864</v>
      </c>
      <c r="V318" s="4">
        <f t="shared" si="133"/>
        <v>102.53259403566612</v>
      </c>
      <c r="W318" s="4">
        <f t="shared" si="134"/>
        <v>93.019891500904166</v>
      </c>
      <c r="X318" s="4">
        <f t="shared" si="135"/>
        <v>118.41306310002462</v>
      </c>
      <c r="Y318" s="4">
        <f t="shared" si="136"/>
        <v>103.95020046423295</v>
      </c>
      <c r="Z318" s="4">
        <f t="shared" si="137"/>
        <v>134.31439265056144</v>
      </c>
      <c r="AA318" s="4">
        <f t="shared" si="138"/>
        <v>114.24153735711525</v>
      </c>
      <c r="AB318" s="4">
        <f t="shared" si="139"/>
        <v>88.894438894438878</v>
      </c>
      <c r="AC318" s="4">
        <f t="shared" si="140"/>
        <v>94.764819587628864</v>
      </c>
      <c r="AD318" s="4">
        <f t="shared" si="141"/>
        <v>90.79079079079078</v>
      </c>
      <c r="AE318" s="4">
        <f t="shared" si="142"/>
        <v>95.503143394866456</v>
      </c>
      <c r="AF318" s="4">
        <f t="shared" si="143"/>
        <v>103.37361421473976</v>
      </c>
      <c r="AG318" s="4">
        <f t="shared" si="144"/>
        <v>100.54347826086956</v>
      </c>
      <c r="AH318" s="4">
        <f t="shared" si="145"/>
        <v>113.96618170419133</v>
      </c>
      <c r="AI318" s="4">
        <f t="shared" si="146"/>
        <v>118.74360099458828</v>
      </c>
      <c r="AJ318" s="4">
        <f t="shared" si="147"/>
        <v>104.07291837740186</v>
      </c>
      <c r="AK318" s="4">
        <f t="shared" si="148"/>
        <v>111.72532399729747</v>
      </c>
      <c r="AL318" s="4">
        <f t="shared" si="149"/>
        <v>115.19251632448363</v>
      </c>
      <c r="AM318" s="4">
        <f t="shared" si="150"/>
        <v>76.046434306491889</v>
      </c>
      <c r="AN318" s="4">
        <f t="shared" si="151"/>
        <v>127.70636960868322</v>
      </c>
      <c r="AO318" s="4">
        <f t="shared" si="152"/>
        <v>119.81529488010369</v>
      </c>
      <c r="AP318" s="4">
        <f t="shared" si="153"/>
        <v>113.98937515810776</v>
      </c>
      <c r="AQ318" s="4">
        <f t="shared" si="154"/>
        <v>90.905889602958013</v>
      </c>
      <c r="AR318" s="4">
        <f t="shared" si="155"/>
        <v>96.939376103590348</v>
      </c>
      <c r="AS318" s="4">
        <f t="shared" si="156"/>
        <v>99.102399706906013</v>
      </c>
      <c r="AT318" s="4">
        <f t="shared" si="157"/>
        <v>110.58194713309237</v>
      </c>
      <c r="AU318" s="4">
        <f t="shared" si="158"/>
        <v>119.08073454308381</v>
      </c>
      <c r="AV318" s="4">
        <f t="shared" si="159"/>
        <v>91.855368882395908</v>
      </c>
      <c r="AW318" s="4">
        <f t="shared" si="160"/>
        <v>105.07486228446471</v>
      </c>
      <c r="AX318" s="4">
        <f t="shared" si="161"/>
        <v>89.751392613988045</v>
      </c>
    </row>
    <row r="319" spans="1:50" ht="14.25" customHeight="1" x14ac:dyDescent="0.3">
      <c r="A319" s="2">
        <v>45859</v>
      </c>
      <c r="B319" s="4">
        <f t="shared" si="113"/>
        <v>116.97850562947798</v>
      </c>
      <c r="C319" s="4">
        <f t="shared" si="114"/>
        <v>112.21364625636654</v>
      </c>
      <c r="D319" s="4">
        <f t="shared" si="115"/>
        <v>119.6465501034029</v>
      </c>
      <c r="E319" s="4">
        <f t="shared" si="116"/>
        <v>76.796070468941863</v>
      </c>
      <c r="F319" s="4">
        <f t="shared" si="117"/>
        <v>114.19000506368558</v>
      </c>
      <c r="G319" s="4">
        <f t="shared" si="118"/>
        <v>103.90821986888552</v>
      </c>
      <c r="H319" s="4">
        <f t="shared" si="119"/>
        <v>84.15936254980079</v>
      </c>
      <c r="I319" s="4">
        <f t="shared" si="120"/>
        <v>106.1496059601223</v>
      </c>
      <c r="J319" s="4">
        <f t="shared" si="121"/>
        <v>136.7568814615085</v>
      </c>
      <c r="K319" s="4">
        <f t="shared" si="122"/>
        <v>91.760954086759</v>
      </c>
      <c r="L319" s="4">
        <f t="shared" si="123"/>
        <v>95.509202453987726</v>
      </c>
      <c r="M319" s="4">
        <f t="shared" si="124"/>
        <v>110.67690907630954</v>
      </c>
      <c r="N319" s="4">
        <f t="shared" si="125"/>
        <v>105.34393251135626</v>
      </c>
      <c r="O319" s="4">
        <f t="shared" si="126"/>
        <v>121.06911205546855</v>
      </c>
      <c r="P319" s="4">
        <f t="shared" si="127"/>
        <v>80.043934203300296</v>
      </c>
      <c r="Q319" s="4">
        <f t="shared" si="128"/>
        <v>89.542051377020542</v>
      </c>
      <c r="R319" s="4">
        <f t="shared" si="129"/>
        <v>109.87158207390584</v>
      </c>
      <c r="S319" s="4">
        <f t="shared" si="130"/>
        <v>102.59376749393543</v>
      </c>
      <c r="T319" s="4">
        <f t="shared" si="131"/>
        <v>130.29053539710733</v>
      </c>
      <c r="U319" s="4">
        <f t="shared" si="132"/>
        <v>105.50578545415432</v>
      </c>
      <c r="V319" s="4">
        <f t="shared" si="133"/>
        <v>102.36775063689495</v>
      </c>
      <c r="W319" s="4">
        <f t="shared" si="134"/>
        <v>98.264014466546129</v>
      </c>
      <c r="X319" s="4">
        <f t="shared" si="135"/>
        <v>119.02026749815377</v>
      </c>
      <c r="Y319" s="4">
        <f t="shared" si="136"/>
        <v>103.41422240979111</v>
      </c>
      <c r="Z319" s="4">
        <f t="shared" si="137"/>
        <v>136.0837019394352</v>
      </c>
      <c r="AA319" s="4">
        <f t="shared" si="138"/>
        <v>114.28571428571428</v>
      </c>
      <c r="AB319" s="4">
        <f t="shared" si="139"/>
        <v>86.696636696636702</v>
      </c>
      <c r="AC319" s="4">
        <f t="shared" si="140"/>
        <v>95.682989690721669</v>
      </c>
      <c r="AD319" s="4">
        <f t="shared" si="141"/>
        <v>91.751751751751769</v>
      </c>
      <c r="AE319" s="4">
        <f t="shared" si="142"/>
        <v>96.544267809233972</v>
      </c>
      <c r="AF319" s="4">
        <f t="shared" si="143"/>
        <v>103.06988045907187</v>
      </c>
      <c r="AG319" s="4">
        <f t="shared" si="144"/>
        <v>100.10351966873708</v>
      </c>
      <c r="AH319" s="4">
        <f t="shared" si="145"/>
        <v>113.98462134203686</v>
      </c>
      <c r="AI319" s="4">
        <f t="shared" si="146"/>
        <v>119.21895568231682</v>
      </c>
      <c r="AJ319" s="4">
        <f t="shared" si="147"/>
        <v>104.20430284118902</v>
      </c>
      <c r="AK319" s="4">
        <f t="shared" si="148"/>
        <v>112.27402084229058</v>
      </c>
      <c r="AL319" s="4">
        <f t="shared" si="149"/>
        <v>113.76988107178678</v>
      </c>
      <c r="AM319" s="4">
        <f t="shared" si="150"/>
        <v>76.060582480316356</v>
      </c>
      <c r="AN319" s="4">
        <f t="shared" si="151"/>
        <v>128.87032276492428</v>
      </c>
      <c r="AO319" s="4">
        <f t="shared" si="152"/>
        <v>121.8891769280622</v>
      </c>
      <c r="AP319" s="4">
        <f t="shared" si="153"/>
        <v>115.13618348933299</v>
      </c>
      <c r="AQ319" s="4">
        <f t="shared" si="154"/>
        <v>90.606567479531634</v>
      </c>
      <c r="AR319" s="4">
        <f t="shared" si="155"/>
        <v>96.390033352952713</v>
      </c>
      <c r="AS319" s="4">
        <f t="shared" si="156"/>
        <v>98.437510600910485</v>
      </c>
      <c r="AT319" s="4">
        <f t="shared" si="157"/>
        <v>112.32076473712161</v>
      </c>
      <c r="AU319" s="4">
        <f t="shared" si="158"/>
        <v>118.47223731391938</v>
      </c>
      <c r="AV319" s="4">
        <f t="shared" si="159"/>
        <v>91.986851716581441</v>
      </c>
      <c r="AW319" s="4">
        <f t="shared" si="160"/>
        <v>105.34969589064012</v>
      </c>
      <c r="AX319" s="4">
        <f t="shared" si="161"/>
        <v>88.590880957293166</v>
      </c>
    </row>
    <row r="320" spans="1:50" ht="14.25" customHeight="1" x14ac:dyDescent="0.3">
      <c r="A320" s="2">
        <v>45860</v>
      </c>
      <c r="B320" s="4">
        <f t="shared" si="113"/>
        <v>115.68474923234389</v>
      </c>
      <c r="C320" s="4">
        <f t="shared" si="114"/>
        <v>112.58385873589268</v>
      </c>
      <c r="D320" s="4">
        <f t="shared" si="115"/>
        <v>119.49614589208497</v>
      </c>
      <c r="E320" s="4">
        <f t="shared" si="116"/>
        <v>76.830113436029606</v>
      </c>
      <c r="F320" s="4">
        <f t="shared" si="117"/>
        <v>114.79764733377478</v>
      </c>
      <c r="G320" s="4">
        <f t="shared" si="118"/>
        <v>102.74836106908725</v>
      </c>
      <c r="H320" s="4">
        <f t="shared" si="119"/>
        <v>83.447543160690557</v>
      </c>
      <c r="I320" s="4">
        <f t="shared" si="120"/>
        <v>106.78696007923863</v>
      </c>
      <c r="J320" s="4">
        <f t="shared" si="121"/>
        <v>137.34805992530966</v>
      </c>
      <c r="K320" s="4">
        <f t="shared" si="122"/>
        <v>90.865405617928445</v>
      </c>
      <c r="L320" s="4">
        <f t="shared" si="123"/>
        <v>94.467620995228359</v>
      </c>
      <c r="M320" s="4">
        <f t="shared" si="124"/>
        <v>111.45311956318086</v>
      </c>
      <c r="N320" s="4">
        <f t="shared" si="125"/>
        <v>105.68462037637897</v>
      </c>
      <c r="O320" s="4">
        <f t="shared" si="126"/>
        <v>120.78953254305522</v>
      </c>
      <c r="P320" s="4">
        <f t="shared" si="127"/>
        <v>79.505217186641914</v>
      </c>
      <c r="Q320" s="4">
        <f t="shared" si="128"/>
        <v>88.785417603640298</v>
      </c>
      <c r="R320" s="4">
        <f t="shared" si="129"/>
        <v>108.77959290643835</v>
      </c>
      <c r="S320" s="4">
        <f t="shared" si="130"/>
        <v>102.44448591155066</v>
      </c>
      <c r="T320" s="4">
        <f t="shared" si="131"/>
        <v>129.3834052270997</v>
      </c>
      <c r="U320" s="4">
        <f t="shared" si="132"/>
        <v>106.71665872735375</v>
      </c>
      <c r="V320" s="4">
        <f t="shared" si="133"/>
        <v>102.15794994754984</v>
      </c>
      <c r="W320" s="4">
        <f t="shared" si="134"/>
        <v>108.42676311030741</v>
      </c>
      <c r="X320" s="4">
        <f t="shared" si="135"/>
        <v>116.57503897595799</v>
      </c>
      <c r="Y320" s="4">
        <f t="shared" si="136"/>
        <v>103.9924034606457</v>
      </c>
      <c r="Z320" s="4">
        <f t="shared" si="137"/>
        <v>137.15549506634912</v>
      </c>
      <c r="AA320" s="4">
        <f t="shared" si="138"/>
        <v>113.83290076757413</v>
      </c>
      <c r="AB320" s="4">
        <f t="shared" si="139"/>
        <v>86.480186480186475</v>
      </c>
      <c r="AC320" s="4">
        <f t="shared" si="140"/>
        <v>95.940721649484544</v>
      </c>
      <c r="AD320" s="4">
        <f t="shared" si="141"/>
        <v>89.876543209876544</v>
      </c>
      <c r="AE320" s="4">
        <f t="shared" si="142"/>
        <v>94.902494694269819</v>
      </c>
      <c r="AF320" s="4">
        <f t="shared" si="143"/>
        <v>102.62729698652721</v>
      </c>
      <c r="AG320" s="4">
        <f t="shared" si="144"/>
        <v>100.69875776397517</v>
      </c>
      <c r="AH320" s="4">
        <f t="shared" si="145"/>
        <v>112.64313768877581</v>
      </c>
      <c r="AI320" s="4">
        <f t="shared" si="146"/>
        <v>119.23358198040074</v>
      </c>
      <c r="AJ320" s="4">
        <f t="shared" si="147"/>
        <v>102.08572836262113</v>
      </c>
      <c r="AK320" s="4">
        <f t="shared" si="148"/>
        <v>111.48782834797206</v>
      </c>
      <c r="AL320" s="4">
        <f t="shared" si="149"/>
        <v>111.34423679200867</v>
      </c>
      <c r="AM320" s="4">
        <f t="shared" si="150"/>
        <v>75.841285786037176</v>
      </c>
      <c r="AN320" s="4">
        <f t="shared" si="151"/>
        <v>129.17737789203082</v>
      </c>
      <c r="AO320" s="4">
        <f t="shared" si="152"/>
        <v>123.67141931302656</v>
      </c>
      <c r="AP320" s="4">
        <f t="shared" si="153"/>
        <v>116.37574837676024</v>
      </c>
      <c r="AQ320" s="4">
        <f t="shared" si="154"/>
        <v>90.806115561815886</v>
      </c>
      <c r="AR320" s="4">
        <f t="shared" si="155"/>
        <v>95.768752861160181</v>
      </c>
      <c r="AS320" s="4">
        <f t="shared" si="156"/>
        <v>98.328957277482644</v>
      </c>
      <c r="AT320" s="4">
        <f t="shared" si="157"/>
        <v>109.66542750929369</v>
      </c>
      <c r="AU320" s="4">
        <f t="shared" si="158"/>
        <v>117.87460610670435</v>
      </c>
      <c r="AV320" s="4">
        <f t="shared" si="159"/>
        <v>90.577063550036527</v>
      </c>
      <c r="AW320" s="4">
        <f t="shared" si="160"/>
        <v>103.77716969182786</v>
      </c>
      <c r="AX320" s="4">
        <f t="shared" si="161"/>
        <v>86.981638126676316</v>
      </c>
    </row>
    <row r="321" spans="1:50" ht="14.25" customHeight="1" x14ac:dyDescent="0.3">
      <c r="A321" s="2">
        <v>45861</v>
      </c>
      <c r="B321" s="4">
        <f t="shared" si="113"/>
        <v>116.65097236438073</v>
      </c>
      <c r="C321" s="4">
        <f t="shared" si="114"/>
        <v>113.54865489465773</v>
      </c>
      <c r="D321" s="4">
        <f t="shared" si="115"/>
        <v>121.8148774832362</v>
      </c>
      <c r="E321" s="4">
        <f t="shared" si="116"/>
        <v>77.304283334751787</v>
      </c>
      <c r="F321" s="4">
        <f t="shared" si="117"/>
        <v>115.96619016086937</v>
      </c>
      <c r="G321" s="4">
        <f t="shared" si="118"/>
        <v>103.46066565809377</v>
      </c>
      <c r="H321" s="4">
        <f t="shared" si="119"/>
        <v>83.638778220451528</v>
      </c>
      <c r="I321" s="4">
        <f t="shared" si="120"/>
        <v>105.52517118125834</v>
      </c>
      <c r="J321" s="4">
        <f t="shared" si="121"/>
        <v>139.6190503655213</v>
      </c>
      <c r="K321" s="4">
        <f t="shared" si="122"/>
        <v>90.636057839325488</v>
      </c>
      <c r="L321" s="4">
        <f t="shared" si="123"/>
        <v>95.021131561008872</v>
      </c>
      <c r="M321" s="4">
        <f t="shared" si="124"/>
        <v>112.65758411177431</v>
      </c>
      <c r="N321" s="4">
        <f t="shared" si="125"/>
        <v>106.06099935107073</v>
      </c>
      <c r="O321" s="4">
        <f t="shared" si="126"/>
        <v>121.35987474837842</v>
      </c>
      <c r="P321" s="4">
        <f t="shared" si="127"/>
        <v>80.01255262951436</v>
      </c>
      <c r="Q321" s="4">
        <f t="shared" si="128"/>
        <v>89.023519140717994</v>
      </c>
      <c r="R321" s="4">
        <f t="shared" si="129"/>
        <v>108.08071983925917</v>
      </c>
      <c r="S321" s="4">
        <f t="shared" si="130"/>
        <v>103.07893263668595</v>
      </c>
      <c r="T321" s="4">
        <f t="shared" si="131"/>
        <v>130.70921086018777</v>
      </c>
      <c r="U321" s="4">
        <f t="shared" si="132"/>
        <v>106.68592590316088</v>
      </c>
      <c r="V321" s="4">
        <f t="shared" si="133"/>
        <v>102.81732354263448</v>
      </c>
      <c r="W321" s="4">
        <f t="shared" si="134"/>
        <v>109.24050632911396</v>
      </c>
      <c r="X321" s="4">
        <f t="shared" si="135"/>
        <v>116.58324444079757</v>
      </c>
      <c r="Y321" s="4">
        <f t="shared" si="136"/>
        <v>103.6294576914961</v>
      </c>
      <c r="Z321" s="4">
        <f t="shared" si="137"/>
        <v>136.16876488601565</v>
      </c>
      <c r="AA321" s="4">
        <f t="shared" si="138"/>
        <v>114.17527196421669</v>
      </c>
      <c r="AB321" s="4">
        <f t="shared" si="139"/>
        <v>87.046287046287034</v>
      </c>
      <c r="AC321" s="4">
        <f t="shared" si="140"/>
        <v>96.407860824742272</v>
      </c>
      <c r="AD321" s="4">
        <f t="shared" si="141"/>
        <v>92.105438772105444</v>
      </c>
      <c r="AE321" s="4">
        <f t="shared" si="142"/>
        <v>96.069469312571869</v>
      </c>
      <c r="AF321" s="4">
        <f t="shared" si="143"/>
        <v>103.06988045907187</v>
      </c>
      <c r="AG321" s="4">
        <f t="shared" si="144"/>
        <v>101.12577639751552</v>
      </c>
      <c r="AH321" s="4">
        <f t="shared" si="145"/>
        <v>113.05802954029984</v>
      </c>
      <c r="AI321" s="4">
        <f t="shared" si="146"/>
        <v>119.03612695626735</v>
      </c>
      <c r="AJ321" s="4">
        <f t="shared" si="147"/>
        <v>103.28461159467892</v>
      </c>
      <c r="AK321" s="4">
        <f t="shared" si="148"/>
        <v>110.93094199782978</v>
      </c>
      <c r="AL321" s="4">
        <f t="shared" si="149"/>
        <v>111.38517593597118</v>
      </c>
      <c r="AM321" s="4">
        <f t="shared" si="150"/>
        <v>75.820063525300469</v>
      </c>
      <c r="AN321" s="4">
        <f t="shared" si="151"/>
        <v>129.21308197657811</v>
      </c>
      <c r="AO321" s="4">
        <f t="shared" si="152"/>
        <v>123.54180168502917</v>
      </c>
      <c r="AP321" s="4">
        <f t="shared" si="153"/>
        <v>117.2780166961801</v>
      </c>
      <c r="AQ321" s="4">
        <f t="shared" si="154"/>
        <v>90.770901194353954</v>
      </c>
      <c r="AR321" s="4">
        <f t="shared" si="155"/>
        <v>96.363874174350926</v>
      </c>
      <c r="AS321" s="4">
        <f t="shared" si="156"/>
        <v>100.05224128689964</v>
      </c>
      <c r="AT321" s="4">
        <f t="shared" si="157"/>
        <v>112.04666541037808</v>
      </c>
      <c r="AU321" s="4">
        <f t="shared" si="158"/>
        <v>115.46234923394545</v>
      </c>
      <c r="AV321" s="4">
        <f t="shared" si="159"/>
        <v>91.117604090577075</v>
      </c>
      <c r="AW321" s="4">
        <f t="shared" si="160"/>
        <v>104.28620932761359</v>
      </c>
      <c r="AX321" s="4">
        <f t="shared" si="161"/>
        <v>87.801733030740664</v>
      </c>
    </row>
    <row r="322" spans="1:50" ht="14.25" customHeight="1" x14ac:dyDescent="0.3">
      <c r="A322" s="2">
        <v>45862</v>
      </c>
      <c r="B322" s="4">
        <f t="shared" si="113"/>
        <v>114.87410440122825</v>
      </c>
      <c r="C322" s="4">
        <f t="shared" si="114"/>
        <v>112.9821176153829</v>
      </c>
      <c r="D322" s="4">
        <f t="shared" si="115"/>
        <v>121.33233063859122</v>
      </c>
      <c r="E322" s="4">
        <f t="shared" si="116"/>
        <v>76.548043137302585</v>
      </c>
      <c r="F322" s="4">
        <f t="shared" si="117"/>
        <v>115.56109531414324</v>
      </c>
      <c r="G322" s="4">
        <f t="shared" si="118"/>
        <v>102.83661119515884</v>
      </c>
      <c r="H322" s="4">
        <f t="shared" si="119"/>
        <v>82.470119521912338</v>
      </c>
      <c r="I322" s="4">
        <f t="shared" si="120"/>
        <v>104.98255889065933</v>
      </c>
      <c r="J322" s="4">
        <f t="shared" si="121"/>
        <v>138.2708750883163</v>
      </c>
      <c r="K322" s="4">
        <f t="shared" si="122"/>
        <v>89.543925560263844</v>
      </c>
      <c r="L322" s="4">
        <f t="shared" si="123"/>
        <v>94.819359236537153</v>
      </c>
      <c r="M322" s="4">
        <f t="shared" si="124"/>
        <v>112.03304693842956</v>
      </c>
      <c r="N322" s="4">
        <f t="shared" si="125"/>
        <v>105.80467229072032</v>
      </c>
      <c r="O322" s="4">
        <f t="shared" si="126"/>
        <v>119.77745470811895</v>
      </c>
      <c r="P322" s="4">
        <f t="shared" si="127"/>
        <v>78.830513350244516</v>
      </c>
      <c r="Q322" s="4">
        <f t="shared" si="128"/>
        <v>89.52617794121538</v>
      </c>
      <c r="R322" s="4">
        <f t="shared" si="129"/>
        <v>107.48667773215689</v>
      </c>
      <c r="S322" s="4">
        <f t="shared" si="130"/>
        <v>102.17391304347827</v>
      </c>
      <c r="T322" s="4">
        <f t="shared" si="131"/>
        <v>128.92032479066225</v>
      </c>
      <c r="U322" s="4">
        <f t="shared" si="132"/>
        <v>107.08545261766831</v>
      </c>
      <c r="V322" s="4">
        <f t="shared" si="133"/>
        <v>101.57350517008841</v>
      </c>
      <c r="W322" s="4">
        <f t="shared" si="134"/>
        <v>113.25497287522606</v>
      </c>
      <c r="X322" s="4">
        <f t="shared" si="135"/>
        <v>115.82834167555592</v>
      </c>
      <c r="Y322" s="4">
        <f t="shared" si="136"/>
        <v>103.32559611732435</v>
      </c>
      <c r="Z322" s="4">
        <f t="shared" si="137"/>
        <v>135.505273902688</v>
      </c>
      <c r="AA322" s="4">
        <f t="shared" si="138"/>
        <v>114.17527196421669</v>
      </c>
      <c r="AB322" s="4">
        <f t="shared" si="139"/>
        <v>87.196137196137201</v>
      </c>
      <c r="AC322" s="4">
        <f t="shared" si="140"/>
        <v>96.440077319587658</v>
      </c>
      <c r="AD322" s="4">
        <f t="shared" si="141"/>
        <v>93.493493493493503</v>
      </c>
      <c r="AE322" s="4">
        <f t="shared" si="142"/>
        <v>94.828128664672136</v>
      </c>
      <c r="AF322" s="4">
        <f t="shared" si="143"/>
        <v>102.05888095806304</v>
      </c>
      <c r="AG322" s="4">
        <f t="shared" si="144"/>
        <v>99.780020703933744</v>
      </c>
      <c r="AH322" s="4">
        <f t="shared" si="145"/>
        <v>107.04670760266271</v>
      </c>
      <c r="AI322" s="4">
        <f t="shared" si="146"/>
        <v>119.55536053824775</v>
      </c>
      <c r="AJ322" s="4">
        <f t="shared" si="147"/>
        <v>103.94153391361472</v>
      </c>
      <c r="AK322" s="4">
        <f t="shared" si="148"/>
        <v>112.02833568781605</v>
      </c>
      <c r="AL322" s="4">
        <f t="shared" si="149"/>
        <v>111.94808916545553</v>
      </c>
      <c r="AM322" s="4">
        <f t="shared" si="150"/>
        <v>72.919687891285434</v>
      </c>
      <c r="AN322" s="4">
        <f t="shared" si="151"/>
        <v>128.07769208797484</v>
      </c>
      <c r="AO322" s="4">
        <f t="shared" si="152"/>
        <v>122.699287103046</v>
      </c>
      <c r="AP322" s="4">
        <f t="shared" si="153"/>
        <v>117.31174635298085</v>
      </c>
      <c r="AQ322" s="4">
        <f t="shared" si="154"/>
        <v>87.953751797400002</v>
      </c>
      <c r="AR322" s="4">
        <f t="shared" si="155"/>
        <v>97.305604604015443</v>
      </c>
      <c r="AS322" s="4">
        <f t="shared" si="156"/>
        <v>99.916549632614831</v>
      </c>
      <c r="AT322" s="4">
        <f t="shared" si="157"/>
        <v>108.53476778647662</v>
      </c>
      <c r="AU322" s="4">
        <f t="shared" si="158"/>
        <v>116.57068347278062</v>
      </c>
      <c r="AV322" s="4">
        <f t="shared" si="159"/>
        <v>92.439737034331628</v>
      </c>
      <c r="AW322" s="4">
        <f t="shared" si="160"/>
        <v>102.80927742660148</v>
      </c>
      <c r="AX322" s="4">
        <f t="shared" si="161"/>
        <v>87.466474107695475</v>
      </c>
    </row>
    <row r="323" spans="1:50" ht="14.25" customHeight="1" x14ac:dyDescent="0.3">
      <c r="A323" s="2">
        <v>45863</v>
      </c>
      <c r="B323" s="4">
        <f t="shared" si="113"/>
        <v>113.95701125895599</v>
      </c>
      <c r="C323" s="4">
        <f t="shared" si="114"/>
        <v>112.44362673607216</v>
      </c>
      <c r="D323" s="4">
        <f t="shared" si="115"/>
        <v>121.44513379707966</v>
      </c>
      <c r="E323" s="4">
        <f t="shared" si="116"/>
        <v>76.251382995537938</v>
      </c>
      <c r="F323" s="4">
        <f t="shared" si="117"/>
        <v>115.07030732676351</v>
      </c>
      <c r="G323" s="4">
        <f t="shared" si="118"/>
        <v>101.68305597579423</v>
      </c>
      <c r="H323" s="4">
        <f t="shared" si="119"/>
        <v>80.515272244355913</v>
      </c>
      <c r="I323" s="4">
        <f t="shared" si="120"/>
        <v>104.01791481848328</v>
      </c>
      <c r="J323" s="4">
        <f t="shared" si="121"/>
        <v>131.75349299958185</v>
      </c>
      <c r="K323" s="4">
        <f t="shared" si="122"/>
        <v>89.423791009567068</v>
      </c>
      <c r="L323" s="4">
        <f t="shared" si="123"/>
        <v>93.875937286980232</v>
      </c>
      <c r="M323" s="4">
        <f t="shared" si="124"/>
        <v>110.6679871166903</v>
      </c>
      <c r="N323" s="4">
        <f t="shared" si="125"/>
        <v>105.33419857235562</v>
      </c>
      <c r="O323" s="4">
        <f t="shared" si="126"/>
        <v>118.79892641467231</v>
      </c>
      <c r="P323" s="4">
        <f t="shared" si="127"/>
        <v>77.936138497345638</v>
      </c>
      <c r="Q323" s="4">
        <f t="shared" si="128"/>
        <v>89.8965581100029</v>
      </c>
      <c r="R323" s="4">
        <f t="shared" si="129"/>
        <v>107.01493841181093</v>
      </c>
      <c r="S323" s="4">
        <f t="shared" si="130"/>
        <v>101.33420414256391</v>
      </c>
      <c r="T323" s="4">
        <f t="shared" si="131"/>
        <v>125.97056584623192</v>
      </c>
      <c r="U323" s="4">
        <f t="shared" si="132"/>
        <v>106.42162361510212</v>
      </c>
      <c r="V323" s="4">
        <f t="shared" si="133"/>
        <v>99.86512812827813</v>
      </c>
      <c r="W323" s="4">
        <f t="shared" si="134"/>
        <v>112.31464737793853</v>
      </c>
      <c r="X323" s="4">
        <f t="shared" si="135"/>
        <v>114.57290555509969</v>
      </c>
      <c r="Y323" s="4">
        <f t="shared" si="136"/>
        <v>101.40958008018571</v>
      </c>
      <c r="Z323" s="4">
        <f t="shared" si="137"/>
        <v>134.46750595440628</v>
      </c>
      <c r="AA323" s="4">
        <f t="shared" si="138"/>
        <v>113.41321994588327</v>
      </c>
      <c r="AB323" s="4">
        <f t="shared" si="139"/>
        <v>86.313686313686304</v>
      </c>
      <c r="AC323" s="4">
        <f t="shared" si="140"/>
        <v>94.10438144329899</v>
      </c>
      <c r="AD323" s="4">
        <f t="shared" si="141"/>
        <v>91.74507841174507</v>
      </c>
      <c r="AE323" s="4">
        <f t="shared" si="142"/>
        <v>92.391211079394324</v>
      </c>
      <c r="AF323" s="4">
        <f t="shared" si="143"/>
        <v>101.3689714273317</v>
      </c>
      <c r="AG323" s="4">
        <f t="shared" si="144"/>
        <v>98.550724637681171</v>
      </c>
      <c r="AH323" s="4">
        <f t="shared" si="145"/>
        <v>104.85700060850806</v>
      </c>
      <c r="AI323" s="4">
        <f t="shared" si="146"/>
        <v>118.05616498464238</v>
      </c>
      <c r="AJ323" s="4">
        <f t="shared" si="147"/>
        <v>102.23353588438167</v>
      </c>
      <c r="AK323" s="4">
        <f t="shared" si="148"/>
        <v>110.91046823495689</v>
      </c>
      <c r="AL323" s="4">
        <f t="shared" si="149"/>
        <v>111.21118457413056</v>
      </c>
      <c r="AM323" s="4">
        <f t="shared" si="150"/>
        <v>71.349240596769974</v>
      </c>
      <c r="AN323" s="4">
        <f t="shared" si="151"/>
        <v>130.82690659811479</v>
      </c>
      <c r="AO323" s="4">
        <f t="shared" si="152"/>
        <v>123.51749837977965</v>
      </c>
      <c r="AP323" s="4">
        <f t="shared" si="153"/>
        <v>116.94915254237289</v>
      </c>
      <c r="AQ323" s="4">
        <f t="shared" si="154"/>
        <v>85.799806320978973</v>
      </c>
      <c r="AR323" s="4">
        <f t="shared" si="155"/>
        <v>100.22235301811521</v>
      </c>
      <c r="AS323" s="4">
        <f t="shared" si="156"/>
        <v>101.34131200260528</v>
      </c>
      <c r="AT323" s="4">
        <f t="shared" si="157"/>
        <v>105.50254398437635</v>
      </c>
      <c r="AU323" s="4">
        <f t="shared" si="158"/>
        <v>114.57133543409761</v>
      </c>
      <c r="AV323" s="4">
        <f t="shared" si="159"/>
        <v>93.345507669832003</v>
      </c>
      <c r="AW323" s="4">
        <f t="shared" si="160"/>
        <v>101.10769892575905</v>
      </c>
      <c r="AX323" s="4">
        <f t="shared" si="161"/>
        <v>84.9700845884052</v>
      </c>
    </row>
    <row r="324" spans="1:50" ht="14.25" customHeight="1" x14ac:dyDescent="0.3">
      <c r="A324" s="2">
        <v>45866</v>
      </c>
      <c r="B324" s="4">
        <f t="shared" si="113"/>
        <v>113.62128966223131</v>
      </c>
      <c r="C324" s="4">
        <f t="shared" si="114"/>
        <v>112.66238865579214</v>
      </c>
      <c r="D324" s="4">
        <f t="shared" si="115"/>
        <v>118.46211693927428</v>
      </c>
      <c r="E324" s="4">
        <f t="shared" si="116"/>
        <v>74.877506109496778</v>
      </c>
      <c r="F324" s="4">
        <f t="shared" si="117"/>
        <v>115.95060958984146</v>
      </c>
      <c r="G324" s="4">
        <f t="shared" si="118"/>
        <v>100.49798285426121</v>
      </c>
      <c r="H324" s="4">
        <f t="shared" si="119"/>
        <v>80.531208499335989</v>
      </c>
      <c r="I324" s="4">
        <f t="shared" si="120"/>
        <v>105.1462038671892</v>
      </c>
      <c r="J324" s="4">
        <f t="shared" si="121"/>
        <v>126.95917984802388</v>
      </c>
      <c r="K324" s="4">
        <f t="shared" si="122"/>
        <v>89.533004237473236</v>
      </c>
      <c r="L324" s="4">
        <f t="shared" si="123"/>
        <v>93.311520109066109</v>
      </c>
      <c r="M324" s="4">
        <f t="shared" si="124"/>
        <v>110.09698170106084</v>
      </c>
      <c r="N324" s="4">
        <f t="shared" si="125"/>
        <v>104.14665801427643</v>
      </c>
      <c r="O324" s="4">
        <f t="shared" si="126"/>
        <v>109.96421382241108</v>
      </c>
      <c r="P324" s="4">
        <f t="shared" si="127"/>
        <v>76.68087554590862</v>
      </c>
      <c r="Q324" s="4">
        <f t="shared" si="128"/>
        <v>90.065874758591491</v>
      </c>
      <c r="R324" s="4">
        <f t="shared" si="129"/>
        <v>106.92757927841356</v>
      </c>
      <c r="S324" s="4">
        <f t="shared" si="130"/>
        <v>100.16794178018287</v>
      </c>
      <c r="T324" s="4">
        <f t="shared" si="131"/>
        <v>125.46308043643744</v>
      </c>
      <c r="U324" s="4">
        <f t="shared" si="132"/>
        <v>104.27647248643915</v>
      </c>
      <c r="V324" s="4">
        <f t="shared" si="133"/>
        <v>99.790199310654884</v>
      </c>
      <c r="W324" s="4">
        <f t="shared" si="134"/>
        <v>111.13924050632913</v>
      </c>
      <c r="X324" s="4">
        <f t="shared" si="135"/>
        <v>112.90719619266432</v>
      </c>
      <c r="Y324" s="4">
        <f t="shared" si="136"/>
        <v>101.29563198987128</v>
      </c>
      <c r="Z324" s="4">
        <f t="shared" si="137"/>
        <v>132.44300782579111</v>
      </c>
      <c r="AA324" s="4">
        <f t="shared" si="138"/>
        <v>113.62306035672869</v>
      </c>
      <c r="AB324" s="4">
        <f t="shared" si="139"/>
        <v>83.266733266733269</v>
      </c>
      <c r="AC324" s="4">
        <f t="shared" si="140"/>
        <v>94.039948453608247</v>
      </c>
      <c r="AD324" s="4">
        <f t="shared" si="141"/>
        <v>91.144477811144469</v>
      </c>
      <c r="AE324" s="4">
        <f t="shared" si="142"/>
        <v>92.551384066220095</v>
      </c>
      <c r="AF324" s="4">
        <f t="shared" si="143"/>
        <v>102.38430998199293</v>
      </c>
      <c r="AG324" s="4">
        <f t="shared" si="144"/>
        <v>97.916666666666671</v>
      </c>
      <c r="AH324" s="4">
        <f t="shared" si="145"/>
        <v>102.76871162250376</v>
      </c>
      <c r="AI324" s="4">
        <f t="shared" si="146"/>
        <v>116.77636390229634</v>
      </c>
      <c r="AJ324" s="4">
        <f t="shared" si="147"/>
        <v>100.95253736245691</v>
      </c>
      <c r="AK324" s="4">
        <f t="shared" si="148"/>
        <v>111.67209221382797</v>
      </c>
      <c r="AL324" s="4">
        <f t="shared" si="149"/>
        <v>110.2491146910118</v>
      </c>
      <c r="AM324" s="4">
        <f t="shared" si="150"/>
        <v>70.655980079371261</v>
      </c>
      <c r="AN324" s="4">
        <f t="shared" si="151"/>
        <v>132.14081690945443</v>
      </c>
      <c r="AO324" s="4">
        <f t="shared" si="152"/>
        <v>123.33117303953338</v>
      </c>
      <c r="AP324" s="4">
        <f t="shared" si="153"/>
        <v>116.25769457795766</v>
      </c>
      <c r="AQ324" s="4">
        <f t="shared" si="154"/>
        <v>85.136602400446051</v>
      </c>
      <c r="AR324" s="4">
        <f t="shared" si="155"/>
        <v>102.80557190504219</v>
      </c>
      <c r="AS324" s="4">
        <f t="shared" si="156"/>
        <v>99.821565474615468</v>
      </c>
      <c r="AT324" s="4">
        <f t="shared" si="157"/>
        <v>108.51763657855516</v>
      </c>
      <c r="AU324" s="4">
        <f t="shared" si="158"/>
        <v>115.16896664131264</v>
      </c>
      <c r="AV324" s="4">
        <f t="shared" si="159"/>
        <v>94.039444850255677</v>
      </c>
      <c r="AW324" s="4">
        <f t="shared" si="160"/>
        <v>102.55117282254113</v>
      </c>
      <c r="AX324" s="4">
        <f t="shared" si="161"/>
        <v>82.736744377965749</v>
      </c>
    </row>
    <row r="325" spans="1:50" ht="14.25" customHeight="1" x14ac:dyDescent="0.3">
      <c r="A325" s="2">
        <v>45867</v>
      </c>
      <c r="B325" s="4">
        <f t="shared" si="113"/>
        <v>116.03684749232343</v>
      </c>
      <c r="C325" s="4">
        <f t="shared" si="114"/>
        <v>113.39720433485158</v>
      </c>
      <c r="D325" s="4">
        <f t="shared" si="115"/>
        <v>120.21683273798334</v>
      </c>
      <c r="E325" s="4">
        <f t="shared" si="116"/>
        <v>74.310933871536434</v>
      </c>
      <c r="F325" s="4">
        <f t="shared" si="117"/>
        <v>115.77922330853426</v>
      </c>
      <c r="G325" s="4">
        <f t="shared" si="118"/>
        <v>100.75642965204234</v>
      </c>
      <c r="H325" s="4">
        <f t="shared" si="119"/>
        <v>80.409030544488715</v>
      </c>
      <c r="I325" s="4">
        <f t="shared" si="120"/>
        <v>105.6629774772835</v>
      </c>
      <c r="J325" s="4">
        <f t="shared" si="121"/>
        <v>127.83152855680359</v>
      </c>
      <c r="K325" s="4">
        <f t="shared" si="122"/>
        <v>89.216285876545356</v>
      </c>
      <c r="L325" s="4">
        <f t="shared" si="123"/>
        <v>95.312883435582805</v>
      </c>
      <c r="M325" s="4">
        <f t="shared" si="124"/>
        <v>111.24791449193903</v>
      </c>
      <c r="N325" s="4">
        <f t="shared" si="125"/>
        <v>103.80921479558729</v>
      </c>
      <c r="O325" s="4">
        <f t="shared" si="126"/>
        <v>110.30530082755534</v>
      </c>
      <c r="P325" s="4">
        <f t="shared" si="127"/>
        <v>77.010382070660839</v>
      </c>
      <c r="Q325" s="4">
        <f t="shared" si="128"/>
        <v>90.50503981586813</v>
      </c>
      <c r="R325" s="4">
        <f t="shared" si="129"/>
        <v>106.7615969249585</v>
      </c>
      <c r="S325" s="4">
        <f t="shared" si="130"/>
        <v>99.290912483672344</v>
      </c>
      <c r="T325" s="4">
        <f t="shared" si="131"/>
        <v>125.13321492007104</v>
      </c>
      <c r="U325" s="4">
        <f t="shared" si="132"/>
        <v>103.85235951257741</v>
      </c>
      <c r="V325" s="4">
        <f t="shared" si="133"/>
        <v>100.2847295069684</v>
      </c>
      <c r="W325" s="4">
        <f t="shared" si="134"/>
        <v>110.86799276672696</v>
      </c>
      <c r="X325" s="4">
        <f t="shared" si="135"/>
        <v>114.54008369574137</v>
      </c>
      <c r="Y325" s="4">
        <f t="shared" si="136"/>
        <v>101.89491453893227</v>
      </c>
      <c r="Z325" s="4">
        <f t="shared" si="137"/>
        <v>132.10275603946923</v>
      </c>
      <c r="AA325" s="4">
        <f t="shared" si="138"/>
        <v>114.29675851786405</v>
      </c>
      <c r="AB325" s="4">
        <f t="shared" si="139"/>
        <v>83.84948384948386</v>
      </c>
      <c r="AC325" s="4">
        <f t="shared" si="140"/>
        <v>94.426546391752595</v>
      </c>
      <c r="AD325" s="4">
        <f t="shared" si="141"/>
        <v>92.405739072405751</v>
      </c>
      <c r="AE325" s="4">
        <f t="shared" si="142"/>
        <v>92.986139316175752</v>
      </c>
      <c r="AF325" s="4">
        <f t="shared" si="143"/>
        <v>104.20237346234786</v>
      </c>
      <c r="AG325" s="4">
        <f t="shared" si="144"/>
        <v>99.288302277432706</v>
      </c>
      <c r="AH325" s="4">
        <f t="shared" si="145"/>
        <v>102.51055669266655</v>
      </c>
      <c r="AI325" s="4">
        <f t="shared" si="146"/>
        <v>118.24630685973378</v>
      </c>
      <c r="AJ325" s="4">
        <f t="shared" si="147"/>
        <v>105.46887830514042</v>
      </c>
      <c r="AK325" s="4">
        <f t="shared" si="148"/>
        <v>112.31906312061093</v>
      </c>
      <c r="AL325" s="4">
        <f t="shared" si="149"/>
        <v>111.97879352342741</v>
      </c>
      <c r="AM325" s="4">
        <f t="shared" si="150"/>
        <v>70.762091383054724</v>
      </c>
      <c r="AN325" s="4">
        <f t="shared" si="151"/>
        <v>130.91973721793772</v>
      </c>
      <c r="AO325" s="4">
        <f t="shared" si="152"/>
        <v>122.5453661697991</v>
      </c>
      <c r="AP325" s="4">
        <f t="shared" si="153"/>
        <v>116.82266632937008</v>
      </c>
      <c r="AQ325" s="4">
        <f t="shared" si="154"/>
        <v>85.324412360242988</v>
      </c>
      <c r="AR325" s="4">
        <f t="shared" si="155"/>
        <v>102.93636779805114</v>
      </c>
      <c r="AS325" s="4">
        <f t="shared" si="156"/>
        <v>101.17169743474928</v>
      </c>
      <c r="AT325" s="4">
        <f t="shared" si="157"/>
        <v>109.35706576670722</v>
      </c>
      <c r="AU325" s="4">
        <f t="shared" si="158"/>
        <v>115.35368901445182</v>
      </c>
      <c r="AV325" s="4">
        <f t="shared" si="159"/>
        <v>94.945215485756023</v>
      </c>
      <c r="AW325" s="4">
        <f t="shared" si="160"/>
        <v>103.36611421128727</v>
      </c>
      <c r="AX325" s="4">
        <f t="shared" si="161"/>
        <v>83.371157416958965</v>
      </c>
    </row>
    <row r="326" spans="1:50" ht="14.25" customHeight="1" x14ac:dyDescent="0.3">
      <c r="A326" s="2">
        <v>45868</v>
      </c>
      <c r="B326" s="4">
        <f t="shared" si="113"/>
        <v>115.46366427840327</v>
      </c>
      <c r="C326" s="4">
        <f t="shared" si="114"/>
        <v>113.63279409455002</v>
      </c>
      <c r="D326" s="4">
        <f t="shared" si="115"/>
        <v>121.11299116375258</v>
      </c>
      <c r="E326" s="4">
        <f t="shared" si="116"/>
        <v>74.252574499386014</v>
      </c>
      <c r="F326" s="4">
        <f t="shared" si="117"/>
        <v>115.48319245900362</v>
      </c>
      <c r="G326" s="4">
        <f t="shared" si="118"/>
        <v>101.06530509329296</v>
      </c>
      <c r="H326" s="4">
        <f t="shared" si="119"/>
        <v>80.690571049136778</v>
      </c>
      <c r="I326" s="4">
        <f t="shared" si="120"/>
        <v>104.96533310365619</v>
      </c>
      <c r="J326" s="4">
        <f t="shared" si="121"/>
        <v>127.58640577912996</v>
      </c>
      <c r="K326" s="4">
        <f t="shared" si="122"/>
        <v>89.030623389104889</v>
      </c>
      <c r="L326" s="4">
        <f t="shared" si="123"/>
        <v>99.934560327198369</v>
      </c>
      <c r="M326" s="4">
        <f t="shared" si="124"/>
        <v>112.57728647520142</v>
      </c>
      <c r="N326" s="4">
        <f t="shared" si="125"/>
        <v>104.11745619727451</v>
      </c>
      <c r="O326" s="4">
        <f t="shared" si="126"/>
        <v>109.5783940952807</v>
      </c>
      <c r="P326" s="4">
        <f t="shared" si="127"/>
        <v>77.224822824864674</v>
      </c>
      <c r="Q326" s="4">
        <f t="shared" si="128"/>
        <v>91.737876663403782</v>
      </c>
      <c r="R326" s="4">
        <f t="shared" si="129"/>
        <v>107.17218485192627</v>
      </c>
      <c r="S326" s="4">
        <f t="shared" si="130"/>
        <v>100.13995148348573</v>
      </c>
      <c r="T326" s="4">
        <f t="shared" si="131"/>
        <v>124.3212382643999</v>
      </c>
      <c r="U326" s="4">
        <f t="shared" si="132"/>
        <v>103.76938088725664</v>
      </c>
      <c r="V326" s="4">
        <f t="shared" si="133"/>
        <v>101.54353364303913</v>
      </c>
      <c r="W326" s="4">
        <f t="shared" si="134"/>
        <v>109.74683544303798</v>
      </c>
      <c r="X326" s="4">
        <f t="shared" si="135"/>
        <v>114.38417986378929</v>
      </c>
      <c r="Y326" s="4">
        <f t="shared" si="136"/>
        <v>102.05106562565942</v>
      </c>
      <c r="Z326" s="4">
        <f t="shared" si="137"/>
        <v>131.50731541340593</v>
      </c>
      <c r="AA326" s="4">
        <f t="shared" si="138"/>
        <v>114.62808548235685</v>
      </c>
      <c r="AB326" s="4">
        <f t="shared" si="139"/>
        <v>83.31668331668331</v>
      </c>
      <c r="AC326" s="4">
        <f t="shared" si="140"/>
        <v>93.089561855670112</v>
      </c>
      <c r="AD326" s="4">
        <f t="shared" si="141"/>
        <v>89.215882549215877</v>
      </c>
      <c r="AE326" s="4">
        <f t="shared" si="142"/>
        <v>92.025101395221128</v>
      </c>
      <c r="AF326" s="4">
        <f t="shared" si="143"/>
        <v>104.82285813464082</v>
      </c>
      <c r="AG326" s="4">
        <f t="shared" si="144"/>
        <v>98.317805383022773</v>
      </c>
      <c r="AH326" s="4">
        <f t="shared" si="145"/>
        <v>102.87012963065408</v>
      </c>
      <c r="AI326" s="4">
        <f t="shared" si="146"/>
        <v>118.00497294134856</v>
      </c>
      <c r="AJ326" s="4">
        <f t="shared" si="147"/>
        <v>105.20610937756609</v>
      </c>
      <c r="AK326" s="4">
        <f t="shared" si="148"/>
        <v>112.95784452224473</v>
      </c>
      <c r="AL326" s="4">
        <f t="shared" si="149"/>
        <v>112.19372402923054</v>
      </c>
      <c r="AM326" s="4">
        <f t="shared" si="150"/>
        <v>71.3563146836822</v>
      </c>
      <c r="AN326" s="4">
        <f t="shared" si="151"/>
        <v>131.32676378177661</v>
      </c>
      <c r="AO326" s="4">
        <f t="shared" si="152"/>
        <v>122.72359040829555</v>
      </c>
      <c r="AP326" s="4">
        <f t="shared" si="153"/>
        <v>116.1649380217556</v>
      </c>
      <c r="AQ326" s="4">
        <f t="shared" si="154"/>
        <v>85.876104117146454</v>
      </c>
      <c r="AR326" s="4">
        <f t="shared" si="155"/>
        <v>101.98155777908575</v>
      </c>
      <c r="AS326" s="4">
        <f t="shared" si="156"/>
        <v>101.09028244217839</v>
      </c>
      <c r="AT326" s="4">
        <f t="shared" si="157"/>
        <v>108.40628372706558</v>
      </c>
      <c r="AU326" s="4">
        <f t="shared" si="158"/>
        <v>116.60328153862871</v>
      </c>
      <c r="AV326" s="4">
        <f t="shared" si="159"/>
        <v>94.382761139517896</v>
      </c>
      <c r="AW326" s="4">
        <f t="shared" si="160"/>
        <v>101.60000955942978</v>
      </c>
      <c r="AX326" s="4">
        <f t="shared" si="161"/>
        <v>82.721270889209833</v>
      </c>
    </row>
    <row r="327" spans="1:50" ht="14.25" customHeight="1" x14ac:dyDescent="0.3">
      <c r="A327" s="2">
        <v>45869</v>
      </c>
      <c r="B327" s="4">
        <f t="shared" si="113"/>
        <v>113.83418628454451</v>
      </c>
      <c r="C327" s="4">
        <f t="shared" si="114"/>
        <v>113.20648881509572</v>
      </c>
      <c r="D327" s="4">
        <f t="shared" si="115"/>
        <v>119.96615905245346</v>
      </c>
      <c r="E327" s="4">
        <f t="shared" si="116"/>
        <v>73.84405889433306</v>
      </c>
      <c r="F327" s="4">
        <f t="shared" si="117"/>
        <v>115.40528960386398</v>
      </c>
      <c r="G327" s="4">
        <f t="shared" si="118"/>
        <v>100.42233988905696</v>
      </c>
      <c r="H327" s="4">
        <f t="shared" si="119"/>
        <v>80.15936254980079</v>
      </c>
      <c r="I327" s="4">
        <f t="shared" si="120"/>
        <v>108.57413548081479</v>
      </c>
      <c r="J327" s="4">
        <f t="shared" si="121"/>
        <v>127.06011275647772</v>
      </c>
      <c r="K327" s="4">
        <f t="shared" si="122"/>
        <v>89.980778471888513</v>
      </c>
      <c r="L327" s="4">
        <f t="shared" si="123"/>
        <v>99.154737559645525</v>
      </c>
      <c r="M327" s="4">
        <f t="shared" si="124"/>
        <v>112.48806687900932</v>
      </c>
      <c r="N327" s="4">
        <f t="shared" si="125"/>
        <v>103.92926670992861</v>
      </c>
      <c r="O327" s="4">
        <f t="shared" si="126"/>
        <v>110.63520465220307</v>
      </c>
      <c r="P327" s="4">
        <f t="shared" si="127"/>
        <v>76.775020267266413</v>
      </c>
      <c r="Q327" s="4">
        <f t="shared" si="128"/>
        <v>90.303976295669202</v>
      </c>
      <c r="R327" s="4">
        <f t="shared" si="129"/>
        <v>107.00620249847121</v>
      </c>
      <c r="S327" s="4">
        <f t="shared" si="130"/>
        <v>99.682776637432383</v>
      </c>
      <c r="T327" s="4">
        <f t="shared" si="131"/>
        <v>123.57269728495304</v>
      </c>
      <c r="U327" s="4">
        <f t="shared" si="132"/>
        <v>102.87198242082457</v>
      </c>
      <c r="V327" s="4">
        <f t="shared" si="133"/>
        <v>100.17982916229582</v>
      </c>
      <c r="W327" s="4">
        <f t="shared" si="134"/>
        <v>111.32007233273058</v>
      </c>
      <c r="X327" s="4">
        <f t="shared" si="135"/>
        <v>112.66923771231639</v>
      </c>
      <c r="Y327" s="4">
        <f t="shared" si="136"/>
        <v>101.70922135471618</v>
      </c>
      <c r="Z327" s="4">
        <f t="shared" si="137"/>
        <v>130.35045933991157</v>
      </c>
      <c r="AA327" s="4">
        <f t="shared" si="138"/>
        <v>115.77668562593185</v>
      </c>
      <c r="AB327" s="4">
        <f t="shared" si="139"/>
        <v>82.683982683982677</v>
      </c>
      <c r="AC327" s="4">
        <f t="shared" si="140"/>
        <v>93.75</v>
      </c>
      <c r="AD327" s="4">
        <f t="shared" si="141"/>
        <v>88.882215548882215</v>
      </c>
      <c r="AE327" s="4">
        <f t="shared" si="142"/>
        <v>91.618948464341486</v>
      </c>
      <c r="AF327" s="4">
        <f t="shared" si="143"/>
        <v>103.96806456511834</v>
      </c>
      <c r="AG327" s="4">
        <f t="shared" si="144"/>
        <v>97.399068322981392</v>
      </c>
      <c r="AH327" s="4">
        <f t="shared" si="145"/>
        <v>103.61693496339733</v>
      </c>
      <c r="AI327" s="4">
        <f t="shared" si="146"/>
        <v>115.50387596899223</v>
      </c>
      <c r="AJ327" s="4">
        <f t="shared" si="147"/>
        <v>108.14583675480374</v>
      </c>
      <c r="AK327" s="4">
        <f t="shared" si="148"/>
        <v>112.45828470814652</v>
      </c>
      <c r="AL327" s="4">
        <f t="shared" si="149"/>
        <v>111.93785437946491</v>
      </c>
      <c r="AM327" s="4">
        <f t="shared" si="150"/>
        <v>70.995536251158384</v>
      </c>
      <c r="AN327" s="4">
        <f t="shared" si="151"/>
        <v>131.44101685232786</v>
      </c>
      <c r="AO327" s="4">
        <f t="shared" si="152"/>
        <v>122.40764744005183</v>
      </c>
      <c r="AP327" s="4">
        <f t="shared" si="153"/>
        <v>115.19521038873425</v>
      </c>
      <c r="AQ327" s="4">
        <f t="shared" si="154"/>
        <v>85.905449423364729</v>
      </c>
      <c r="AR327" s="4">
        <f t="shared" si="155"/>
        <v>101.66764763586423</v>
      </c>
      <c r="AS327" s="4">
        <f t="shared" si="156"/>
        <v>101.74160238274543</v>
      </c>
      <c r="AT327" s="4">
        <f t="shared" si="157"/>
        <v>108.07222517259693</v>
      </c>
      <c r="AU327" s="4">
        <f t="shared" si="158"/>
        <v>116.61414756057809</v>
      </c>
      <c r="AV327" s="4">
        <f t="shared" si="159"/>
        <v>92.790357925493055</v>
      </c>
      <c r="AW327" s="4">
        <f t="shared" si="160"/>
        <v>101.82465615926009</v>
      </c>
      <c r="AX327" s="4">
        <f t="shared" si="161"/>
        <v>82.411801114091205</v>
      </c>
    </row>
    <row r="328" spans="1:50" ht="14.25" customHeight="1" x14ac:dyDescent="0.3">
      <c r="A328" s="2">
        <v>45870</v>
      </c>
      <c r="B328" s="4">
        <f t="shared" si="113"/>
        <v>114.12077789150462</v>
      </c>
      <c r="C328" s="4">
        <f t="shared" si="114"/>
        <v>112.8699320155265</v>
      </c>
      <c r="D328" s="4">
        <f t="shared" si="115"/>
        <v>118.09237325311774</v>
      </c>
      <c r="E328" s="4">
        <f t="shared" si="116"/>
        <v>73.022164403214632</v>
      </c>
      <c r="F328" s="4">
        <f t="shared" si="117"/>
        <v>114.64184162349549</v>
      </c>
      <c r="G328" s="4">
        <f t="shared" si="118"/>
        <v>100.10085728693898</v>
      </c>
      <c r="H328" s="4">
        <f t="shared" si="119"/>
        <v>78.066401062416986</v>
      </c>
      <c r="I328" s="4">
        <f t="shared" si="120"/>
        <v>109.97373067482022</v>
      </c>
      <c r="J328" s="4">
        <f t="shared" si="121"/>
        <v>126.25264948884691</v>
      </c>
      <c r="K328" s="4">
        <f t="shared" si="122"/>
        <v>90.96369752304399</v>
      </c>
      <c r="L328" s="4">
        <f t="shared" si="123"/>
        <v>97.813224267211993</v>
      </c>
      <c r="M328" s="4">
        <f t="shared" si="124"/>
        <v>109.75794723553082</v>
      </c>
      <c r="N328" s="4">
        <f t="shared" si="125"/>
        <v>102.50811161583388</v>
      </c>
      <c r="O328" s="4">
        <f t="shared" si="126"/>
        <v>111.40684410646386</v>
      </c>
      <c r="P328" s="4">
        <f t="shared" si="127"/>
        <v>75.948638824237037</v>
      </c>
      <c r="Q328" s="4">
        <f t="shared" si="128"/>
        <v>86.229794439006312</v>
      </c>
      <c r="R328" s="4">
        <f t="shared" si="129"/>
        <v>105.81811828426662</v>
      </c>
      <c r="S328" s="4">
        <f t="shared" si="130"/>
        <v>99.122970703489472</v>
      </c>
      <c r="T328" s="4">
        <f t="shared" si="131"/>
        <v>121.56178634864247</v>
      </c>
      <c r="U328" s="4">
        <f t="shared" si="132"/>
        <v>101.91004502358744</v>
      </c>
      <c r="V328" s="4">
        <f t="shared" si="133"/>
        <v>99.175783006144158</v>
      </c>
      <c r="W328" s="4">
        <f t="shared" si="134"/>
        <v>110.21699819168174</v>
      </c>
      <c r="X328" s="4">
        <f t="shared" si="135"/>
        <v>110.53581685402479</v>
      </c>
      <c r="Y328" s="4">
        <f t="shared" si="136"/>
        <v>99.932475205739607</v>
      </c>
      <c r="Z328" s="4">
        <f t="shared" si="137"/>
        <v>128.34297380061247</v>
      </c>
      <c r="AA328" s="4">
        <f t="shared" si="138"/>
        <v>113.5126180352311</v>
      </c>
      <c r="AB328" s="4">
        <f t="shared" si="139"/>
        <v>80.835830835830819</v>
      </c>
      <c r="AC328" s="4">
        <f t="shared" si="140"/>
        <v>93.830541237113408</v>
      </c>
      <c r="AD328" s="4">
        <f t="shared" si="141"/>
        <v>86.599933266599933</v>
      </c>
      <c r="AE328" s="4">
        <f t="shared" si="142"/>
        <v>92.036542322851545</v>
      </c>
      <c r="AF328" s="4">
        <f t="shared" si="143"/>
        <v>105.48239428980537</v>
      </c>
      <c r="AG328" s="4">
        <f t="shared" si="144"/>
        <v>96.402691511387161</v>
      </c>
      <c r="AH328" s="4">
        <f t="shared" si="145"/>
        <v>104.94458888827425</v>
      </c>
      <c r="AI328" s="4">
        <f t="shared" si="146"/>
        <v>111.89849349129734</v>
      </c>
      <c r="AJ328" s="4">
        <f t="shared" si="147"/>
        <v>108.2279520446707</v>
      </c>
      <c r="AK328" s="4">
        <f t="shared" si="148"/>
        <v>111.46735458509917</v>
      </c>
      <c r="AL328" s="4">
        <f t="shared" si="149"/>
        <v>113.15579391234927</v>
      </c>
      <c r="AM328" s="4">
        <f t="shared" si="150"/>
        <v>73.287540410721491</v>
      </c>
      <c r="AN328" s="4">
        <f t="shared" si="151"/>
        <v>128.26335332762068</v>
      </c>
      <c r="AO328" s="4">
        <f t="shared" si="152"/>
        <v>120.17174335709657</v>
      </c>
      <c r="AP328" s="4">
        <f t="shared" si="153"/>
        <v>113.40753857829498</v>
      </c>
      <c r="AQ328" s="4">
        <f t="shared" si="154"/>
        <v>84.444053173694869</v>
      </c>
      <c r="AR328" s="4">
        <f t="shared" si="155"/>
        <v>98.280034006932183</v>
      </c>
      <c r="AS328" s="4">
        <f t="shared" si="156"/>
        <v>99.753719647473076</v>
      </c>
      <c r="AT328" s="4">
        <f t="shared" si="157"/>
        <v>105.21987905367209</v>
      </c>
      <c r="AU328" s="4">
        <f t="shared" si="158"/>
        <v>116.30989894599588</v>
      </c>
      <c r="AV328" s="4">
        <f t="shared" si="159"/>
        <v>89.159970781592406</v>
      </c>
      <c r="AW328" s="4">
        <f t="shared" si="160"/>
        <v>103.04109359876684</v>
      </c>
      <c r="AX328" s="4">
        <f t="shared" si="161"/>
        <v>80.843820920156816</v>
      </c>
    </row>
    <row r="329" spans="1:50" ht="14.25" customHeight="1" x14ac:dyDescent="0.3">
      <c r="A329" s="2">
        <v>45873</v>
      </c>
      <c r="B329" s="4">
        <f t="shared" si="113"/>
        <v>115.57830092118731</v>
      </c>
      <c r="C329" s="4">
        <f t="shared" si="114"/>
        <v>111.73685745697684</v>
      </c>
      <c r="D329" s="4">
        <f t="shared" si="115"/>
        <v>119.98495957886821</v>
      </c>
      <c r="E329" s="4">
        <f t="shared" si="116"/>
        <v>74.758355724689665</v>
      </c>
      <c r="F329" s="4">
        <f t="shared" si="117"/>
        <v>113.98745764032252</v>
      </c>
      <c r="G329" s="4">
        <f t="shared" si="118"/>
        <v>100.3151790216843</v>
      </c>
      <c r="H329" s="4">
        <f t="shared" si="119"/>
        <v>78.645418326693232</v>
      </c>
      <c r="I329" s="4">
        <f t="shared" si="120"/>
        <v>109.54308599974161</v>
      </c>
      <c r="J329" s="4">
        <f t="shared" si="121"/>
        <v>127.65129122027885</v>
      </c>
      <c r="K329" s="4">
        <f t="shared" si="122"/>
        <v>91.051068105368927</v>
      </c>
      <c r="L329" s="4">
        <f t="shared" si="123"/>
        <v>99.007498295841856</v>
      </c>
      <c r="M329" s="4">
        <f t="shared" si="124"/>
        <v>110.32003069154111</v>
      </c>
      <c r="N329" s="4">
        <f t="shared" si="125"/>
        <v>103.83517196625567</v>
      </c>
      <c r="O329" s="4">
        <f t="shared" si="126"/>
        <v>111.66405725788412</v>
      </c>
      <c r="P329" s="4">
        <f t="shared" si="127"/>
        <v>77.114987316613934</v>
      </c>
      <c r="Q329" s="4">
        <f t="shared" si="128"/>
        <v>86.85944072594512</v>
      </c>
      <c r="R329" s="4">
        <f t="shared" si="129"/>
        <v>107.07608980518913</v>
      </c>
      <c r="S329" s="4">
        <f t="shared" si="130"/>
        <v>99.701436835230453</v>
      </c>
      <c r="T329" s="4">
        <f t="shared" si="131"/>
        <v>122.65922354732299</v>
      </c>
      <c r="U329" s="4">
        <f t="shared" si="132"/>
        <v>103.14857783856048</v>
      </c>
      <c r="V329" s="4">
        <f t="shared" si="133"/>
        <v>99.505469803686495</v>
      </c>
      <c r="W329" s="4">
        <f t="shared" si="134"/>
        <v>110.39783001808318</v>
      </c>
      <c r="X329" s="4">
        <f t="shared" si="135"/>
        <v>113.96570115697055</v>
      </c>
      <c r="Y329" s="4">
        <f t="shared" si="136"/>
        <v>99.105296476049816</v>
      </c>
      <c r="Z329" s="4">
        <f t="shared" si="137"/>
        <v>132.54508336168766</v>
      </c>
      <c r="AA329" s="4">
        <f t="shared" si="138"/>
        <v>116.61604726931361</v>
      </c>
      <c r="AB329" s="4">
        <f t="shared" si="139"/>
        <v>81.934731934731929</v>
      </c>
      <c r="AC329" s="4">
        <f t="shared" si="140"/>
        <v>92.767396907216494</v>
      </c>
      <c r="AD329" s="4">
        <f t="shared" si="141"/>
        <v>87.233900567233903</v>
      </c>
      <c r="AE329" s="4">
        <f t="shared" si="142"/>
        <v>93.672594974000489</v>
      </c>
      <c r="AF329" s="4">
        <f t="shared" si="143"/>
        <v>106.29813637645628</v>
      </c>
      <c r="AG329" s="4">
        <f t="shared" si="144"/>
        <v>96.972049689440993</v>
      </c>
      <c r="AH329" s="4">
        <f t="shared" si="145"/>
        <v>104.98607807342665</v>
      </c>
      <c r="AI329" s="4">
        <f t="shared" si="146"/>
        <v>116.68860611379259</v>
      </c>
      <c r="AJ329" s="4">
        <f t="shared" si="147"/>
        <v>109.67318114632944</v>
      </c>
      <c r="AK329" s="4">
        <f t="shared" si="148"/>
        <v>114.15351227402084</v>
      </c>
      <c r="AL329" s="4">
        <f t="shared" si="149"/>
        <v>115.05946410660553</v>
      </c>
      <c r="AM329" s="4">
        <f t="shared" si="150"/>
        <v>74.263764404609475</v>
      </c>
      <c r="AN329" s="4">
        <f t="shared" si="151"/>
        <v>130.78406169665809</v>
      </c>
      <c r="AO329" s="4">
        <f t="shared" si="152"/>
        <v>119.86390149060271</v>
      </c>
      <c r="AP329" s="4">
        <f t="shared" si="153"/>
        <v>115.97942490935154</v>
      </c>
      <c r="AQ329" s="4">
        <f t="shared" si="154"/>
        <v>86.568653343897637</v>
      </c>
      <c r="AR329" s="4">
        <f t="shared" si="155"/>
        <v>99.084428748937285</v>
      </c>
      <c r="AS329" s="4">
        <f t="shared" si="156"/>
        <v>99.163460951334187</v>
      </c>
      <c r="AT329" s="4">
        <f t="shared" si="157"/>
        <v>107.05291830126941</v>
      </c>
      <c r="AU329" s="4">
        <f t="shared" si="158"/>
        <v>116.54895142888189</v>
      </c>
      <c r="AV329" s="4">
        <f t="shared" si="159"/>
        <v>89.481373265157046</v>
      </c>
      <c r="AW329" s="4">
        <f t="shared" si="160"/>
        <v>108.40154384790945</v>
      </c>
      <c r="AX329" s="4">
        <f t="shared" si="161"/>
        <v>82.943057561378168</v>
      </c>
    </row>
    <row r="330" spans="1:50" ht="14.25" customHeight="1" x14ac:dyDescent="0.3">
      <c r="A330" s="2">
        <v>45874</v>
      </c>
      <c r="B330" s="4">
        <f t="shared" si="113"/>
        <v>113.95701125895599</v>
      </c>
      <c r="C330" s="4">
        <f t="shared" si="114"/>
        <v>110.92912113801073</v>
      </c>
      <c r="D330" s="4">
        <f t="shared" si="115"/>
        <v>121.0628564266466</v>
      </c>
      <c r="E330" s="4">
        <f t="shared" si="116"/>
        <v>74.50303347153158</v>
      </c>
      <c r="F330" s="4">
        <f t="shared" si="117"/>
        <v>112.52288396369727</v>
      </c>
      <c r="G330" s="4">
        <f t="shared" si="118"/>
        <v>100.93292990418557</v>
      </c>
      <c r="H330" s="4">
        <f t="shared" si="119"/>
        <v>77.572377158034527</v>
      </c>
      <c r="I330" s="4">
        <f t="shared" si="120"/>
        <v>109.15550579217089</v>
      </c>
      <c r="J330" s="4">
        <f t="shared" si="121"/>
        <v>128.60294435712945</v>
      </c>
      <c r="K330" s="4">
        <f t="shared" si="122"/>
        <v>90.461316674675643</v>
      </c>
      <c r="L330" s="4">
        <f t="shared" si="123"/>
        <v>99.59372869802317</v>
      </c>
      <c r="M330" s="4">
        <f t="shared" si="124"/>
        <v>111.85460774604535</v>
      </c>
      <c r="N330" s="4">
        <f t="shared" si="125"/>
        <v>104.22452952628163</v>
      </c>
      <c r="O330" s="4">
        <f t="shared" si="126"/>
        <v>111.99955267278013</v>
      </c>
      <c r="P330" s="4">
        <f t="shared" si="127"/>
        <v>77.549099087319235</v>
      </c>
      <c r="Q330" s="4">
        <f t="shared" si="128"/>
        <v>86.356781925447763</v>
      </c>
      <c r="R330" s="4">
        <f t="shared" si="129"/>
        <v>107.43426225211846</v>
      </c>
      <c r="S330" s="4">
        <f t="shared" si="130"/>
        <v>99.906699011009508</v>
      </c>
      <c r="T330" s="4">
        <f t="shared" si="131"/>
        <v>123.02715046942399</v>
      </c>
      <c r="U330" s="4">
        <f t="shared" si="132"/>
        <v>105.05093965609969</v>
      </c>
      <c r="V330" s="4">
        <f t="shared" si="133"/>
        <v>99.985014236475365</v>
      </c>
      <c r="W330" s="4">
        <f t="shared" si="134"/>
        <v>109.27667269439422</v>
      </c>
      <c r="X330" s="4">
        <f t="shared" si="135"/>
        <v>111.43841798637892</v>
      </c>
      <c r="Y330" s="4">
        <f t="shared" si="136"/>
        <v>98.957585988605189</v>
      </c>
      <c r="Z330" s="4">
        <f t="shared" si="137"/>
        <v>131.55835318135419</v>
      </c>
      <c r="AA330" s="4">
        <f t="shared" si="138"/>
        <v>116.33994146556961</v>
      </c>
      <c r="AB330" s="4">
        <f t="shared" si="139"/>
        <v>81.888111888111879</v>
      </c>
      <c r="AC330" s="4">
        <f t="shared" si="140"/>
        <v>92.139175257731964</v>
      </c>
      <c r="AD330" s="4">
        <f t="shared" si="141"/>
        <v>87.367367367367365</v>
      </c>
      <c r="AE330" s="4">
        <f t="shared" si="142"/>
        <v>94.164554862108218</v>
      </c>
      <c r="AF330" s="4">
        <f t="shared" si="143"/>
        <v>105.73405940164452</v>
      </c>
      <c r="AG330" s="4">
        <f t="shared" si="144"/>
        <v>98.214285714285722</v>
      </c>
      <c r="AH330" s="4">
        <f t="shared" si="145"/>
        <v>104.52047721782746</v>
      </c>
      <c r="AI330" s="4">
        <f t="shared" si="146"/>
        <v>116.73248500804445</v>
      </c>
      <c r="AJ330" s="4">
        <f t="shared" si="147"/>
        <v>109.32829692888815</v>
      </c>
      <c r="AK330" s="4">
        <f t="shared" si="148"/>
        <v>114.53841901603094</v>
      </c>
      <c r="AL330" s="4">
        <f t="shared" si="149"/>
        <v>116.28763842548051</v>
      </c>
      <c r="AM330" s="4">
        <f t="shared" si="150"/>
        <v>75.232914311585247</v>
      </c>
      <c r="AN330" s="4">
        <f t="shared" si="151"/>
        <v>132.60497000856896</v>
      </c>
      <c r="AO330" s="4">
        <f t="shared" si="152"/>
        <v>119.65327284510694</v>
      </c>
      <c r="AP330" s="4">
        <f t="shared" si="153"/>
        <v>115.8782359389493</v>
      </c>
      <c r="AQ330" s="4">
        <f t="shared" si="154"/>
        <v>87.179035713237681</v>
      </c>
      <c r="AR330" s="4">
        <f t="shared" si="155"/>
        <v>98.083840167418742</v>
      </c>
      <c r="AS330" s="4">
        <f t="shared" si="156"/>
        <v>98.702109326765864</v>
      </c>
      <c r="AT330" s="4">
        <f t="shared" si="157"/>
        <v>107.94374111318589</v>
      </c>
      <c r="AU330" s="4">
        <f t="shared" si="158"/>
        <v>115.67966967293275</v>
      </c>
      <c r="AV330" s="4">
        <f t="shared" si="159"/>
        <v>88.73630387143902</v>
      </c>
      <c r="AW330" s="4">
        <f t="shared" si="160"/>
        <v>108.66203830941484</v>
      </c>
      <c r="AX330" s="4">
        <f t="shared" si="161"/>
        <v>84.500722096141942</v>
      </c>
    </row>
    <row r="331" spans="1:50" ht="14.25" customHeight="1" x14ac:dyDescent="0.3">
      <c r="A331" s="2">
        <v>45875</v>
      </c>
      <c r="B331" s="4">
        <f t="shared" si="113"/>
        <v>114.04708290685772</v>
      </c>
      <c r="C331" s="4">
        <f t="shared" si="114"/>
        <v>111.36103569745788</v>
      </c>
      <c r="D331" s="4">
        <f t="shared" si="115"/>
        <v>120.93125274174344</v>
      </c>
      <c r="E331" s="4">
        <f t="shared" si="116"/>
        <v>73.734635071551025</v>
      </c>
      <c r="F331" s="4">
        <f t="shared" si="117"/>
        <v>112.46056167958554</v>
      </c>
      <c r="G331" s="4">
        <f t="shared" si="118"/>
        <v>101.50655572365102</v>
      </c>
      <c r="H331" s="4">
        <f t="shared" si="119"/>
        <v>76.318725099601593</v>
      </c>
      <c r="I331" s="4">
        <f t="shared" si="120"/>
        <v>109.19426381292796</v>
      </c>
      <c r="J331" s="4">
        <f t="shared" si="121"/>
        <v>126.40404885152769</v>
      </c>
      <c r="K331" s="4">
        <f t="shared" si="122"/>
        <v>89.991699794679135</v>
      </c>
      <c r="L331" s="4">
        <f t="shared" si="123"/>
        <v>98.933878663940007</v>
      </c>
      <c r="M331" s="4">
        <f t="shared" si="124"/>
        <v>111.73862227099561</v>
      </c>
      <c r="N331" s="4">
        <f t="shared" si="125"/>
        <v>104.72096041531474</v>
      </c>
      <c r="O331" s="4">
        <f t="shared" si="126"/>
        <v>111.96600313129052</v>
      </c>
      <c r="P331" s="4">
        <f t="shared" si="127"/>
        <v>76.529197939276656</v>
      </c>
      <c r="Q331" s="4">
        <f t="shared" si="128"/>
        <v>84.404349321410606</v>
      </c>
      <c r="R331" s="4">
        <f t="shared" si="129"/>
        <v>106.80527649165721</v>
      </c>
      <c r="S331" s="4">
        <f t="shared" si="130"/>
        <v>99.92535920880762</v>
      </c>
      <c r="T331" s="4">
        <f t="shared" si="131"/>
        <v>122.05024105556963</v>
      </c>
      <c r="U331" s="4">
        <f t="shared" si="132"/>
        <v>105.03557324400326</v>
      </c>
      <c r="V331" s="4">
        <f t="shared" si="133"/>
        <v>99.535441330735807</v>
      </c>
      <c r="W331" s="4">
        <f t="shared" si="134"/>
        <v>108.08318264014467</v>
      </c>
      <c r="X331" s="4">
        <f t="shared" si="135"/>
        <v>112.17690982194142</v>
      </c>
      <c r="Y331" s="4">
        <f t="shared" si="136"/>
        <v>98.657944714074702</v>
      </c>
      <c r="Z331" s="4">
        <f t="shared" si="137"/>
        <v>132.59612112963595</v>
      </c>
      <c r="AA331" s="4">
        <f t="shared" si="138"/>
        <v>116.25158760837151</v>
      </c>
      <c r="AB331" s="4">
        <f t="shared" si="139"/>
        <v>79.906759906759902</v>
      </c>
      <c r="AC331" s="4">
        <f t="shared" si="140"/>
        <v>91.75257731958763</v>
      </c>
      <c r="AD331" s="4">
        <f t="shared" si="141"/>
        <v>87.13380046713381</v>
      </c>
      <c r="AE331" s="4">
        <f t="shared" si="142"/>
        <v>93.569626625326791</v>
      </c>
      <c r="AF331" s="4">
        <f t="shared" si="143"/>
        <v>108.09450458854923</v>
      </c>
      <c r="AG331" s="4">
        <f t="shared" si="144"/>
        <v>97.528467908902698</v>
      </c>
      <c r="AH331" s="4">
        <f t="shared" si="145"/>
        <v>102.95310800095889</v>
      </c>
      <c r="AI331" s="4">
        <f t="shared" si="146"/>
        <v>116.03042270001463</v>
      </c>
      <c r="AJ331" s="4">
        <f t="shared" si="147"/>
        <v>107.25899162424044</v>
      </c>
      <c r="AK331" s="4">
        <f t="shared" si="148"/>
        <v>113.25266670761418</v>
      </c>
      <c r="AL331" s="4">
        <f t="shared" si="149"/>
        <v>116.02153398972426</v>
      </c>
      <c r="AM331" s="4">
        <f t="shared" si="150"/>
        <v>75.784693090739324</v>
      </c>
      <c r="AN331" s="4">
        <f t="shared" si="151"/>
        <v>132.4121679520137</v>
      </c>
      <c r="AO331" s="4">
        <f t="shared" si="152"/>
        <v>121.92968243681139</v>
      </c>
      <c r="AP331" s="4">
        <f t="shared" si="153"/>
        <v>115.49877729994095</v>
      </c>
      <c r="AQ331" s="4">
        <f t="shared" si="154"/>
        <v>85.629603544912996</v>
      </c>
      <c r="AR331" s="4">
        <f t="shared" si="155"/>
        <v>97.227127068210066</v>
      </c>
      <c r="AS331" s="4">
        <f t="shared" si="156"/>
        <v>97.555514848059261</v>
      </c>
      <c r="AT331" s="4">
        <f t="shared" si="157"/>
        <v>108.02939715279325</v>
      </c>
      <c r="AU331" s="4">
        <f t="shared" si="158"/>
        <v>114.39747908290774</v>
      </c>
      <c r="AV331" s="4">
        <f t="shared" si="159"/>
        <v>87.414170927684438</v>
      </c>
      <c r="AW331" s="4">
        <f t="shared" si="160"/>
        <v>106.94373080645735</v>
      </c>
      <c r="AX331" s="4">
        <f t="shared" si="161"/>
        <v>82.870847947183833</v>
      </c>
    </row>
    <row r="332" spans="1:50" ht="14.25" customHeight="1" x14ac:dyDescent="0.3">
      <c r="A332" s="2">
        <v>45876</v>
      </c>
      <c r="B332" s="4">
        <f t="shared" si="113"/>
        <v>113.76867963152509</v>
      </c>
      <c r="C332" s="4">
        <f t="shared" si="114"/>
        <v>111.92757297673272</v>
      </c>
      <c r="D332" s="4">
        <f t="shared" si="115"/>
        <v>120.48630694992792</v>
      </c>
      <c r="E332" s="4">
        <f t="shared" si="116"/>
        <v>74.092086225972352</v>
      </c>
      <c r="F332" s="4">
        <f t="shared" si="117"/>
        <v>112.20348225762473</v>
      </c>
      <c r="G332" s="4">
        <f t="shared" si="118"/>
        <v>101.50655572365102</v>
      </c>
      <c r="H332" s="4">
        <f t="shared" si="119"/>
        <v>76.329349269588306</v>
      </c>
      <c r="I332" s="4">
        <f t="shared" si="120"/>
        <v>108.41479695103571</v>
      </c>
      <c r="J332" s="4">
        <f t="shared" si="121"/>
        <v>126.75731403111618</v>
      </c>
      <c r="K332" s="4">
        <f t="shared" si="122"/>
        <v>90.341182123978854</v>
      </c>
      <c r="L332" s="4">
        <f t="shared" si="123"/>
        <v>99.293796864349005</v>
      </c>
      <c r="M332" s="4">
        <f t="shared" si="124"/>
        <v>112.70219390987037</v>
      </c>
      <c r="N332" s="4">
        <f t="shared" si="125"/>
        <v>104.18883841661257</v>
      </c>
      <c r="O332" s="4">
        <f t="shared" si="126"/>
        <v>111.39006933571905</v>
      </c>
      <c r="P332" s="4">
        <f t="shared" si="127"/>
        <v>77.172520201888119</v>
      </c>
      <c r="Q332" s="4">
        <f t="shared" si="128"/>
        <v>84.573665969999198</v>
      </c>
      <c r="R332" s="4">
        <f t="shared" si="129"/>
        <v>107.21586441862496</v>
      </c>
      <c r="S332" s="4">
        <f t="shared" si="130"/>
        <v>100.41052435155815</v>
      </c>
      <c r="T332" s="4">
        <f t="shared" si="131"/>
        <v>121.41588429332657</v>
      </c>
      <c r="U332" s="4">
        <f t="shared" si="132"/>
        <v>104.9741075956175</v>
      </c>
      <c r="V332" s="4">
        <f t="shared" si="133"/>
        <v>98.831110445077172</v>
      </c>
      <c r="W332" s="4">
        <f t="shared" si="134"/>
        <v>109.13200723327307</v>
      </c>
      <c r="X332" s="4">
        <f t="shared" si="135"/>
        <v>110.39632395175187</v>
      </c>
      <c r="Y332" s="4">
        <f t="shared" si="136"/>
        <v>98.725469508335095</v>
      </c>
      <c r="Z332" s="4">
        <f t="shared" si="137"/>
        <v>131.9326301463083</v>
      </c>
      <c r="AA332" s="4">
        <f t="shared" si="138"/>
        <v>117.59898393064221</v>
      </c>
      <c r="AB332" s="4">
        <f t="shared" si="139"/>
        <v>80.692640692640694</v>
      </c>
      <c r="AC332" s="4">
        <f t="shared" si="140"/>
        <v>91.99420103092784</v>
      </c>
      <c r="AD332" s="4">
        <f t="shared" si="141"/>
        <v>86.286286286286284</v>
      </c>
      <c r="AE332" s="4">
        <f t="shared" si="142"/>
        <v>94.147393470662607</v>
      </c>
      <c r="AF332" s="4">
        <f t="shared" si="143"/>
        <v>108.75837979736617</v>
      </c>
      <c r="AG332" s="4">
        <f t="shared" si="144"/>
        <v>98.22722567287785</v>
      </c>
      <c r="AH332" s="4">
        <f t="shared" si="145"/>
        <v>103.0130368239568</v>
      </c>
      <c r="AI332" s="4">
        <f t="shared" si="146"/>
        <v>116.76905075325435</v>
      </c>
      <c r="AJ332" s="4">
        <f t="shared" si="147"/>
        <v>106.91410740679915</v>
      </c>
      <c r="AK332" s="4">
        <f t="shared" si="148"/>
        <v>112.34772638863295</v>
      </c>
      <c r="AL332" s="4">
        <f t="shared" si="149"/>
        <v>116.29787321147114</v>
      </c>
      <c r="AM332" s="4">
        <f t="shared" si="150"/>
        <v>75.034839878042746</v>
      </c>
      <c r="AN332" s="4">
        <f t="shared" si="151"/>
        <v>132.89774350185658</v>
      </c>
      <c r="AO332" s="4">
        <f t="shared" si="152"/>
        <v>122.44005184705119</v>
      </c>
      <c r="AP332" s="4">
        <f t="shared" si="153"/>
        <v>115.82764145374817</v>
      </c>
      <c r="AQ332" s="4">
        <f t="shared" si="154"/>
        <v>86.979487630953429</v>
      </c>
      <c r="AR332" s="4">
        <f t="shared" si="155"/>
        <v>97.50833823817932</v>
      </c>
      <c r="AS332" s="4">
        <f t="shared" si="156"/>
        <v>97.29091612220391</v>
      </c>
      <c r="AT332" s="4">
        <f t="shared" si="157"/>
        <v>107.47263289534546</v>
      </c>
      <c r="AU332" s="4">
        <f t="shared" si="158"/>
        <v>114.39747908290774</v>
      </c>
      <c r="AV332" s="4">
        <f t="shared" si="159"/>
        <v>87.713659605551499</v>
      </c>
      <c r="AW332" s="4">
        <f t="shared" si="160"/>
        <v>111.38408593927369</v>
      </c>
      <c r="AX332" s="4">
        <f t="shared" si="161"/>
        <v>83.283474314008672</v>
      </c>
    </row>
    <row r="333" spans="1:50" ht="14.25" customHeight="1" x14ac:dyDescent="0.3">
      <c r="A333" s="2">
        <v>45877</v>
      </c>
      <c r="B333" s="4">
        <f t="shared" si="113"/>
        <v>112.00000000000001</v>
      </c>
      <c r="C333" s="4">
        <f t="shared" si="114"/>
        <v>110.72157777827638</v>
      </c>
      <c r="D333" s="4">
        <f t="shared" si="115"/>
        <v>116.47552798145013</v>
      </c>
      <c r="E333" s="4">
        <f t="shared" si="116"/>
        <v>73.834332332307994</v>
      </c>
      <c r="F333" s="4">
        <f t="shared" si="117"/>
        <v>111.86070969501031</v>
      </c>
      <c r="G333" s="4">
        <f t="shared" si="118"/>
        <v>101.39939485627836</v>
      </c>
      <c r="H333" s="4">
        <f t="shared" si="119"/>
        <v>75.596281540504634</v>
      </c>
      <c r="I333" s="4">
        <f t="shared" si="120"/>
        <v>107.60087851513718</v>
      </c>
      <c r="J333" s="4">
        <f t="shared" si="121"/>
        <v>126.47614378613758</v>
      </c>
      <c r="K333" s="4">
        <f t="shared" si="122"/>
        <v>90.537765934209943</v>
      </c>
      <c r="L333" s="4">
        <f t="shared" si="123"/>
        <v>98.366734832992492</v>
      </c>
      <c r="M333" s="4">
        <f t="shared" si="124"/>
        <v>112.32747160586352</v>
      </c>
      <c r="N333" s="4">
        <f t="shared" si="125"/>
        <v>102.01817001946787</v>
      </c>
      <c r="O333" s="4">
        <f t="shared" si="126"/>
        <v>109.18698277790202</v>
      </c>
      <c r="P333" s="4">
        <f t="shared" si="127"/>
        <v>77.182980726483436</v>
      </c>
      <c r="Q333" s="4">
        <f t="shared" si="128"/>
        <v>83.965184264133967</v>
      </c>
      <c r="R333" s="4">
        <f t="shared" si="129"/>
        <v>106.20249847121516</v>
      </c>
      <c r="S333" s="4">
        <f t="shared" si="130"/>
        <v>98.72177645083039</v>
      </c>
      <c r="T333" s="4">
        <f t="shared" si="131"/>
        <v>121.74574980969297</v>
      </c>
      <c r="U333" s="4">
        <f t="shared" si="132"/>
        <v>106.34171827220062</v>
      </c>
      <c r="V333" s="4">
        <f t="shared" si="133"/>
        <v>100.32968679754235</v>
      </c>
      <c r="W333" s="4">
        <f t="shared" si="134"/>
        <v>108.82459312839059</v>
      </c>
      <c r="X333" s="4">
        <f t="shared" si="135"/>
        <v>108.72240912447691</v>
      </c>
      <c r="Y333" s="4">
        <f t="shared" si="136"/>
        <v>98.51867482591264</v>
      </c>
      <c r="Z333" s="4">
        <f t="shared" si="137"/>
        <v>130.86083701939438</v>
      </c>
      <c r="AA333" s="4">
        <f t="shared" si="138"/>
        <v>115.87608371527969</v>
      </c>
      <c r="AB333" s="4">
        <f t="shared" si="139"/>
        <v>79.603729603729619</v>
      </c>
      <c r="AC333" s="4">
        <f t="shared" si="140"/>
        <v>91.768685567010323</v>
      </c>
      <c r="AD333" s="4">
        <f t="shared" si="141"/>
        <v>84.577911244577919</v>
      </c>
      <c r="AE333" s="4">
        <f t="shared" si="142"/>
        <v>94.090188832510535</v>
      </c>
      <c r="AF333" s="4">
        <f t="shared" si="143"/>
        <v>107.41761221877506</v>
      </c>
      <c r="AG333" s="4">
        <f t="shared" si="144"/>
        <v>98.266045548654233</v>
      </c>
      <c r="AH333" s="4">
        <f t="shared" si="145"/>
        <v>101.09531448802346</v>
      </c>
      <c r="AI333" s="4">
        <f t="shared" si="146"/>
        <v>115.51118911803422</v>
      </c>
      <c r="AJ333" s="4">
        <f t="shared" si="147"/>
        <v>105.48530136311381</v>
      </c>
      <c r="AK333" s="4">
        <f t="shared" si="148"/>
        <v>110.21436029727903</v>
      </c>
      <c r="AL333" s="4">
        <f t="shared" si="149"/>
        <v>115.91918612981802</v>
      </c>
      <c r="AM333" s="4">
        <f t="shared" si="150"/>
        <v>75.225840224673007</v>
      </c>
      <c r="AN333" s="4">
        <f t="shared" si="151"/>
        <v>130.9340188517566</v>
      </c>
      <c r="AO333" s="4">
        <f t="shared" si="152"/>
        <v>123.38788075178225</v>
      </c>
      <c r="AP333" s="4">
        <f t="shared" si="153"/>
        <v>113.45813306349606</v>
      </c>
      <c r="AQ333" s="4">
        <f t="shared" si="154"/>
        <v>86.885582651054975</v>
      </c>
      <c r="AR333" s="4">
        <f t="shared" si="155"/>
        <v>97.168268916356027</v>
      </c>
      <c r="AS333" s="4">
        <f t="shared" si="156"/>
        <v>96.130752478068828</v>
      </c>
      <c r="AT333" s="4">
        <f t="shared" si="157"/>
        <v>104.44040909324517</v>
      </c>
      <c r="AU333" s="4">
        <f t="shared" si="158"/>
        <v>114.20189068781919</v>
      </c>
      <c r="AV333" s="4">
        <f t="shared" si="159"/>
        <v>88.487947406866326</v>
      </c>
      <c r="AW333" s="4">
        <f t="shared" si="160"/>
        <v>109.92866275526664</v>
      </c>
      <c r="AX333" s="4">
        <f t="shared" si="161"/>
        <v>80.714875180524047</v>
      </c>
    </row>
    <row r="334" spans="1:50" ht="14.25" customHeight="1" x14ac:dyDescent="0.3">
      <c r="A334" s="2">
        <v>45880</v>
      </c>
      <c r="B334" s="4">
        <f t="shared" si="113"/>
        <v>113.50665301944728</v>
      </c>
      <c r="C334" s="4">
        <f t="shared" si="114"/>
        <v>111.93879153671836</v>
      </c>
      <c r="D334" s="4">
        <f t="shared" si="115"/>
        <v>116.40032587579118</v>
      </c>
      <c r="E334" s="4">
        <f t="shared" si="116"/>
        <v>73.941324514583755</v>
      </c>
      <c r="F334" s="4">
        <f t="shared" si="117"/>
        <v>111.91524169360807</v>
      </c>
      <c r="G334" s="4">
        <f t="shared" si="118"/>
        <v>103.81366616238023</v>
      </c>
      <c r="H334" s="4">
        <f t="shared" si="119"/>
        <v>75.867197875165999</v>
      </c>
      <c r="I334" s="4">
        <f t="shared" si="120"/>
        <v>108.45355497179278</v>
      </c>
      <c r="J334" s="4">
        <f t="shared" si="121"/>
        <v>126.56986720113044</v>
      </c>
      <c r="K334" s="4">
        <f t="shared" si="122"/>
        <v>91.051068105368927</v>
      </c>
      <c r="L334" s="4">
        <f t="shared" si="123"/>
        <v>100.02453987730063</v>
      </c>
      <c r="M334" s="4">
        <f t="shared" si="124"/>
        <v>112.389925323198</v>
      </c>
      <c r="N334" s="4">
        <f t="shared" si="125"/>
        <v>103.38092147955871</v>
      </c>
      <c r="O334" s="4">
        <f t="shared" si="126"/>
        <v>110.48423171549987</v>
      </c>
      <c r="P334" s="4">
        <f t="shared" si="127"/>
        <v>77.826302989094899</v>
      </c>
      <c r="Q334" s="4">
        <f t="shared" si="128"/>
        <v>85.102780496838534</v>
      </c>
      <c r="R334" s="4">
        <f t="shared" si="129"/>
        <v>108.36900497947059</v>
      </c>
      <c r="S334" s="4">
        <f t="shared" si="130"/>
        <v>100.13995148348573</v>
      </c>
      <c r="T334" s="4">
        <f t="shared" si="131"/>
        <v>121.97411824410047</v>
      </c>
      <c r="U334" s="4">
        <f t="shared" si="132"/>
        <v>106.57836101848581</v>
      </c>
      <c r="V334" s="4">
        <f t="shared" si="133"/>
        <v>100.74928817623257</v>
      </c>
      <c r="W334" s="4">
        <f t="shared" si="134"/>
        <v>111.89873417721519</v>
      </c>
      <c r="X334" s="4">
        <f t="shared" si="135"/>
        <v>109.90399606137689</v>
      </c>
      <c r="Y334" s="4">
        <f t="shared" si="136"/>
        <v>98.666385313357239</v>
      </c>
      <c r="Z334" s="4">
        <f t="shared" si="137"/>
        <v>130.62266076896904</v>
      </c>
      <c r="AA334" s="4">
        <f t="shared" si="138"/>
        <v>116.26263184052131</v>
      </c>
      <c r="AB334" s="4">
        <f t="shared" si="139"/>
        <v>80.459540459540463</v>
      </c>
      <c r="AC334" s="4">
        <f t="shared" si="140"/>
        <v>91.768685567010323</v>
      </c>
      <c r="AD334" s="4">
        <f t="shared" si="141"/>
        <v>87.253920587253916</v>
      </c>
      <c r="AE334" s="4">
        <f t="shared" si="142"/>
        <v>94.673676141661574</v>
      </c>
      <c r="AF334" s="4">
        <f t="shared" si="143"/>
        <v>108.00338446184885</v>
      </c>
      <c r="AG334" s="4">
        <f t="shared" si="144"/>
        <v>98.990683229813683</v>
      </c>
      <c r="AH334" s="4">
        <f t="shared" si="145"/>
        <v>101.87899909645775</v>
      </c>
      <c r="AI334" s="4">
        <f t="shared" si="146"/>
        <v>115.92803861342695</v>
      </c>
      <c r="AJ334" s="4">
        <f t="shared" si="147"/>
        <v>107.65314501560191</v>
      </c>
      <c r="AK334" s="4">
        <f t="shared" si="148"/>
        <v>112.97012877996848</v>
      </c>
      <c r="AL334" s="4">
        <f t="shared" si="149"/>
        <v>116.09317749165864</v>
      </c>
      <c r="AM334" s="4">
        <f t="shared" si="150"/>
        <v>77.015584213467648</v>
      </c>
      <c r="AN334" s="4">
        <f t="shared" si="151"/>
        <v>132.17652099400169</v>
      </c>
      <c r="AO334" s="4">
        <f t="shared" si="152"/>
        <v>123.90635126377188</v>
      </c>
      <c r="AP334" s="4">
        <f t="shared" si="153"/>
        <v>113.47499789189644</v>
      </c>
      <c r="AQ334" s="4">
        <f t="shared" si="154"/>
        <v>86.926666079760537</v>
      </c>
      <c r="AR334" s="4">
        <f t="shared" si="155"/>
        <v>98.410829899941149</v>
      </c>
      <c r="AS334" s="4">
        <f t="shared" si="156"/>
        <v>98.498571845338645</v>
      </c>
      <c r="AT334" s="4">
        <f t="shared" si="157"/>
        <v>105.8023401230021</v>
      </c>
      <c r="AU334" s="4">
        <f t="shared" si="158"/>
        <v>115.0820384657177</v>
      </c>
      <c r="AV334" s="4">
        <f t="shared" si="159"/>
        <v>89.079620160701253</v>
      </c>
      <c r="AW334" s="4">
        <f t="shared" si="160"/>
        <v>109.03007635594535</v>
      </c>
      <c r="AX334" s="4">
        <f t="shared" si="161"/>
        <v>80.797400453889011</v>
      </c>
    </row>
    <row r="335" spans="1:50" ht="14.25" customHeight="1" x14ac:dyDescent="0.3">
      <c r="A335" s="2">
        <v>45881</v>
      </c>
      <c r="B335" s="4">
        <f t="shared" si="113"/>
        <v>113.03172978505631</v>
      </c>
      <c r="C335" s="4">
        <f t="shared" si="114"/>
        <v>110.49720657856359</v>
      </c>
      <c r="D335" s="4">
        <f t="shared" si="115"/>
        <v>115.95538008397568</v>
      </c>
      <c r="E335" s="4">
        <f t="shared" si="116"/>
        <v>73.810015927245317</v>
      </c>
      <c r="F335" s="4">
        <f t="shared" si="117"/>
        <v>110.77786000856931</v>
      </c>
      <c r="G335" s="4">
        <f t="shared" si="118"/>
        <v>103.45436207766011</v>
      </c>
      <c r="H335" s="4">
        <f t="shared" si="119"/>
        <v>75.64940239043824</v>
      </c>
      <c r="I335" s="4">
        <f t="shared" si="120"/>
        <v>106.96352439602086</v>
      </c>
      <c r="J335" s="4">
        <f t="shared" si="121"/>
        <v>122.99395844447969</v>
      </c>
      <c r="K335" s="4">
        <f t="shared" si="122"/>
        <v>90.94185487746276</v>
      </c>
      <c r="L335" s="4">
        <f t="shared" si="123"/>
        <v>100.50715746421265</v>
      </c>
      <c r="M335" s="4">
        <f t="shared" si="124"/>
        <v>114.55796151066622</v>
      </c>
      <c r="N335" s="4">
        <f t="shared" si="125"/>
        <v>105.01297858533418</v>
      </c>
      <c r="O335" s="4">
        <f t="shared" si="126"/>
        <v>109.53925296354284</v>
      </c>
      <c r="P335" s="4">
        <f t="shared" si="127"/>
        <v>78.406862104134518</v>
      </c>
      <c r="Q335" s="4">
        <f t="shared" si="128"/>
        <v>85.832958543876813</v>
      </c>
      <c r="R335" s="4">
        <f t="shared" si="129"/>
        <v>108.75338516641915</v>
      </c>
      <c r="S335" s="4">
        <f t="shared" si="130"/>
        <v>99.832058219817128</v>
      </c>
      <c r="T335" s="4">
        <f t="shared" si="131"/>
        <v>121.0352702359807</v>
      </c>
      <c r="U335" s="4">
        <f t="shared" si="132"/>
        <v>107.15921139573122</v>
      </c>
      <c r="V335" s="4">
        <f t="shared" si="133"/>
        <v>101.93316349468007</v>
      </c>
      <c r="W335" s="4">
        <f t="shared" si="134"/>
        <v>110.63291139240505</v>
      </c>
      <c r="X335" s="4">
        <f t="shared" si="135"/>
        <v>109.17370969065399</v>
      </c>
      <c r="Y335" s="4">
        <f t="shared" si="136"/>
        <v>99.396497151297751</v>
      </c>
      <c r="Z335" s="4">
        <f t="shared" si="137"/>
        <v>129.41476692752641</v>
      </c>
      <c r="AA335" s="4">
        <f t="shared" si="138"/>
        <v>115.76564139378209</v>
      </c>
      <c r="AB335" s="4">
        <f t="shared" si="139"/>
        <v>80.492840492840486</v>
      </c>
      <c r="AC335" s="4">
        <f t="shared" si="140"/>
        <v>91.704252577319593</v>
      </c>
      <c r="AD335" s="4">
        <f t="shared" si="141"/>
        <v>87.300633967300627</v>
      </c>
      <c r="AE335" s="4">
        <f t="shared" si="142"/>
        <v>93.775563322674202</v>
      </c>
      <c r="AF335" s="4">
        <f t="shared" si="143"/>
        <v>107.53476666738986</v>
      </c>
      <c r="AG335" s="4">
        <f t="shared" si="144"/>
        <v>99.728260869565219</v>
      </c>
      <c r="AH335" s="4">
        <f t="shared" si="145"/>
        <v>100.59744426619461</v>
      </c>
      <c r="AI335" s="4">
        <f t="shared" si="146"/>
        <v>117.12739505631123</v>
      </c>
      <c r="AJ335" s="4">
        <f t="shared" si="147"/>
        <v>107.40679914600098</v>
      </c>
      <c r="AK335" s="4">
        <f t="shared" si="148"/>
        <v>112.21259955367198</v>
      </c>
      <c r="AL335" s="4">
        <f t="shared" si="149"/>
        <v>115.81683826991176</v>
      </c>
      <c r="AM335" s="4">
        <f t="shared" si="150"/>
        <v>75.912026655159494</v>
      </c>
      <c r="AN335" s="4">
        <f t="shared" si="151"/>
        <v>131.24821479577261</v>
      </c>
      <c r="AO335" s="4">
        <f t="shared" si="152"/>
        <v>124.14128321451719</v>
      </c>
      <c r="AP335" s="4">
        <f t="shared" si="153"/>
        <v>112.49683784467493</v>
      </c>
      <c r="AQ335" s="4">
        <f t="shared" si="154"/>
        <v>88.581741350470992</v>
      </c>
      <c r="AR335" s="4">
        <f t="shared" si="155"/>
        <v>99.50951540121639</v>
      </c>
      <c r="AS335" s="4">
        <f t="shared" si="156"/>
        <v>98.193265623197846</v>
      </c>
      <c r="AT335" s="4">
        <f t="shared" si="157"/>
        <v>104.82586127147826</v>
      </c>
      <c r="AU335" s="4">
        <f t="shared" si="158"/>
        <v>113.74551776594588</v>
      </c>
      <c r="AV335" s="4">
        <f t="shared" si="159"/>
        <v>89.138056975894813</v>
      </c>
      <c r="AW335" s="4">
        <f t="shared" si="160"/>
        <v>111.01365803529816</v>
      </c>
      <c r="AX335" s="4">
        <f t="shared" si="161"/>
        <v>80.776769135547767</v>
      </c>
    </row>
    <row r="336" spans="1:50" ht="14.25" customHeight="1" x14ac:dyDescent="0.3">
      <c r="A336" s="2">
        <v>45882</v>
      </c>
      <c r="B336" s="4">
        <f t="shared" si="113"/>
        <v>113.21187308085976</v>
      </c>
      <c r="C336" s="4">
        <f t="shared" si="114"/>
        <v>111.08057169781686</v>
      </c>
      <c r="D336" s="4">
        <f t="shared" si="115"/>
        <v>117.02701008961584</v>
      </c>
      <c r="E336" s="4">
        <f t="shared" si="116"/>
        <v>73.829469051295462</v>
      </c>
      <c r="F336" s="4">
        <f t="shared" si="117"/>
        <v>110.68437658240174</v>
      </c>
      <c r="G336" s="4">
        <f t="shared" si="118"/>
        <v>103.61195158850227</v>
      </c>
      <c r="H336" s="4">
        <f t="shared" si="119"/>
        <v>75.782204515272227</v>
      </c>
      <c r="I336" s="4">
        <f t="shared" si="120"/>
        <v>107.45015287885965</v>
      </c>
      <c r="J336" s="4">
        <f t="shared" si="121"/>
        <v>124.00328752901821</v>
      </c>
      <c r="K336" s="4">
        <f t="shared" si="122"/>
        <v>90.450395351885021</v>
      </c>
      <c r="L336" s="4">
        <f t="shared" si="123"/>
        <v>100.7143830947512</v>
      </c>
      <c r="M336" s="4">
        <f t="shared" si="124"/>
        <v>114.50442975295094</v>
      </c>
      <c r="N336" s="4">
        <f t="shared" si="125"/>
        <v>106.49578195976636</v>
      </c>
      <c r="O336" s="4">
        <f t="shared" si="126"/>
        <v>111.14403936479533</v>
      </c>
      <c r="P336" s="4">
        <f t="shared" si="127"/>
        <v>78.511467350087599</v>
      </c>
      <c r="Q336" s="4">
        <f t="shared" si="128"/>
        <v>86.764200111114036</v>
      </c>
      <c r="R336" s="4">
        <f t="shared" si="129"/>
        <v>108.33406132611162</v>
      </c>
      <c r="S336" s="4">
        <f t="shared" si="130"/>
        <v>99.458854263855216</v>
      </c>
      <c r="T336" s="4">
        <f t="shared" si="131"/>
        <v>121.44125856381629</v>
      </c>
      <c r="U336" s="4">
        <f t="shared" si="132"/>
        <v>106.54455491187365</v>
      </c>
      <c r="V336" s="4">
        <f t="shared" si="133"/>
        <v>101.8882062041061</v>
      </c>
      <c r="W336" s="4">
        <f t="shared" si="134"/>
        <v>112.96564195298376</v>
      </c>
      <c r="X336" s="4">
        <f t="shared" si="135"/>
        <v>108.27931402313942</v>
      </c>
      <c r="Y336" s="4">
        <f t="shared" si="136"/>
        <v>100.72589153829922</v>
      </c>
      <c r="Z336" s="4">
        <f t="shared" si="137"/>
        <v>132.30690711126238</v>
      </c>
      <c r="AA336" s="4">
        <f t="shared" si="138"/>
        <v>116.3730741620189</v>
      </c>
      <c r="AB336" s="4">
        <f t="shared" si="139"/>
        <v>80.469530469530454</v>
      </c>
      <c r="AC336" s="4">
        <f t="shared" si="140"/>
        <v>92.847938144329916</v>
      </c>
      <c r="AD336" s="4">
        <f t="shared" si="141"/>
        <v>88.588588588588593</v>
      </c>
      <c r="AE336" s="4">
        <f t="shared" si="142"/>
        <v>94.370491559455644</v>
      </c>
      <c r="AF336" s="4">
        <f t="shared" si="143"/>
        <v>108.48501941726509</v>
      </c>
      <c r="AG336" s="4">
        <f t="shared" si="144"/>
        <v>99.92236024844722</v>
      </c>
      <c r="AH336" s="4">
        <f t="shared" si="145"/>
        <v>101.13219376371451</v>
      </c>
      <c r="AI336" s="4">
        <f t="shared" si="146"/>
        <v>117.1420213543952</v>
      </c>
      <c r="AJ336" s="4">
        <f t="shared" si="147"/>
        <v>108.5892593200854</v>
      </c>
      <c r="AK336" s="4">
        <f t="shared" si="148"/>
        <v>112.43781094527363</v>
      </c>
      <c r="AL336" s="4">
        <f t="shared" si="149"/>
        <v>116.97336908685239</v>
      </c>
      <c r="AM336" s="4">
        <f t="shared" si="150"/>
        <v>76.378916391366786</v>
      </c>
      <c r="AN336" s="4">
        <f t="shared" si="151"/>
        <v>131.41245358469007</v>
      </c>
      <c r="AO336" s="4">
        <f t="shared" si="152"/>
        <v>125.82631237848348</v>
      </c>
      <c r="AP336" s="4">
        <f t="shared" si="153"/>
        <v>118.13812294459902</v>
      </c>
      <c r="AQ336" s="4">
        <f t="shared" si="154"/>
        <v>88.405669513161371</v>
      </c>
      <c r="AR336" s="4">
        <f t="shared" si="155"/>
        <v>102.08619449349293</v>
      </c>
      <c r="AS336" s="4">
        <f t="shared" si="156"/>
        <v>105.95482824828856</v>
      </c>
      <c r="AT336" s="4">
        <f t="shared" si="157"/>
        <v>106.08500505370633</v>
      </c>
      <c r="AU336" s="4">
        <f t="shared" si="158"/>
        <v>114.75605780723677</v>
      </c>
      <c r="AV336" s="4">
        <f t="shared" si="159"/>
        <v>91.555880204528862</v>
      </c>
      <c r="AW336" s="4">
        <f t="shared" si="160"/>
        <v>113.96513197987738</v>
      </c>
      <c r="AX336" s="4">
        <f t="shared" si="161"/>
        <v>79.78646585516816</v>
      </c>
    </row>
    <row r="337" spans="1:50" ht="14.25" customHeight="1" x14ac:dyDescent="0.3">
      <c r="A337" s="2">
        <v>45883</v>
      </c>
      <c r="B337" s="4">
        <f t="shared" si="113"/>
        <v>112.49129989764583</v>
      </c>
      <c r="C337" s="4">
        <f t="shared" si="114"/>
        <v>111.68637393704144</v>
      </c>
      <c r="D337" s="4">
        <f t="shared" si="115"/>
        <v>117.42808798646362</v>
      </c>
      <c r="E337" s="4">
        <f t="shared" si="116"/>
        <v>73.491471020924266</v>
      </c>
      <c r="F337" s="4">
        <f t="shared" si="117"/>
        <v>111.1907451408094</v>
      </c>
      <c r="G337" s="4">
        <f t="shared" si="118"/>
        <v>104.20448814926877</v>
      </c>
      <c r="H337" s="4">
        <f t="shared" si="119"/>
        <v>76.903054448871174</v>
      </c>
      <c r="I337" s="4">
        <f t="shared" si="120"/>
        <v>106.8257180999957</v>
      </c>
      <c r="J337" s="4">
        <f t="shared" si="121"/>
        <v>124.21236283938693</v>
      </c>
      <c r="K337" s="4">
        <f t="shared" si="122"/>
        <v>89.87156524398236</v>
      </c>
      <c r="L337" s="4">
        <f t="shared" si="123"/>
        <v>100.25903203817315</v>
      </c>
      <c r="M337" s="4">
        <f t="shared" si="124"/>
        <v>115.41446963411045</v>
      </c>
      <c r="N337" s="4">
        <f t="shared" si="125"/>
        <v>105.95068137573003</v>
      </c>
      <c r="O337" s="4">
        <f t="shared" si="126"/>
        <v>110.61283829121</v>
      </c>
      <c r="P337" s="4">
        <f t="shared" si="127"/>
        <v>77.920447710452663</v>
      </c>
      <c r="Q337" s="4">
        <f t="shared" si="128"/>
        <v>86.848858435408346</v>
      </c>
      <c r="R337" s="4">
        <f t="shared" si="129"/>
        <v>107.60024460557349</v>
      </c>
      <c r="S337" s="4">
        <f t="shared" si="130"/>
        <v>99.66411643963427</v>
      </c>
      <c r="T337" s="4">
        <f t="shared" si="131"/>
        <v>122.12002029941638</v>
      </c>
      <c r="U337" s="4">
        <f t="shared" si="132"/>
        <v>107.23911673863272</v>
      </c>
      <c r="V337" s="4">
        <f t="shared" si="133"/>
        <v>101.70837704181028</v>
      </c>
      <c r="W337" s="4">
        <f t="shared" si="134"/>
        <v>115.15370705244121</v>
      </c>
      <c r="X337" s="4">
        <f t="shared" si="135"/>
        <v>106.69565930909985</v>
      </c>
      <c r="Y337" s="4">
        <f t="shared" si="136"/>
        <v>99.995779700358725</v>
      </c>
      <c r="Z337" s="4">
        <f t="shared" si="137"/>
        <v>130.96291255529093</v>
      </c>
      <c r="AA337" s="4">
        <f t="shared" si="138"/>
        <v>115.46744712573857</v>
      </c>
      <c r="AB337" s="4">
        <f t="shared" si="139"/>
        <v>82.187812187812185</v>
      </c>
      <c r="AC337" s="4">
        <f t="shared" si="140"/>
        <v>93.00902061855669</v>
      </c>
      <c r="AD337" s="4">
        <f t="shared" si="141"/>
        <v>88.702035368702042</v>
      </c>
      <c r="AE337" s="4">
        <f t="shared" si="142"/>
        <v>93.970059092391224</v>
      </c>
      <c r="AF337" s="4">
        <f t="shared" si="143"/>
        <v>109.72164970819863</v>
      </c>
      <c r="AG337" s="4">
        <f t="shared" si="144"/>
        <v>99.495341614906835</v>
      </c>
      <c r="AH337" s="4">
        <f t="shared" si="145"/>
        <v>100.44070734450776</v>
      </c>
      <c r="AI337" s="4">
        <f t="shared" si="146"/>
        <v>113.57320462191018</v>
      </c>
      <c r="AJ337" s="4">
        <f t="shared" si="147"/>
        <v>107.53818360978813</v>
      </c>
      <c r="AK337" s="4">
        <f t="shared" si="148"/>
        <v>113.21581393444302</v>
      </c>
      <c r="AL337" s="4">
        <f t="shared" si="149"/>
        <v>117.98661289992425</v>
      </c>
      <c r="AM337" s="4">
        <f t="shared" si="150"/>
        <v>75.982767524281797</v>
      </c>
      <c r="AN337" s="4">
        <f t="shared" si="151"/>
        <v>131.43387603541842</v>
      </c>
      <c r="AO337" s="4">
        <f t="shared" si="152"/>
        <v>127.79488010369411</v>
      </c>
      <c r="AP337" s="4">
        <f t="shared" si="153"/>
        <v>117.25271945357953</v>
      </c>
      <c r="AQ337" s="4">
        <f t="shared" si="154"/>
        <v>87.255333509405176</v>
      </c>
      <c r="AR337" s="4">
        <f t="shared" si="155"/>
        <v>102.28238833300635</v>
      </c>
      <c r="AS337" s="4">
        <f t="shared" si="156"/>
        <v>106.13122739885883</v>
      </c>
      <c r="AT337" s="4">
        <f t="shared" si="157"/>
        <v>105.60533123190517</v>
      </c>
      <c r="AU337" s="4">
        <f t="shared" si="158"/>
        <v>114.22362273171794</v>
      </c>
      <c r="AV337" s="4">
        <f t="shared" si="159"/>
        <v>92.067202337472608</v>
      </c>
      <c r="AW337" s="4">
        <f t="shared" si="160"/>
        <v>112.51687836820534</v>
      </c>
      <c r="AX337" s="4">
        <f t="shared" si="161"/>
        <v>79.404786465855182</v>
      </c>
    </row>
    <row r="338" spans="1:50" ht="14.25" customHeight="1" x14ac:dyDescent="0.3">
      <c r="A338" s="2">
        <v>45887</v>
      </c>
      <c r="B338" s="4">
        <f t="shared" si="113"/>
        <v>113.1381780962129</v>
      </c>
      <c r="C338" s="4">
        <f t="shared" si="114"/>
        <v>112.38753393614395</v>
      </c>
      <c r="D338" s="4">
        <f t="shared" si="115"/>
        <v>118.58745378203923</v>
      </c>
      <c r="E338" s="4">
        <f t="shared" si="116"/>
        <v>73.221558924728569</v>
      </c>
      <c r="F338" s="4">
        <f t="shared" si="117"/>
        <v>111.75943598332876</v>
      </c>
      <c r="G338" s="4">
        <f t="shared" si="118"/>
        <v>104.34316691880987</v>
      </c>
      <c r="H338" s="4">
        <f t="shared" si="119"/>
        <v>76.270916334661351</v>
      </c>
      <c r="I338" s="4">
        <f t="shared" si="120"/>
        <v>110.59385900693337</v>
      </c>
      <c r="J338" s="4">
        <f t="shared" si="121"/>
        <v>130.52066961775267</v>
      </c>
      <c r="K338" s="4">
        <f t="shared" si="122"/>
        <v>88.746668996548877</v>
      </c>
      <c r="L338" s="4">
        <f t="shared" si="123"/>
        <v>99.116564417177912</v>
      </c>
      <c r="M338" s="4">
        <f t="shared" si="124"/>
        <v>125.51412792305703</v>
      </c>
      <c r="N338" s="4">
        <f t="shared" si="125"/>
        <v>109.76963011031798</v>
      </c>
      <c r="O338" s="4">
        <f t="shared" si="126"/>
        <v>111.91008722880787</v>
      </c>
      <c r="P338" s="4">
        <f t="shared" si="127"/>
        <v>77.669395120165277</v>
      </c>
      <c r="Q338" s="4">
        <f t="shared" si="128"/>
        <v>86.388528797058115</v>
      </c>
      <c r="R338" s="4">
        <f t="shared" si="129"/>
        <v>111.5139337817769</v>
      </c>
      <c r="S338" s="4">
        <f t="shared" si="130"/>
        <v>101.00765068109723</v>
      </c>
      <c r="T338" s="4">
        <f t="shared" si="131"/>
        <v>126.45902055315908</v>
      </c>
      <c r="U338" s="4">
        <f t="shared" si="132"/>
        <v>109.24904344084703</v>
      </c>
      <c r="V338" s="4">
        <f t="shared" si="133"/>
        <v>100.71931664918327</v>
      </c>
      <c r="W338" s="4">
        <f t="shared" si="134"/>
        <v>113.88788426763111</v>
      </c>
      <c r="X338" s="4">
        <f t="shared" si="135"/>
        <v>108.90292935094774</v>
      </c>
      <c r="Y338" s="4">
        <f t="shared" si="136"/>
        <v>100.51065625659423</v>
      </c>
      <c r="Z338" s="4">
        <f t="shared" si="137"/>
        <v>130.14630826811845</v>
      </c>
      <c r="AA338" s="4">
        <f t="shared" si="138"/>
        <v>119.25561875310619</v>
      </c>
      <c r="AB338" s="4">
        <f t="shared" si="139"/>
        <v>81.655011655011663</v>
      </c>
      <c r="AC338" s="4">
        <f t="shared" si="140"/>
        <v>93.540592783505161</v>
      </c>
      <c r="AD338" s="4">
        <f t="shared" si="141"/>
        <v>90.223556890223549</v>
      </c>
      <c r="AE338" s="4">
        <f t="shared" si="142"/>
        <v>98.260406953795808</v>
      </c>
      <c r="AF338" s="4">
        <f t="shared" si="143"/>
        <v>112.26867420215652</v>
      </c>
      <c r="AG338" s="4">
        <f t="shared" si="144"/>
        <v>100.36231884057972</v>
      </c>
      <c r="AH338" s="4">
        <f t="shared" si="145"/>
        <v>105.48394829525549</v>
      </c>
      <c r="AI338" s="4">
        <f t="shared" si="146"/>
        <v>115.5185022670762</v>
      </c>
      <c r="AJ338" s="4">
        <f t="shared" si="147"/>
        <v>108.17868287075055</v>
      </c>
      <c r="AK338" s="4">
        <f t="shared" si="148"/>
        <v>116.5325635198493</v>
      </c>
      <c r="AL338" s="4">
        <f t="shared" si="149"/>
        <v>121.01610955314924</v>
      </c>
      <c r="AM338" s="4">
        <f t="shared" si="150"/>
        <v>78.083771337214642</v>
      </c>
      <c r="AN338" s="4">
        <f t="shared" si="151"/>
        <v>133.03341902313625</v>
      </c>
      <c r="AO338" s="4">
        <f t="shared" si="152"/>
        <v>128.15942968243681</v>
      </c>
      <c r="AP338" s="4">
        <f t="shared" si="153"/>
        <v>120.44017202124968</v>
      </c>
      <c r="AQ338" s="4">
        <f t="shared" si="154"/>
        <v>86.345629016638796</v>
      </c>
      <c r="AR338" s="4">
        <f t="shared" si="155"/>
        <v>102.36086586881173</v>
      </c>
      <c r="AS338" s="4">
        <f t="shared" si="156"/>
        <v>106.14479656428732</v>
      </c>
      <c r="AT338" s="4">
        <f t="shared" si="157"/>
        <v>107.37841125177737</v>
      </c>
      <c r="AU338" s="4">
        <f t="shared" si="158"/>
        <v>116.40769314354014</v>
      </c>
      <c r="AV338" s="4">
        <f t="shared" si="159"/>
        <v>92.235208181154135</v>
      </c>
      <c r="AW338" s="4">
        <f t="shared" si="160"/>
        <v>119.11049505896972</v>
      </c>
      <c r="AX338" s="4">
        <f t="shared" si="161"/>
        <v>81.354446049102549</v>
      </c>
    </row>
    <row r="339" spans="1:50" ht="14.25" customHeight="1" x14ac:dyDescent="0.3">
      <c r="A339" s="2">
        <v>45888</v>
      </c>
      <c r="B339" s="4">
        <f t="shared" si="113"/>
        <v>116.28249744114636</v>
      </c>
      <c r="C339" s="4">
        <f t="shared" si="114"/>
        <v>111.68637393704144</v>
      </c>
      <c r="D339" s="4">
        <f t="shared" si="115"/>
        <v>119.67788431409414</v>
      </c>
      <c r="E339" s="4">
        <f t="shared" si="116"/>
        <v>73.343140950041942</v>
      </c>
      <c r="F339" s="4">
        <f t="shared" si="117"/>
        <v>111.89187083706615</v>
      </c>
      <c r="G339" s="4">
        <f t="shared" si="118"/>
        <v>104.68986384266262</v>
      </c>
      <c r="H339" s="4">
        <f t="shared" si="119"/>
        <v>76.494023904382473</v>
      </c>
      <c r="I339" s="4">
        <f t="shared" si="120"/>
        <v>112.17432496447184</v>
      </c>
      <c r="J339" s="4">
        <f t="shared" si="121"/>
        <v>130.10251899701527</v>
      </c>
      <c r="K339" s="4">
        <f t="shared" si="122"/>
        <v>89.358263072823377</v>
      </c>
      <c r="L339" s="4">
        <f t="shared" si="123"/>
        <v>98.513974096796176</v>
      </c>
      <c r="M339" s="4">
        <f t="shared" si="124"/>
        <v>127.13792457375339</v>
      </c>
      <c r="N339" s="4">
        <f t="shared" si="125"/>
        <v>108.82543802725502</v>
      </c>
      <c r="O339" s="4">
        <f t="shared" si="126"/>
        <v>113.50369044956385</v>
      </c>
      <c r="P339" s="4">
        <f t="shared" si="127"/>
        <v>77.203901775674041</v>
      </c>
      <c r="Q339" s="4">
        <f t="shared" si="128"/>
        <v>86.065768935686123</v>
      </c>
      <c r="R339" s="4">
        <f t="shared" si="129"/>
        <v>112.37005328907136</v>
      </c>
      <c r="S339" s="4">
        <f t="shared" si="130"/>
        <v>101.06363127449151</v>
      </c>
      <c r="T339" s="4">
        <f t="shared" si="131"/>
        <v>125.10784064958132</v>
      </c>
      <c r="U339" s="4">
        <f t="shared" si="132"/>
        <v>109.65779000261229</v>
      </c>
      <c r="V339" s="4">
        <f t="shared" si="133"/>
        <v>100.41960137869023</v>
      </c>
      <c r="W339" s="4">
        <f t="shared" si="134"/>
        <v>116.25678119349006</v>
      </c>
      <c r="X339" s="4">
        <f t="shared" si="135"/>
        <v>112.36563551325185</v>
      </c>
      <c r="Y339" s="4">
        <f t="shared" si="136"/>
        <v>100.41780966448617</v>
      </c>
      <c r="Z339" s="4">
        <f t="shared" si="137"/>
        <v>129.31269139162984</v>
      </c>
      <c r="AA339" s="4">
        <f t="shared" si="138"/>
        <v>118.54878789552157</v>
      </c>
      <c r="AB339" s="4">
        <f t="shared" si="139"/>
        <v>82.23776223776224</v>
      </c>
      <c r="AC339" s="4">
        <f t="shared" si="140"/>
        <v>92.783505154639187</v>
      </c>
      <c r="AD339" s="4">
        <f t="shared" si="141"/>
        <v>93.460126793460134</v>
      </c>
      <c r="AE339" s="4">
        <f t="shared" si="142"/>
        <v>100.62867897329116</v>
      </c>
      <c r="AF339" s="4">
        <f t="shared" si="143"/>
        <v>111.92154990996464</v>
      </c>
      <c r="AG339" s="4">
        <f t="shared" si="144"/>
        <v>99.728260869565219</v>
      </c>
      <c r="AH339" s="4">
        <f t="shared" si="145"/>
        <v>107.07897696889235</v>
      </c>
      <c r="AI339" s="4">
        <f t="shared" si="146"/>
        <v>116.44727219540734</v>
      </c>
      <c r="AJ339" s="4">
        <f t="shared" si="147"/>
        <v>108.81918213171294</v>
      </c>
      <c r="AK339" s="4">
        <f t="shared" si="148"/>
        <v>115.81188706672398</v>
      </c>
      <c r="AL339" s="4">
        <f t="shared" si="149"/>
        <v>121.55855321065235</v>
      </c>
      <c r="AM339" s="4">
        <f t="shared" si="150"/>
        <v>77.758363339251986</v>
      </c>
      <c r="AN339" s="4">
        <f t="shared" si="151"/>
        <v>132.39788631819479</v>
      </c>
      <c r="AO339" s="4">
        <f t="shared" si="152"/>
        <v>128.60499027867789</v>
      </c>
      <c r="AP339" s="4">
        <f t="shared" si="153"/>
        <v>119.18374230542203</v>
      </c>
      <c r="AQ339" s="4">
        <f t="shared" si="154"/>
        <v>87.842239633770589</v>
      </c>
      <c r="AR339" s="4">
        <f t="shared" si="155"/>
        <v>101.29487934078871</v>
      </c>
      <c r="AS339" s="4">
        <f t="shared" si="156"/>
        <v>106.1583657297158</v>
      </c>
      <c r="AT339" s="4">
        <f t="shared" si="157"/>
        <v>107.30132081613075</v>
      </c>
      <c r="AU339" s="4">
        <f t="shared" si="158"/>
        <v>117.98326632619798</v>
      </c>
      <c r="AV339" s="4">
        <f t="shared" si="159"/>
        <v>90.883856829802795</v>
      </c>
      <c r="AW339" s="4">
        <f t="shared" si="160"/>
        <v>122.31768375016429</v>
      </c>
      <c r="AX339" s="4">
        <f t="shared" si="161"/>
        <v>81.02950278522799</v>
      </c>
    </row>
    <row r="340" spans="1:50" ht="14.25" customHeight="1" x14ac:dyDescent="0.3">
      <c r="A340" s="2">
        <v>45889</v>
      </c>
      <c r="B340" s="4">
        <f t="shared" si="113"/>
        <v>115.70112589559875</v>
      </c>
      <c r="C340" s="4">
        <f t="shared" si="114"/>
        <v>111.52370481724967</v>
      </c>
      <c r="D340" s="4">
        <f t="shared" si="115"/>
        <v>120.84978379394622</v>
      </c>
      <c r="E340" s="4">
        <f t="shared" si="116"/>
        <v>75.346812727206398</v>
      </c>
      <c r="F340" s="4">
        <f t="shared" si="117"/>
        <v>111.44782456277022</v>
      </c>
      <c r="G340" s="4">
        <f t="shared" si="118"/>
        <v>104.50706001008574</v>
      </c>
      <c r="H340" s="4">
        <f t="shared" si="119"/>
        <v>79.479415670650738</v>
      </c>
      <c r="I340" s="4">
        <f t="shared" si="120"/>
        <v>114.97351535248268</v>
      </c>
      <c r="J340" s="4">
        <f t="shared" si="121"/>
        <v>128.01176589332832</v>
      </c>
      <c r="K340" s="4">
        <f t="shared" si="122"/>
        <v>88.692062382595779</v>
      </c>
      <c r="L340" s="4">
        <f t="shared" si="123"/>
        <v>97.949556918882081</v>
      </c>
      <c r="M340" s="4">
        <f t="shared" si="124"/>
        <v>126.87918774479627</v>
      </c>
      <c r="N340" s="4">
        <f t="shared" si="125"/>
        <v>110.17521090201168</v>
      </c>
      <c r="O340" s="4">
        <f t="shared" si="126"/>
        <v>112.81033325877878</v>
      </c>
      <c r="P340" s="4">
        <f t="shared" si="127"/>
        <v>78.244723972907238</v>
      </c>
      <c r="Q340" s="4">
        <f t="shared" si="128"/>
        <v>86.409693378131692</v>
      </c>
      <c r="R340" s="4">
        <f t="shared" si="129"/>
        <v>112.4661483358085</v>
      </c>
      <c r="S340" s="4">
        <f t="shared" si="130"/>
        <v>100.78372830752006</v>
      </c>
      <c r="T340" s="4">
        <f t="shared" si="131"/>
        <v>124.2387718853083</v>
      </c>
      <c r="U340" s="4">
        <f t="shared" si="132"/>
        <v>110.48450297340074</v>
      </c>
      <c r="V340" s="4">
        <f t="shared" si="133"/>
        <v>102.50262250861681</v>
      </c>
      <c r="W340" s="4">
        <f t="shared" si="134"/>
        <v>118.10126582278482</v>
      </c>
      <c r="X340" s="4">
        <f t="shared" si="135"/>
        <v>112.46410109132681</v>
      </c>
      <c r="Y340" s="4">
        <f t="shared" si="136"/>
        <v>100.41358936484492</v>
      </c>
      <c r="Z340" s="4">
        <f t="shared" si="137"/>
        <v>126.52262674379043</v>
      </c>
      <c r="AA340" s="4">
        <f t="shared" si="138"/>
        <v>119.56485725329946</v>
      </c>
      <c r="AB340" s="4">
        <f t="shared" si="139"/>
        <v>83.52980352980353</v>
      </c>
      <c r="AC340" s="4">
        <f t="shared" si="140"/>
        <v>92.912371134020617</v>
      </c>
      <c r="AD340" s="4">
        <f t="shared" si="141"/>
        <v>92.038705372038706</v>
      </c>
      <c r="AE340" s="4">
        <f t="shared" si="142"/>
        <v>100.99478865746434</v>
      </c>
      <c r="AF340" s="4">
        <f t="shared" si="143"/>
        <v>111.51801792029157</v>
      </c>
      <c r="AG340" s="4">
        <f t="shared" si="144"/>
        <v>99.560041407867502</v>
      </c>
      <c r="AH340" s="4">
        <f t="shared" si="145"/>
        <v>109.74350463756892</v>
      </c>
      <c r="AI340" s="4">
        <f t="shared" si="146"/>
        <v>118.41450928769926</v>
      </c>
      <c r="AJ340" s="4">
        <f t="shared" si="147"/>
        <v>107.88306782722943</v>
      </c>
      <c r="AK340" s="4">
        <f t="shared" si="148"/>
        <v>117.31056650901867</v>
      </c>
      <c r="AL340" s="4">
        <f t="shared" si="149"/>
        <v>121.53808363867111</v>
      </c>
      <c r="AM340" s="4">
        <f t="shared" si="150"/>
        <v>77.149991864800057</v>
      </c>
      <c r="AN340" s="4">
        <f t="shared" si="151"/>
        <v>132.71208226221077</v>
      </c>
      <c r="AO340" s="4">
        <f t="shared" si="152"/>
        <v>129.05865197666881</v>
      </c>
      <c r="AP340" s="4">
        <f t="shared" si="153"/>
        <v>118.19714984400032</v>
      </c>
      <c r="AQ340" s="4">
        <f t="shared" si="154"/>
        <v>89.450362414531796</v>
      </c>
      <c r="AR340" s="4">
        <f t="shared" si="155"/>
        <v>101.11176509057616</v>
      </c>
      <c r="AS340" s="4">
        <f t="shared" si="156"/>
        <v>106.96573107271037</v>
      </c>
      <c r="AT340" s="4">
        <f t="shared" si="157"/>
        <v>105.57963442002296</v>
      </c>
      <c r="AU340" s="4">
        <f t="shared" si="158"/>
        <v>120.10214060632403</v>
      </c>
      <c r="AV340" s="4">
        <f t="shared" si="159"/>
        <v>90.971512052593155</v>
      </c>
      <c r="AW340" s="4">
        <f t="shared" si="160"/>
        <v>122.74307837537491</v>
      </c>
      <c r="AX340" s="4">
        <f t="shared" si="161"/>
        <v>80.276459665772663</v>
      </c>
    </row>
    <row r="341" spans="1:50" ht="14.25" customHeight="1" x14ac:dyDescent="0.3">
      <c r="A341" s="2">
        <v>45890</v>
      </c>
      <c r="B341" s="4">
        <f t="shared" si="113"/>
        <v>116.66734902763561</v>
      </c>
      <c r="C341" s="4">
        <f t="shared" si="114"/>
        <v>111.69198321703426</v>
      </c>
      <c r="D341" s="4">
        <f t="shared" si="115"/>
        <v>120.94378642601993</v>
      </c>
      <c r="E341" s="4">
        <f t="shared" si="116"/>
        <v>75.444078347457108</v>
      </c>
      <c r="F341" s="4">
        <f t="shared" si="117"/>
        <v>112.64752853192068</v>
      </c>
      <c r="G341" s="4">
        <f t="shared" si="118"/>
        <v>104.09732728189611</v>
      </c>
      <c r="H341" s="4">
        <f t="shared" si="119"/>
        <v>79.490039840637451</v>
      </c>
      <c r="I341" s="4">
        <f t="shared" si="120"/>
        <v>114.03470996081133</v>
      </c>
      <c r="J341" s="4">
        <f t="shared" si="121"/>
        <v>129.13644687324268</v>
      </c>
      <c r="K341" s="4">
        <f t="shared" si="122"/>
        <v>88.582849154689612</v>
      </c>
      <c r="L341" s="4">
        <f t="shared" si="123"/>
        <v>98.503067484662566</v>
      </c>
      <c r="M341" s="4">
        <f t="shared" si="124"/>
        <v>127.40558336232969</v>
      </c>
      <c r="N341" s="4">
        <f t="shared" si="125"/>
        <v>109.51005840363399</v>
      </c>
      <c r="O341" s="4">
        <f t="shared" si="126"/>
        <v>112.82710802952359</v>
      </c>
      <c r="P341" s="4">
        <f t="shared" si="127"/>
        <v>78.113967415465893</v>
      </c>
      <c r="Q341" s="4">
        <f t="shared" si="128"/>
        <v>5.3440567210772771</v>
      </c>
      <c r="R341" s="4">
        <f t="shared" si="129"/>
        <v>112.43120468244956</v>
      </c>
      <c r="S341" s="4">
        <f t="shared" si="130"/>
        <v>100.66243702183245</v>
      </c>
      <c r="T341" s="4">
        <f t="shared" si="131"/>
        <v>125.6026389241309</v>
      </c>
      <c r="U341" s="4">
        <f t="shared" si="132"/>
        <v>111.13911212870909</v>
      </c>
      <c r="V341" s="4">
        <f t="shared" si="133"/>
        <v>101.54353364303913</v>
      </c>
      <c r="W341" s="4">
        <f t="shared" si="134"/>
        <v>116.38336347197107</v>
      </c>
      <c r="X341" s="4">
        <f t="shared" si="135"/>
        <v>111.74202018544351</v>
      </c>
      <c r="Y341" s="4">
        <f t="shared" si="136"/>
        <v>100.56552015193078</v>
      </c>
      <c r="Z341" s="4">
        <f t="shared" si="137"/>
        <v>127.32221844164684</v>
      </c>
      <c r="AA341" s="4">
        <f t="shared" si="138"/>
        <v>118.3720801811254</v>
      </c>
      <c r="AB341" s="4">
        <f t="shared" si="139"/>
        <v>83.220113220113205</v>
      </c>
      <c r="AC341" s="4">
        <f t="shared" si="140"/>
        <v>91.494845360824755</v>
      </c>
      <c r="AD341" s="4">
        <f t="shared" si="141"/>
        <v>91.478144811478145</v>
      </c>
      <c r="AE341" s="4">
        <f t="shared" si="142"/>
        <v>99.358736006315397</v>
      </c>
      <c r="AF341" s="4">
        <f t="shared" si="143"/>
        <v>111.36615104245762</v>
      </c>
      <c r="AG341" s="4">
        <f t="shared" si="144"/>
        <v>97.864906832298132</v>
      </c>
      <c r="AH341" s="4">
        <f t="shared" si="145"/>
        <v>108.73854437498851</v>
      </c>
      <c r="AI341" s="4">
        <f t="shared" si="146"/>
        <v>118.11467017697819</v>
      </c>
      <c r="AJ341" s="4">
        <f t="shared" si="147"/>
        <v>106.37214649367712</v>
      </c>
      <c r="AK341" s="4">
        <f t="shared" si="148"/>
        <v>117.97801117867452</v>
      </c>
      <c r="AL341" s="4">
        <f t="shared" si="149"/>
        <v>122.30569258796797</v>
      </c>
      <c r="AM341" s="4">
        <f t="shared" si="150"/>
        <v>77.142917777887817</v>
      </c>
      <c r="AN341" s="4">
        <f t="shared" si="151"/>
        <v>134.0545558411882</v>
      </c>
      <c r="AO341" s="4">
        <f t="shared" si="152"/>
        <v>128.88042773817241</v>
      </c>
      <c r="AP341" s="4">
        <f t="shared" si="153"/>
        <v>119.28493127582425</v>
      </c>
      <c r="AQ341" s="4">
        <f t="shared" si="154"/>
        <v>89.286028699709476</v>
      </c>
      <c r="AR341" s="4">
        <f t="shared" si="155"/>
        <v>104.16584919233536</v>
      </c>
      <c r="AS341" s="4">
        <f t="shared" si="156"/>
        <v>107.55598976884926</v>
      </c>
      <c r="AT341" s="4">
        <f t="shared" si="157"/>
        <v>106.17922669727442</v>
      </c>
      <c r="AU341" s="4">
        <f t="shared" si="158"/>
        <v>118.23318483103336</v>
      </c>
      <c r="AV341" s="4">
        <f t="shared" si="159"/>
        <v>93.250547845142435</v>
      </c>
      <c r="AW341" s="4">
        <f t="shared" si="160"/>
        <v>121.81342382926859</v>
      </c>
      <c r="AX341" s="4">
        <f t="shared" si="161"/>
        <v>79.167526304930902</v>
      </c>
    </row>
    <row r="342" spans="1:50" ht="14.25" customHeight="1" x14ac:dyDescent="0.3">
      <c r="A342" s="2">
        <v>45891</v>
      </c>
      <c r="B342" s="4">
        <f t="shared" si="113"/>
        <v>115.38996929375639</v>
      </c>
      <c r="C342" s="4">
        <f t="shared" si="114"/>
        <v>110.19991473894413</v>
      </c>
      <c r="D342" s="4">
        <f t="shared" si="115"/>
        <v>121.15685905872031</v>
      </c>
      <c r="E342" s="4">
        <f t="shared" si="116"/>
        <v>74.26230106141108</v>
      </c>
      <c r="F342" s="4">
        <f t="shared" si="117"/>
        <v>111.89966112258014</v>
      </c>
      <c r="G342" s="4">
        <f t="shared" si="118"/>
        <v>102.9059505799294</v>
      </c>
      <c r="H342" s="4">
        <f t="shared" si="119"/>
        <v>79.017264276228417</v>
      </c>
      <c r="I342" s="4">
        <f t="shared" si="120"/>
        <v>113.2552430989191</v>
      </c>
      <c r="J342" s="4">
        <f t="shared" si="121"/>
        <v>128.97783801710091</v>
      </c>
      <c r="K342" s="4">
        <f t="shared" si="122"/>
        <v>86.999257350050229</v>
      </c>
      <c r="L342" s="4">
        <f t="shared" si="123"/>
        <v>98.044989775051121</v>
      </c>
      <c r="M342" s="4">
        <f t="shared" si="124"/>
        <v>128.02119857605524</v>
      </c>
      <c r="N342" s="4">
        <f t="shared" si="125"/>
        <v>110.41531473069435</v>
      </c>
      <c r="O342" s="4">
        <f t="shared" si="126"/>
        <v>111.08253187206438</v>
      </c>
      <c r="P342" s="4">
        <f t="shared" si="127"/>
        <v>76.691336070503937</v>
      </c>
      <c r="Q342" s="4">
        <f t="shared" si="128"/>
        <v>86.870023016481895</v>
      </c>
      <c r="R342" s="4">
        <f t="shared" si="129"/>
        <v>109.97641303398269</v>
      </c>
      <c r="S342" s="4">
        <f t="shared" si="130"/>
        <v>99.916029109908578</v>
      </c>
      <c r="T342" s="4">
        <f t="shared" si="131"/>
        <v>124.70819588936818</v>
      </c>
      <c r="U342" s="4">
        <f t="shared" si="132"/>
        <v>111.28355640241561</v>
      </c>
      <c r="V342" s="4">
        <f t="shared" si="133"/>
        <v>101.00404615615166</v>
      </c>
      <c r="W342" s="4">
        <f t="shared" si="134"/>
        <v>115.40687160940328</v>
      </c>
      <c r="X342" s="4">
        <f t="shared" si="135"/>
        <v>110.05169442848937</v>
      </c>
      <c r="Y342" s="4">
        <f t="shared" si="136"/>
        <v>99.721460223675876</v>
      </c>
      <c r="Z342" s="4">
        <f t="shared" si="137"/>
        <v>127.54338210275607</v>
      </c>
      <c r="AA342" s="4">
        <f t="shared" si="138"/>
        <v>116.4724722513667</v>
      </c>
      <c r="AB342" s="4">
        <f t="shared" si="139"/>
        <v>82.797202797202786</v>
      </c>
      <c r="AC342" s="4">
        <f t="shared" si="140"/>
        <v>91.285438144329916</v>
      </c>
      <c r="AD342" s="4">
        <f t="shared" si="141"/>
        <v>90.797464130797451</v>
      </c>
      <c r="AE342" s="4">
        <f t="shared" si="142"/>
        <v>99.301531368163339</v>
      </c>
      <c r="AF342" s="4">
        <f t="shared" si="143"/>
        <v>108.67159872431822</v>
      </c>
      <c r="AG342" s="4">
        <f t="shared" si="144"/>
        <v>96.907349896480326</v>
      </c>
      <c r="AH342" s="4">
        <f t="shared" si="145"/>
        <v>107.21727425273369</v>
      </c>
      <c r="AI342" s="4">
        <f t="shared" si="146"/>
        <v>115.94997806055287</v>
      </c>
      <c r="AJ342" s="4">
        <f t="shared" si="147"/>
        <v>105.30464772540647</v>
      </c>
      <c r="AK342" s="4">
        <f t="shared" si="148"/>
        <v>115.21814794341051</v>
      </c>
      <c r="AL342" s="4">
        <f t="shared" si="149"/>
        <v>121.27197920291486</v>
      </c>
      <c r="AM342" s="4">
        <f t="shared" si="150"/>
        <v>76.654805780943818</v>
      </c>
      <c r="AN342" s="4">
        <f t="shared" si="151"/>
        <v>132.74778634675806</v>
      </c>
      <c r="AO342" s="4">
        <f t="shared" si="152"/>
        <v>127.79488010369411</v>
      </c>
      <c r="AP342" s="4">
        <f t="shared" si="153"/>
        <v>118.76212159541275</v>
      </c>
      <c r="AQ342" s="4">
        <f t="shared" si="154"/>
        <v>88.329371716993862</v>
      </c>
      <c r="AR342" s="4">
        <f t="shared" si="155"/>
        <v>104.16584919233536</v>
      </c>
      <c r="AS342" s="4">
        <f t="shared" si="156"/>
        <v>107.50171310713534</v>
      </c>
      <c r="AT342" s="4">
        <f t="shared" si="157"/>
        <v>105.50254398437635</v>
      </c>
      <c r="AU342" s="4">
        <f t="shared" si="158"/>
        <v>117.79854395305878</v>
      </c>
      <c r="AV342" s="4">
        <f t="shared" si="159"/>
        <v>93.323593864134409</v>
      </c>
      <c r="AW342" s="4">
        <f t="shared" si="160"/>
        <v>119.44268524382518</v>
      </c>
      <c r="AX342" s="4">
        <f t="shared" si="161"/>
        <v>78.409325355890246</v>
      </c>
    </row>
    <row r="343" spans="1:50" ht="14.25" customHeight="1" x14ac:dyDescent="0.3">
      <c r="A343" s="2">
        <v>45894</v>
      </c>
      <c r="B343" s="4">
        <f t="shared" si="113"/>
        <v>115.66837256908904</v>
      </c>
      <c r="C343" s="4">
        <f t="shared" si="114"/>
        <v>110.17186833898</v>
      </c>
      <c r="D343" s="4">
        <f t="shared" si="115"/>
        <v>120.9939211631259</v>
      </c>
      <c r="E343" s="4">
        <f t="shared" si="116"/>
        <v>76.368101739838792</v>
      </c>
      <c r="F343" s="4">
        <f t="shared" si="117"/>
        <v>111.65037198613328</v>
      </c>
      <c r="G343" s="4">
        <f t="shared" si="118"/>
        <v>102.93116490166415</v>
      </c>
      <c r="H343" s="4">
        <f t="shared" si="119"/>
        <v>81.38645418326692</v>
      </c>
      <c r="I343" s="4">
        <f t="shared" si="120"/>
        <v>113.32845269368246</v>
      </c>
      <c r="J343" s="4">
        <f t="shared" si="121"/>
        <v>129.88623419318557</v>
      </c>
      <c r="K343" s="4">
        <f t="shared" si="122"/>
        <v>87.228605128653186</v>
      </c>
      <c r="L343" s="4">
        <f t="shared" si="123"/>
        <v>98.244035446489434</v>
      </c>
      <c r="M343" s="4">
        <f t="shared" si="124"/>
        <v>128.94016041683395</v>
      </c>
      <c r="N343" s="4">
        <f t="shared" si="125"/>
        <v>110.28228423101882</v>
      </c>
      <c r="O343" s="4">
        <f t="shared" si="126"/>
        <v>110.8980093938716</v>
      </c>
      <c r="P343" s="4">
        <f t="shared" si="127"/>
        <v>78.673605481314894</v>
      </c>
      <c r="Q343" s="4">
        <f t="shared" si="128"/>
        <v>87.658403661472533</v>
      </c>
      <c r="R343" s="4">
        <f t="shared" si="129"/>
        <v>110.12492356075828</v>
      </c>
      <c r="S343" s="4">
        <f t="shared" si="130"/>
        <v>99.832058219817128</v>
      </c>
      <c r="T343" s="4">
        <f t="shared" si="131"/>
        <v>124.57498096929712</v>
      </c>
      <c r="U343" s="4">
        <f t="shared" si="132"/>
        <v>112.21783425787912</v>
      </c>
      <c r="V343" s="4">
        <f t="shared" si="133"/>
        <v>101.25880413607074</v>
      </c>
      <c r="W343" s="4">
        <f t="shared" si="134"/>
        <v>115.4611211573237</v>
      </c>
      <c r="X343" s="4">
        <f t="shared" si="135"/>
        <v>109.98605070977273</v>
      </c>
      <c r="Y343" s="4">
        <f t="shared" si="136"/>
        <v>99.919814306815795</v>
      </c>
      <c r="Z343" s="4">
        <f t="shared" si="137"/>
        <v>126.59067710105481</v>
      </c>
      <c r="AA343" s="4">
        <f t="shared" si="138"/>
        <v>116.82588768015903</v>
      </c>
      <c r="AB343" s="4">
        <f t="shared" si="139"/>
        <v>84.528804528804528</v>
      </c>
      <c r="AC343" s="4">
        <f t="shared" si="140"/>
        <v>91.543170103092777</v>
      </c>
      <c r="AD343" s="4">
        <f t="shared" si="141"/>
        <v>91.664998331664989</v>
      </c>
      <c r="AE343" s="4">
        <f t="shared" si="142"/>
        <v>100.11383722992262</v>
      </c>
      <c r="AF343" s="4">
        <f t="shared" si="143"/>
        <v>108.16826850064001</v>
      </c>
      <c r="AG343" s="4">
        <f t="shared" si="144"/>
        <v>98.343685300207042</v>
      </c>
      <c r="AH343" s="4">
        <f t="shared" si="145"/>
        <v>106.30451217938082</v>
      </c>
      <c r="AI343" s="4">
        <f t="shared" si="146"/>
        <v>116.73979815708641</v>
      </c>
      <c r="AJ343" s="4">
        <f t="shared" si="147"/>
        <v>105.00903268188537</v>
      </c>
      <c r="AK343" s="4">
        <f t="shared" si="148"/>
        <v>115.11987388162071</v>
      </c>
      <c r="AL343" s="4">
        <f t="shared" si="149"/>
        <v>122.62297095367734</v>
      </c>
      <c r="AM343" s="4">
        <f t="shared" si="150"/>
        <v>76.72554665006615</v>
      </c>
      <c r="AN343" s="4">
        <f t="shared" si="151"/>
        <v>131.8766066838046</v>
      </c>
      <c r="AO343" s="4">
        <f t="shared" si="152"/>
        <v>127.51134154244978</v>
      </c>
      <c r="AP343" s="4">
        <f t="shared" si="153"/>
        <v>120.72687410405598</v>
      </c>
      <c r="AQ343" s="4">
        <f t="shared" si="154"/>
        <v>89.626434251841431</v>
      </c>
      <c r="AR343" s="4">
        <f t="shared" si="155"/>
        <v>104.71519194297301</v>
      </c>
      <c r="AS343" s="4">
        <f t="shared" si="156"/>
        <v>106.531517778999</v>
      </c>
      <c r="AT343" s="4">
        <f t="shared" si="157"/>
        <v>106.35910438044989</v>
      </c>
      <c r="AU343" s="4">
        <f t="shared" si="158"/>
        <v>117.52689340432467</v>
      </c>
      <c r="AV343" s="4">
        <f t="shared" si="159"/>
        <v>93.783783783783804</v>
      </c>
      <c r="AW343" s="4">
        <f t="shared" si="160"/>
        <v>121.01760130008243</v>
      </c>
      <c r="AX343" s="4">
        <f t="shared" si="161"/>
        <v>79.518258716732007</v>
      </c>
    </row>
    <row r="344" spans="1:50" ht="14.25" customHeight="1" x14ac:dyDescent="0.3">
      <c r="A344" s="2">
        <v>45895</v>
      </c>
      <c r="B344" s="4">
        <f t="shared" si="113"/>
        <v>113.40020470829069</v>
      </c>
      <c r="C344" s="4">
        <f t="shared" si="114"/>
        <v>109.20146290022214</v>
      </c>
      <c r="D344" s="4">
        <f t="shared" si="115"/>
        <v>119.3645422071818</v>
      </c>
      <c r="E344" s="4">
        <f t="shared" si="116"/>
        <v>76.7717540638792</v>
      </c>
      <c r="F344" s="4">
        <f t="shared" si="117"/>
        <v>110.35718459081522</v>
      </c>
      <c r="G344" s="4">
        <f t="shared" si="118"/>
        <v>101.84694906707008</v>
      </c>
      <c r="H344" s="4">
        <f t="shared" si="119"/>
        <v>81.25365205843292</v>
      </c>
      <c r="I344" s="4">
        <f t="shared" si="120"/>
        <v>115.95538521166186</v>
      </c>
      <c r="J344" s="4">
        <f t="shared" si="121"/>
        <v>126.34637290383979</v>
      </c>
      <c r="K344" s="4">
        <f t="shared" si="122"/>
        <v>88.102310951902496</v>
      </c>
      <c r="L344" s="4">
        <f t="shared" si="123"/>
        <v>96.558963871847311</v>
      </c>
      <c r="M344" s="4">
        <f t="shared" si="124"/>
        <v>131.27771383706718</v>
      </c>
      <c r="N344" s="4">
        <f t="shared" si="125"/>
        <v>108.07268007787152</v>
      </c>
      <c r="O344" s="4">
        <f t="shared" si="126"/>
        <v>109.91388951017669</v>
      </c>
      <c r="P344" s="4">
        <f t="shared" si="127"/>
        <v>78.077355579382299</v>
      </c>
      <c r="Q344" s="4">
        <f t="shared" si="128"/>
        <v>84.674197730098683</v>
      </c>
      <c r="R344" s="4">
        <f t="shared" si="129"/>
        <v>110.15986721411724</v>
      </c>
      <c r="S344" s="4">
        <f t="shared" si="130"/>
        <v>97.975368538906508</v>
      </c>
      <c r="T344" s="4">
        <f t="shared" si="131"/>
        <v>122.0629281908145</v>
      </c>
      <c r="U344" s="4">
        <f t="shared" si="132"/>
        <v>110.45377014920787</v>
      </c>
      <c r="V344" s="4">
        <f t="shared" si="133"/>
        <v>99.86512812827813</v>
      </c>
      <c r="W344" s="4">
        <f t="shared" si="134"/>
        <v>114.97287522603979</v>
      </c>
      <c r="X344" s="4">
        <f t="shared" si="135"/>
        <v>107.93468449987694</v>
      </c>
      <c r="Y344" s="4">
        <f t="shared" si="136"/>
        <v>98.835197299008243</v>
      </c>
      <c r="Z344" s="4">
        <f t="shared" si="137"/>
        <v>124.48111602585917</v>
      </c>
      <c r="AA344" s="4">
        <f t="shared" si="138"/>
        <v>115.64415484013473</v>
      </c>
      <c r="AB344" s="4">
        <f t="shared" si="139"/>
        <v>83.926073926073926</v>
      </c>
      <c r="AC344" s="4">
        <f t="shared" si="140"/>
        <v>90.173969072164951</v>
      </c>
      <c r="AD344" s="4">
        <f t="shared" si="141"/>
        <v>90.977644310977638</v>
      </c>
      <c r="AE344" s="4">
        <f t="shared" si="142"/>
        <v>99.438822499728289</v>
      </c>
      <c r="AF344" s="4">
        <f t="shared" si="143"/>
        <v>107.66927733061418</v>
      </c>
      <c r="AG344" s="4">
        <f t="shared" si="144"/>
        <v>96.389751552795019</v>
      </c>
      <c r="AH344" s="4">
        <f t="shared" si="145"/>
        <v>107.1527355202744</v>
      </c>
      <c r="AI344" s="4">
        <f t="shared" si="146"/>
        <v>113.37574959777679</v>
      </c>
      <c r="AJ344" s="4">
        <f t="shared" si="147"/>
        <v>103.71161110198719</v>
      </c>
      <c r="AK344" s="4">
        <f t="shared" si="148"/>
        <v>114.49747149028519</v>
      </c>
      <c r="AL344" s="4">
        <f t="shared" si="149"/>
        <v>125.90833725666795</v>
      </c>
      <c r="AM344" s="4">
        <f t="shared" si="150"/>
        <v>74.914580400534803</v>
      </c>
      <c r="AN344" s="4">
        <f t="shared" si="151"/>
        <v>129.72007997714937</v>
      </c>
      <c r="AO344" s="4">
        <f t="shared" si="152"/>
        <v>125.82631237848348</v>
      </c>
      <c r="AP344" s="4">
        <f t="shared" si="153"/>
        <v>119.01509402141835</v>
      </c>
      <c r="AQ344" s="4">
        <f t="shared" si="154"/>
        <v>88.165038002171542</v>
      </c>
      <c r="AR344" s="4">
        <f t="shared" si="155"/>
        <v>103.31567588777713</v>
      </c>
      <c r="AS344" s="4">
        <f t="shared" si="156"/>
        <v>105.75129076686139</v>
      </c>
      <c r="AT344" s="4">
        <f t="shared" si="157"/>
        <v>101.87929350898534</v>
      </c>
      <c r="AU344" s="4">
        <f t="shared" si="158"/>
        <v>117.3421710311855</v>
      </c>
      <c r="AV344" s="4">
        <f t="shared" si="159"/>
        <v>92.271731190650115</v>
      </c>
      <c r="AW344" s="4">
        <f t="shared" si="160"/>
        <v>121.24702761480275</v>
      </c>
      <c r="AX344" s="4">
        <f t="shared" si="161"/>
        <v>78.027645966577268</v>
      </c>
    </row>
    <row r="345" spans="1:50" ht="14.25" customHeight="1" x14ac:dyDescent="0.3">
      <c r="A345" s="2">
        <v>45897</v>
      </c>
      <c r="B345" s="4">
        <f t="shared" si="113"/>
        <v>113.482088024565</v>
      </c>
      <c r="C345" s="4">
        <f t="shared" si="114"/>
        <v>107.45136754246225</v>
      </c>
      <c r="D345" s="4">
        <f t="shared" si="115"/>
        <v>117.88556746255561</v>
      </c>
      <c r="E345" s="4">
        <f t="shared" si="116"/>
        <v>75.227662342399299</v>
      </c>
      <c r="F345" s="4">
        <f t="shared" si="117"/>
        <v>108.99388462587152</v>
      </c>
      <c r="G345" s="4">
        <f t="shared" si="118"/>
        <v>101.1031265758951</v>
      </c>
      <c r="H345" s="4">
        <f t="shared" si="119"/>
        <v>79.686586985391756</v>
      </c>
      <c r="I345" s="4">
        <f t="shared" si="120"/>
        <v>114.31032255286165</v>
      </c>
      <c r="J345" s="4">
        <f t="shared" si="121"/>
        <v>126.43288682537164</v>
      </c>
      <c r="K345" s="4">
        <f t="shared" si="122"/>
        <v>87.567166135162282</v>
      </c>
      <c r="L345" s="4">
        <f t="shared" si="123"/>
        <v>97.071574642126777</v>
      </c>
      <c r="M345" s="4">
        <f t="shared" si="124"/>
        <v>131.61674830259719</v>
      </c>
      <c r="N345" s="4">
        <f t="shared" si="125"/>
        <v>106.92083062946141</v>
      </c>
      <c r="O345" s="4">
        <f t="shared" si="126"/>
        <v>108.73965555804071</v>
      </c>
      <c r="P345" s="4">
        <f t="shared" si="127"/>
        <v>75.828342791390995</v>
      </c>
      <c r="Q345" s="4">
        <f t="shared" si="128"/>
        <v>83.901690520913249</v>
      </c>
      <c r="R345" s="4">
        <f t="shared" si="129"/>
        <v>109.38237092688038</v>
      </c>
      <c r="S345" s="4">
        <f t="shared" si="130"/>
        <v>98.143310319089395</v>
      </c>
      <c r="T345" s="4">
        <f t="shared" si="131"/>
        <v>121.64425272773404</v>
      </c>
      <c r="U345" s="4">
        <f t="shared" si="132"/>
        <v>111.7967945664367</v>
      </c>
      <c r="V345" s="4">
        <f t="shared" si="133"/>
        <v>99.14581147909486</v>
      </c>
      <c r="W345" s="4">
        <f t="shared" si="134"/>
        <v>114.10488245931285</v>
      </c>
      <c r="X345" s="4">
        <f t="shared" si="135"/>
        <v>107.93468449987694</v>
      </c>
      <c r="Y345" s="4">
        <f t="shared" si="136"/>
        <v>98.497573327706263</v>
      </c>
      <c r="Z345" s="4">
        <f t="shared" si="137"/>
        <v>123.80061245321541</v>
      </c>
      <c r="AA345" s="4">
        <f t="shared" si="138"/>
        <v>114.39615660721188</v>
      </c>
      <c r="AB345" s="4">
        <f t="shared" si="139"/>
        <v>83.466533466533477</v>
      </c>
      <c r="AC345" s="4">
        <f t="shared" si="140"/>
        <v>88.418170103092777</v>
      </c>
      <c r="AD345" s="4">
        <f t="shared" si="141"/>
        <v>90.150150150150139</v>
      </c>
      <c r="AE345" s="4">
        <f t="shared" si="142"/>
        <v>99.415940644467454</v>
      </c>
      <c r="AF345" s="4">
        <f t="shared" si="143"/>
        <v>107.99904540819647</v>
      </c>
      <c r="AG345" s="4">
        <f t="shared" si="144"/>
        <v>96.868530020703943</v>
      </c>
      <c r="AH345" s="4">
        <f t="shared" si="145"/>
        <v>107.17117515811991</v>
      </c>
      <c r="AI345" s="4">
        <f t="shared" si="146"/>
        <v>112.35190873189995</v>
      </c>
      <c r="AJ345" s="4">
        <f t="shared" si="147"/>
        <v>101.85580555099358</v>
      </c>
      <c r="AK345" s="4">
        <f t="shared" si="148"/>
        <v>114.01019593391068</v>
      </c>
      <c r="AL345" s="4">
        <f t="shared" si="149"/>
        <v>125.53988496100546</v>
      </c>
      <c r="AM345" s="4">
        <f t="shared" si="150"/>
        <v>74.072764057979228</v>
      </c>
      <c r="AN345" s="4">
        <f t="shared" si="151"/>
        <v>129.73436161096828</v>
      </c>
      <c r="AO345" s="4">
        <f t="shared" si="152"/>
        <v>125.62378483473753</v>
      </c>
      <c r="AP345" s="4">
        <f t="shared" si="153"/>
        <v>118.28990640020236</v>
      </c>
      <c r="AQ345" s="4">
        <f t="shared" si="154"/>
        <v>87.777679960090367</v>
      </c>
      <c r="AR345" s="4">
        <f t="shared" si="155"/>
        <v>103.34837486102937</v>
      </c>
      <c r="AS345" s="4">
        <f t="shared" si="156"/>
        <v>104.86251043129593</v>
      </c>
      <c r="AT345" s="4">
        <f t="shared" si="157"/>
        <v>97.930550083086359</v>
      </c>
      <c r="AU345" s="4">
        <f t="shared" si="158"/>
        <v>115.44061719004675</v>
      </c>
      <c r="AV345" s="4">
        <f t="shared" si="159"/>
        <v>92.023374726077435</v>
      </c>
      <c r="AW345" s="4">
        <f t="shared" si="160"/>
        <v>121.68437152723838</v>
      </c>
      <c r="AX345" s="4">
        <f t="shared" si="161"/>
        <v>77.016711367856416</v>
      </c>
    </row>
    <row r="346" spans="1:50" ht="14.25" customHeight="1" x14ac:dyDescent="0.3">
      <c r="A346" s="2">
        <v>45898</v>
      </c>
      <c r="B346" s="4">
        <f t="shared" si="113"/>
        <v>111.13203684749233</v>
      </c>
      <c r="C346" s="4">
        <f t="shared" si="114"/>
        <v>106.75581682335256</v>
      </c>
      <c r="D346" s="4">
        <f t="shared" si="115"/>
        <v>118.3681143072006</v>
      </c>
      <c r="E346" s="4">
        <f t="shared" si="116"/>
        <v>75.008814696835216</v>
      </c>
      <c r="F346" s="4">
        <f t="shared" si="117"/>
        <v>108.89261091418999</v>
      </c>
      <c r="G346" s="4">
        <f t="shared" si="118"/>
        <v>101.17246596066565</v>
      </c>
      <c r="H346" s="4">
        <f t="shared" si="119"/>
        <v>78.066401062416986</v>
      </c>
      <c r="I346" s="4">
        <f t="shared" si="120"/>
        <v>114.5428706774041</v>
      </c>
      <c r="J346" s="4">
        <f t="shared" si="121"/>
        <v>126.57707669459144</v>
      </c>
      <c r="K346" s="4">
        <f t="shared" si="122"/>
        <v>89.500240269101397</v>
      </c>
      <c r="L346" s="4">
        <f t="shared" si="123"/>
        <v>98.186775732787993</v>
      </c>
      <c r="M346" s="4">
        <f t="shared" si="124"/>
        <v>131.96470472774641</v>
      </c>
      <c r="N346" s="4">
        <f t="shared" si="125"/>
        <v>103.81245944192081</v>
      </c>
      <c r="O346" s="4">
        <f t="shared" si="126"/>
        <v>109.61194363677029</v>
      </c>
      <c r="P346" s="4">
        <f t="shared" si="127"/>
        <v>76.089855906273698</v>
      </c>
      <c r="Q346" s="4">
        <f t="shared" si="128"/>
        <v>84.367311304531867</v>
      </c>
      <c r="R346" s="4">
        <f t="shared" si="129"/>
        <v>110.42194461430941</v>
      </c>
      <c r="S346" s="4">
        <f t="shared" si="130"/>
        <v>97.518193692853146</v>
      </c>
      <c r="T346" s="4">
        <f t="shared" si="131"/>
        <v>121.3841664552144</v>
      </c>
      <c r="U346" s="4">
        <f t="shared" si="132"/>
        <v>111.52327243112008</v>
      </c>
      <c r="V346" s="4">
        <f t="shared" si="133"/>
        <v>98.171736849992513</v>
      </c>
      <c r="W346" s="4">
        <f t="shared" si="134"/>
        <v>113.54430379746836</v>
      </c>
      <c r="X346" s="4">
        <f t="shared" si="135"/>
        <v>107.72134241404775</v>
      </c>
      <c r="Y346" s="4">
        <f t="shared" si="136"/>
        <v>98.632622916227064</v>
      </c>
      <c r="Z346" s="4">
        <f t="shared" si="137"/>
        <v>125.68900986730181</v>
      </c>
      <c r="AA346" s="4">
        <f t="shared" si="138"/>
        <v>113.38008724943396</v>
      </c>
      <c r="AB346" s="4">
        <f t="shared" si="139"/>
        <v>83.053613053613034</v>
      </c>
      <c r="AC346" s="4">
        <f t="shared" si="140"/>
        <v>88.67590206185568</v>
      </c>
      <c r="AD346" s="4">
        <f t="shared" si="141"/>
        <v>89.289289289289286</v>
      </c>
      <c r="AE346" s="4">
        <f t="shared" si="142"/>
        <v>98.752366841903552</v>
      </c>
      <c r="AF346" s="4">
        <f t="shared" si="143"/>
        <v>109.2834052893064</v>
      </c>
      <c r="AG346" s="4">
        <f t="shared" si="144"/>
        <v>96.997929606625249</v>
      </c>
      <c r="AH346" s="4">
        <f t="shared" si="145"/>
        <v>106.59954638490903</v>
      </c>
      <c r="AI346" s="4">
        <f t="shared" si="146"/>
        <v>112.97352640046803</v>
      </c>
      <c r="AJ346" s="4">
        <f t="shared" si="147"/>
        <v>102.38134340614222</v>
      </c>
      <c r="AK346" s="4">
        <f t="shared" si="148"/>
        <v>113.65395245992261</v>
      </c>
      <c r="AL346" s="4">
        <f t="shared" si="149"/>
        <v>124.92579780156797</v>
      </c>
      <c r="AM346" s="4">
        <f t="shared" si="150"/>
        <v>74.957024922008202</v>
      </c>
      <c r="AN346" s="4">
        <f t="shared" si="151"/>
        <v>128.92744930019992</v>
      </c>
      <c r="AO346" s="4">
        <f t="shared" si="152"/>
        <v>125.0891121192482</v>
      </c>
      <c r="AP346" s="4">
        <f t="shared" si="153"/>
        <v>118.71995952441183</v>
      </c>
      <c r="AQ346" s="4">
        <f t="shared" si="154"/>
        <v>86.944273263491496</v>
      </c>
      <c r="AR346" s="4">
        <f t="shared" si="155"/>
        <v>103.94349617422014</v>
      </c>
      <c r="AS346" s="4">
        <f t="shared" si="156"/>
        <v>103.26134891073524</v>
      </c>
      <c r="AT346" s="4">
        <f t="shared" si="157"/>
        <v>99.403833964332819</v>
      </c>
      <c r="AU346" s="4">
        <f t="shared" si="158"/>
        <v>115.76659784852768</v>
      </c>
      <c r="AV346" s="4">
        <f t="shared" si="159"/>
        <v>92.045288531775029</v>
      </c>
      <c r="AW346" s="4">
        <f t="shared" si="160"/>
        <v>121.58877722943826</v>
      </c>
      <c r="AX346" s="4">
        <f t="shared" si="161"/>
        <v>76.28429956674232</v>
      </c>
    </row>
    <row r="347" spans="1:50" ht="14.25" customHeight="1" x14ac:dyDescent="0.3">
      <c r="A347" s="2">
        <v>45901</v>
      </c>
      <c r="B347" s="4">
        <f t="shared" si="113"/>
        <v>110.8618219037871</v>
      </c>
      <c r="C347" s="4">
        <f t="shared" si="114"/>
        <v>106.64363122349616</v>
      </c>
      <c r="D347" s="4">
        <f t="shared" si="115"/>
        <v>119.10760167951369</v>
      </c>
      <c r="E347" s="4">
        <f t="shared" si="116"/>
        <v>75.687242398083868</v>
      </c>
      <c r="F347" s="4">
        <f t="shared" si="117"/>
        <v>109.92092860203326</v>
      </c>
      <c r="G347" s="4">
        <f t="shared" si="118"/>
        <v>101.62002017145737</v>
      </c>
      <c r="H347" s="4">
        <f t="shared" si="119"/>
        <v>79.64940239043824</v>
      </c>
      <c r="I347" s="4">
        <f t="shared" si="120"/>
        <v>114.09930666207313</v>
      </c>
      <c r="J347" s="4">
        <f t="shared" si="121"/>
        <v>128.23526019061902</v>
      </c>
      <c r="K347" s="4">
        <f t="shared" si="122"/>
        <v>88.648377091433318</v>
      </c>
      <c r="L347" s="4">
        <f t="shared" si="123"/>
        <v>98.115882753919564</v>
      </c>
      <c r="M347" s="4">
        <f t="shared" si="124"/>
        <v>132.82121285119064</v>
      </c>
      <c r="N347" s="4">
        <f t="shared" si="125"/>
        <v>107.57300454250486</v>
      </c>
      <c r="O347" s="4">
        <f t="shared" si="126"/>
        <v>110.0760456273764</v>
      </c>
      <c r="P347" s="4">
        <f t="shared" si="127"/>
        <v>76.801171578754676</v>
      </c>
      <c r="Q347" s="4">
        <f t="shared" si="128"/>
        <v>82.716473980793126</v>
      </c>
      <c r="R347" s="4">
        <f t="shared" si="129"/>
        <v>112.04682449550101</v>
      </c>
      <c r="S347" s="4">
        <f t="shared" si="130"/>
        <v>99.038999813398021</v>
      </c>
      <c r="T347" s="4">
        <f t="shared" si="131"/>
        <v>123.28723674194366</v>
      </c>
      <c r="U347" s="4">
        <f t="shared" si="132"/>
        <v>111.20979762435267</v>
      </c>
      <c r="V347" s="4">
        <f t="shared" si="133"/>
        <v>99.115839952045548</v>
      </c>
      <c r="W347" s="4">
        <f t="shared" si="134"/>
        <v>116.13019891500906</v>
      </c>
      <c r="X347" s="4">
        <f t="shared" si="135"/>
        <v>109.56757200295397</v>
      </c>
      <c r="Y347" s="4">
        <f t="shared" si="136"/>
        <v>100.74699303650559</v>
      </c>
      <c r="Z347" s="4">
        <f t="shared" si="137"/>
        <v>127.22014290575028</v>
      </c>
      <c r="AA347" s="4">
        <f t="shared" si="138"/>
        <v>114.36302391076261</v>
      </c>
      <c r="AB347" s="4">
        <f t="shared" si="139"/>
        <v>83.369963369963372</v>
      </c>
      <c r="AC347" s="4">
        <f t="shared" si="140"/>
        <v>90.157860824742272</v>
      </c>
      <c r="AD347" s="4">
        <f t="shared" si="141"/>
        <v>92.112112112112101</v>
      </c>
      <c r="AE347" s="4">
        <f t="shared" si="142"/>
        <v>102.59079806190685</v>
      </c>
      <c r="AF347" s="4">
        <f t="shared" si="143"/>
        <v>111.52235697394397</v>
      </c>
      <c r="AG347" s="4">
        <f t="shared" si="144"/>
        <v>97.800207039337465</v>
      </c>
      <c r="AH347" s="4">
        <f t="shared" si="145"/>
        <v>108.27755342885068</v>
      </c>
      <c r="AI347" s="4">
        <f t="shared" si="146"/>
        <v>114.20944858856221</v>
      </c>
      <c r="AJ347" s="4">
        <f t="shared" si="147"/>
        <v>103.15322713089176</v>
      </c>
      <c r="AK347" s="4">
        <f t="shared" si="148"/>
        <v>114.8127674385275</v>
      </c>
      <c r="AL347" s="4">
        <f t="shared" si="149"/>
        <v>128.54891204224919</v>
      </c>
      <c r="AM347" s="4">
        <f t="shared" si="150"/>
        <v>77.107547343326658</v>
      </c>
      <c r="AN347" s="4">
        <f t="shared" si="151"/>
        <v>129.23450442730646</v>
      </c>
      <c r="AO347" s="4">
        <f t="shared" si="152"/>
        <v>126.66882696046662</v>
      </c>
      <c r="AP347" s="4">
        <f t="shared" si="153"/>
        <v>121.3593051690699</v>
      </c>
      <c r="AQ347" s="4">
        <f t="shared" si="154"/>
        <v>88.358717023212137</v>
      </c>
      <c r="AR347" s="4">
        <f t="shared" si="155"/>
        <v>103.79962069191026</v>
      </c>
      <c r="AS347" s="4">
        <f t="shared" si="156"/>
        <v>104.09585258458678</v>
      </c>
      <c r="AT347" s="4">
        <f t="shared" si="157"/>
        <v>100.83428982577563</v>
      </c>
      <c r="AU347" s="4">
        <f t="shared" si="158"/>
        <v>116.88579810931219</v>
      </c>
      <c r="AV347" s="4">
        <f t="shared" si="159"/>
        <v>93.491599707815936</v>
      </c>
      <c r="AW347" s="4">
        <f t="shared" si="160"/>
        <v>125.32412441597857</v>
      </c>
      <c r="AX347" s="4">
        <f t="shared" si="161"/>
        <v>77.661440066020219</v>
      </c>
    </row>
    <row r="348" spans="1:50" ht="14.25" customHeight="1" x14ac:dyDescent="0.3">
      <c r="A348" s="11"/>
    </row>
    <row r="349" spans="1:50" ht="14.25" customHeight="1" x14ac:dyDescent="0.3">
      <c r="A349" s="11"/>
    </row>
    <row r="350" spans="1:50" ht="14.25" customHeight="1" x14ac:dyDescent="0.3">
      <c r="A350" s="11"/>
    </row>
    <row r="351" spans="1:50" ht="14.25" customHeight="1" x14ac:dyDescent="0.3">
      <c r="A351" s="11"/>
    </row>
    <row r="352" spans="1:50" ht="14.25" customHeight="1" x14ac:dyDescent="0.3">
      <c r="A352" s="11"/>
    </row>
    <row r="353" spans="1:1" ht="14.25" customHeight="1" x14ac:dyDescent="0.3">
      <c r="A353" s="11"/>
    </row>
    <row r="354" spans="1:1" ht="14.25" customHeight="1" x14ac:dyDescent="0.3">
      <c r="A354" s="11"/>
    </row>
    <row r="355" spans="1:1" ht="14.25" customHeight="1" x14ac:dyDescent="0.3">
      <c r="A355" s="11"/>
    </row>
    <row r="356" spans="1:1" ht="14.25" customHeight="1" x14ac:dyDescent="0.3">
      <c r="A356" s="11"/>
    </row>
    <row r="357" spans="1:1" ht="14.25" customHeight="1" x14ac:dyDescent="0.3">
      <c r="A357" s="11"/>
    </row>
    <row r="358" spans="1:1" ht="14.25" customHeight="1" x14ac:dyDescent="0.3">
      <c r="A358" s="11"/>
    </row>
    <row r="359" spans="1:1" ht="14.25" customHeight="1" x14ac:dyDescent="0.3">
      <c r="A359" s="11"/>
    </row>
    <row r="360" spans="1:1" ht="14.25" customHeight="1" x14ac:dyDescent="0.3">
      <c r="A360" s="11"/>
    </row>
    <row r="361" spans="1:1" ht="14.25" customHeight="1" x14ac:dyDescent="0.3">
      <c r="A361" s="11"/>
    </row>
    <row r="362" spans="1:1" ht="14.25" customHeight="1" x14ac:dyDescent="0.3">
      <c r="A362" s="11"/>
    </row>
    <row r="363" spans="1:1" ht="14.25" customHeight="1" x14ac:dyDescent="0.3">
      <c r="A363" s="11"/>
    </row>
    <row r="364" spans="1:1" ht="14.25" customHeight="1" x14ac:dyDescent="0.3">
      <c r="A364" s="11"/>
    </row>
    <row r="365" spans="1:1" ht="14.25" customHeight="1" x14ac:dyDescent="0.3">
      <c r="A365" s="11"/>
    </row>
    <row r="366" spans="1:1" ht="14.25" customHeight="1" x14ac:dyDescent="0.3">
      <c r="A366" s="11"/>
    </row>
    <row r="367" spans="1:1" ht="14.25" customHeight="1" x14ac:dyDescent="0.3">
      <c r="A367" s="11"/>
    </row>
    <row r="368" spans="1:1" ht="14.25" customHeight="1" x14ac:dyDescent="0.3">
      <c r="A368" s="11"/>
    </row>
    <row r="369" spans="1:1" ht="14.25" customHeight="1" x14ac:dyDescent="0.3">
      <c r="A369" s="11"/>
    </row>
    <row r="370" spans="1:1" ht="14.25" customHeight="1" x14ac:dyDescent="0.3">
      <c r="A370" s="11"/>
    </row>
    <row r="371" spans="1:1" ht="14.25" customHeight="1" x14ac:dyDescent="0.3">
      <c r="A371" s="11"/>
    </row>
    <row r="372" spans="1:1" ht="14.25" customHeight="1" x14ac:dyDescent="0.3">
      <c r="A372" s="11"/>
    </row>
    <row r="373" spans="1:1" ht="14.25" customHeight="1" x14ac:dyDescent="0.3">
      <c r="A373" s="11"/>
    </row>
    <row r="374" spans="1:1" ht="14.25" customHeight="1" x14ac:dyDescent="0.3">
      <c r="A374" s="11"/>
    </row>
    <row r="375" spans="1:1" ht="14.25" customHeight="1" x14ac:dyDescent="0.3">
      <c r="A375" s="11"/>
    </row>
    <row r="376" spans="1:1" ht="14.25" customHeight="1" x14ac:dyDescent="0.3">
      <c r="A376" s="11"/>
    </row>
    <row r="377" spans="1:1" ht="14.25" customHeight="1" x14ac:dyDescent="0.3">
      <c r="A377" s="11"/>
    </row>
    <row r="378" spans="1:1" ht="14.25" customHeight="1" x14ac:dyDescent="0.3">
      <c r="A378" s="11"/>
    </row>
    <row r="379" spans="1:1" ht="14.25" customHeight="1" x14ac:dyDescent="0.3">
      <c r="A379" s="11"/>
    </row>
    <row r="380" spans="1:1" ht="14.25" customHeight="1" x14ac:dyDescent="0.3">
      <c r="A380" s="11"/>
    </row>
    <row r="381" spans="1:1" ht="14.25" customHeight="1" x14ac:dyDescent="0.3">
      <c r="A381" s="11"/>
    </row>
    <row r="382" spans="1:1" ht="14.25" customHeight="1" x14ac:dyDescent="0.3">
      <c r="A382" s="11"/>
    </row>
    <row r="383" spans="1:1" ht="14.25" customHeight="1" x14ac:dyDescent="0.3">
      <c r="A383" s="11"/>
    </row>
    <row r="384" spans="1:1" ht="14.25" customHeight="1" x14ac:dyDescent="0.3">
      <c r="A384" s="11"/>
    </row>
    <row r="385" spans="1:1" ht="14.25" customHeight="1" x14ac:dyDescent="0.3">
      <c r="A385" s="11"/>
    </row>
    <row r="386" spans="1:1" ht="14.25" customHeight="1" x14ac:dyDescent="0.3">
      <c r="A386" s="11"/>
    </row>
    <row r="387" spans="1:1" ht="14.25" customHeight="1" x14ac:dyDescent="0.3">
      <c r="A387" s="11"/>
    </row>
    <row r="388" spans="1:1" ht="14.25" customHeight="1" x14ac:dyDescent="0.3">
      <c r="A388" s="11"/>
    </row>
    <row r="389" spans="1:1" ht="14.25" customHeight="1" x14ac:dyDescent="0.3">
      <c r="A389" s="11"/>
    </row>
    <row r="390" spans="1:1" ht="14.25" customHeight="1" x14ac:dyDescent="0.3">
      <c r="A390" s="11"/>
    </row>
    <row r="391" spans="1:1" ht="14.25" customHeight="1" x14ac:dyDescent="0.3">
      <c r="A391" s="11"/>
    </row>
    <row r="392" spans="1:1" ht="14.25" customHeight="1" x14ac:dyDescent="0.3">
      <c r="A392" s="11"/>
    </row>
    <row r="393" spans="1:1" ht="14.25" customHeight="1" x14ac:dyDescent="0.3">
      <c r="A393" s="11"/>
    </row>
    <row r="394" spans="1:1" ht="14.25" customHeight="1" x14ac:dyDescent="0.3">
      <c r="A394" s="11"/>
    </row>
    <row r="395" spans="1:1" ht="14.25" customHeight="1" x14ac:dyDescent="0.3">
      <c r="A395" s="11"/>
    </row>
    <row r="396" spans="1:1" ht="14.25" customHeight="1" x14ac:dyDescent="0.3">
      <c r="A396" s="11"/>
    </row>
    <row r="397" spans="1:1" ht="14.25" customHeight="1" x14ac:dyDescent="0.3">
      <c r="A397" s="11"/>
    </row>
    <row r="398" spans="1:1" ht="14.25" customHeight="1" x14ac:dyDescent="0.3">
      <c r="A398" s="11"/>
    </row>
    <row r="399" spans="1:1" ht="14.25" customHeight="1" x14ac:dyDescent="0.3">
      <c r="A399" s="11"/>
    </row>
    <row r="400" spans="1:1" ht="14.25" customHeight="1" x14ac:dyDescent="0.3">
      <c r="A400" s="11"/>
    </row>
    <row r="401" spans="1:1" ht="14.25" customHeight="1" x14ac:dyDescent="0.3">
      <c r="A401" s="11"/>
    </row>
    <row r="402" spans="1:1" ht="14.25" customHeight="1" x14ac:dyDescent="0.3">
      <c r="A402" s="11"/>
    </row>
    <row r="403" spans="1:1" ht="14.25" customHeight="1" x14ac:dyDescent="0.3">
      <c r="A403" s="11"/>
    </row>
    <row r="404" spans="1:1" ht="14.25" customHeight="1" x14ac:dyDescent="0.3">
      <c r="A404" s="11"/>
    </row>
    <row r="405" spans="1:1" ht="14.25" customHeight="1" x14ac:dyDescent="0.3">
      <c r="A405" s="11"/>
    </row>
    <row r="406" spans="1:1" ht="14.25" customHeight="1" x14ac:dyDescent="0.3">
      <c r="A406" s="11"/>
    </row>
    <row r="407" spans="1:1" ht="14.25" customHeight="1" x14ac:dyDescent="0.3">
      <c r="A407" s="11"/>
    </row>
    <row r="408" spans="1:1" ht="14.25" customHeight="1" x14ac:dyDescent="0.3">
      <c r="A408" s="11"/>
    </row>
    <row r="409" spans="1:1" ht="14.25" customHeight="1" x14ac:dyDescent="0.3">
      <c r="A409" s="11"/>
    </row>
    <row r="410" spans="1:1" ht="14.25" customHeight="1" x14ac:dyDescent="0.3">
      <c r="A410" s="11"/>
    </row>
    <row r="411" spans="1:1" ht="14.25" customHeight="1" x14ac:dyDescent="0.3">
      <c r="A411" s="11"/>
    </row>
    <row r="412" spans="1:1" ht="14.25" customHeight="1" x14ac:dyDescent="0.3">
      <c r="A412" s="11"/>
    </row>
    <row r="413" spans="1:1" ht="14.25" customHeight="1" x14ac:dyDescent="0.3">
      <c r="A413" s="11"/>
    </row>
    <row r="414" spans="1:1" ht="14.25" customHeight="1" x14ac:dyDescent="0.3">
      <c r="A414" s="11"/>
    </row>
    <row r="415" spans="1:1" ht="14.25" customHeight="1" x14ac:dyDescent="0.3">
      <c r="A415" s="11"/>
    </row>
    <row r="416" spans="1:1" ht="14.25" customHeight="1" x14ac:dyDescent="0.3">
      <c r="A416" s="11"/>
    </row>
    <row r="417" spans="1:1" ht="14.25" customHeight="1" x14ac:dyDescent="0.3">
      <c r="A417" s="11"/>
    </row>
    <row r="418" spans="1:1" ht="14.25" customHeight="1" x14ac:dyDescent="0.3">
      <c r="A418" s="11"/>
    </row>
    <row r="419" spans="1:1" ht="14.25" customHeight="1" x14ac:dyDescent="0.3">
      <c r="A419" s="11"/>
    </row>
    <row r="420" spans="1:1" ht="14.25" customHeight="1" x14ac:dyDescent="0.3">
      <c r="A420" s="11"/>
    </row>
    <row r="421" spans="1:1" ht="14.25" customHeight="1" x14ac:dyDescent="0.3">
      <c r="A421" s="11"/>
    </row>
    <row r="422" spans="1:1" ht="14.25" customHeight="1" x14ac:dyDescent="0.3">
      <c r="A422" s="11"/>
    </row>
    <row r="423" spans="1:1" ht="14.25" customHeight="1" x14ac:dyDescent="0.3">
      <c r="A423" s="11"/>
    </row>
    <row r="424" spans="1:1" ht="14.25" customHeight="1" x14ac:dyDescent="0.3">
      <c r="A424" s="11"/>
    </row>
    <row r="425" spans="1:1" ht="14.25" customHeight="1" x14ac:dyDescent="0.3">
      <c r="A425" s="11"/>
    </row>
    <row r="426" spans="1:1" ht="14.25" customHeight="1" x14ac:dyDescent="0.3">
      <c r="A426" s="11"/>
    </row>
    <row r="427" spans="1:1" ht="14.25" customHeight="1" x14ac:dyDescent="0.3">
      <c r="A427" s="11"/>
    </row>
    <row r="428" spans="1:1" ht="14.25" customHeight="1" x14ac:dyDescent="0.3">
      <c r="A428" s="11"/>
    </row>
    <row r="429" spans="1:1" ht="14.25" customHeight="1" x14ac:dyDescent="0.3">
      <c r="A429" s="11"/>
    </row>
    <row r="430" spans="1:1" ht="14.25" customHeight="1" x14ac:dyDescent="0.3">
      <c r="A430" s="11"/>
    </row>
    <row r="431" spans="1:1" ht="14.25" customHeight="1" x14ac:dyDescent="0.3">
      <c r="A431" s="11"/>
    </row>
    <row r="432" spans="1:1" ht="14.25" customHeight="1" x14ac:dyDescent="0.3">
      <c r="A432" s="11"/>
    </row>
    <row r="433" spans="1:1" ht="14.25" customHeight="1" x14ac:dyDescent="0.3">
      <c r="A433" s="11"/>
    </row>
    <row r="434" spans="1:1" ht="14.25" customHeight="1" x14ac:dyDescent="0.3">
      <c r="A434" s="11"/>
    </row>
    <row r="435" spans="1:1" ht="14.25" customHeight="1" x14ac:dyDescent="0.3">
      <c r="A435" s="11"/>
    </row>
    <row r="436" spans="1:1" ht="14.25" customHeight="1" x14ac:dyDescent="0.3">
      <c r="A436" s="11"/>
    </row>
    <row r="437" spans="1:1" ht="14.25" customHeight="1" x14ac:dyDescent="0.3">
      <c r="A437" s="11"/>
    </row>
    <row r="438" spans="1:1" ht="14.25" customHeight="1" x14ac:dyDescent="0.3">
      <c r="A438" s="11"/>
    </row>
    <row r="439" spans="1:1" ht="14.25" customHeight="1" x14ac:dyDescent="0.3">
      <c r="A439" s="11"/>
    </row>
    <row r="440" spans="1:1" ht="14.25" customHeight="1" x14ac:dyDescent="0.3">
      <c r="A440" s="11"/>
    </row>
    <row r="441" spans="1:1" ht="14.25" customHeight="1" x14ac:dyDescent="0.3">
      <c r="A441" s="11"/>
    </row>
    <row r="442" spans="1:1" ht="14.25" customHeight="1" x14ac:dyDescent="0.3">
      <c r="A442" s="11"/>
    </row>
    <row r="443" spans="1:1" ht="14.25" customHeight="1" x14ac:dyDescent="0.3">
      <c r="A443" s="11"/>
    </row>
    <row r="444" spans="1:1" ht="14.25" customHeight="1" x14ac:dyDescent="0.3">
      <c r="A444" s="11"/>
    </row>
    <row r="445" spans="1:1" ht="14.25" customHeight="1" x14ac:dyDescent="0.3">
      <c r="A445" s="11"/>
    </row>
    <row r="446" spans="1:1" ht="14.25" customHeight="1" x14ac:dyDescent="0.3">
      <c r="A446" s="11"/>
    </row>
    <row r="447" spans="1:1" ht="14.25" customHeight="1" x14ac:dyDescent="0.3">
      <c r="A447" s="11"/>
    </row>
    <row r="448" spans="1:1" ht="14.25" customHeight="1" x14ac:dyDescent="0.3">
      <c r="A448" s="11"/>
    </row>
    <row r="449" spans="1:1" ht="14.25" customHeight="1" x14ac:dyDescent="0.3">
      <c r="A449" s="11"/>
    </row>
    <row r="450" spans="1:1" ht="14.25" customHeight="1" x14ac:dyDescent="0.3">
      <c r="A450" s="11"/>
    </row>
    <row r="451" spans="1:1" ht="14.25" customHeight="1" x14ac:dyDescent="0.3">
      <c r="A451" s="11"/>
    </row>
    <row r="452" spans="1:1" ht="14.25" customHeight="1" x14ac:dyDescent="0.3">
      <c r="A452" s="11"/>
    </row>
    <row r="453" spans="1:1" ht="14.25" customHeight="1" x14ac:dyDescent="0.3">
      <c r="A453" s="11"/>
    </row>
    <row r="454" spans="1:1" ht="14.25" customHeight="1" x14ac:dyDescent="0.3">
      <c r="A454" s="11"/>
    </row>
    <row r="455" spans="1:1" ht="14.25" customHeight="1" x14ac:dyDescent="0.3">
      <c r="A455" s="11"/>
    </row>
    <row r="456" spans="1:1" ht="14.25" customHeight="1" x14ac:dyDescent="0.3">
      <c r="A456" s="11"/>
    </row>
    <row r="457" spans="1:1" ht="14.25" customHeight="1" x14ac:dyDescent="0.3">
      <c r="A457" s="11"/>
    </row>
    <row r="458" spans="1:1" ht="14.25" customHeight="1" x14ac:dyDescent="0.3">
      <c r="A458" s="11"/>
    </row>
    <row r="459" spans="1:1" ht="14.25" customHeight="1" x14ac:dyDescent="0.3">
      <c r="A459" s="11"/>
    </row>
    <row r="460" spans="1:1" ht="14.25" customHeight="1" x14ac:dyDescent="0.3">
      <c r="A460" s="11"/>
    </row>
    <row r="461" spans="1:1" ht="14.25" customHeight="1" x14ac:dyDescent="0.3">
      <c r="A461" s="11"/>
    </row>
    <row r="462" spans="1:1" ht="14.25" customHeight="1" x14ac:dyDescent="0.3">
      <c r="A462" s="11"/>
    </row>
    <row r="463" spans="1:1" ht="14.25" customHeight="1" x14ac:dyDescent="0.3">
      <c r="A463" s="11"/>
    </row>
    <row r="464" spans="1:1" ht="14.25" customHeight="1" x14ac:dyDescent="0.3">
      <c r="A464" s="11"/>
    </row>
    <row r="465" spans="1:1" ht="14.25" customHeight="1" x14ac:dyDescent="0.3">
      <c r="A465" s="11"/>
    </row>
    <row r="466" spans="1:1" ht="14.25" customHeight="1" x14ac:dyDescent="0.3">
      <c r="A466" s="11"/>
    </row>
    <row r="467" spans="1:1" ht="14.25" customHeight="1" x14ac:dyDescent="0.3">
      <c r="A467" s="11"/>
    </row>
    <row r="468" spans="1:1" ht="14.25" customHeight="1" x14ac:dyDescent="0.3">
      <c r="A468" s="11"/>
    </row>
    <row r="469" spans="1:1" ht="14.25" customHeight="1" x14ac:dyDescent="0.3">
      <c r="A469" s="11"/>
    </row>
    <row r="470" spans="1:1" ht="14.25" customHeight="1" x14ac:dyDescent="0.3">
      <c r="A470" s="11"/>
    </row>
    <row r="471" spans="1:1" ht="14.25" customHeight="1" x14ac:dyDescent="0.3">
      <c r="A471" s="11"/>
    </row>
    <row r="472" spans="1:1" ht="14.25" customHeight="1" x14ac:dyDescent="0.3">
      <c r="A472" s="11"/>
    </row>
    <row r="473" spans="1:1" ht="14.25" customHeight="1" x14ac:dyDescent="0.3">
      <c r="A473" s="11"/>
    </row>
    <row r="474" spans="1:1" ht="14.25" customHeight="1" x14ac:dyDescent="0.3">
      <c r="A474" s="11"/>
    </row>
    <row r="475" spans="1:1" ht="14.25" customHeight="1" x14ac:dyDescent="0.3">
      <c r="A475" s="11"/>
    </row>
    <row r="476" spans="1:1" ht="14.25" customHeight="1" x14ac:dyDescent="0.3">
      <c r="A476" s="11"/>
    </row>
    <row r="477" spans="1:1" ht="14.25" customHeight="1" x14ac:dyDescent="0.3">
      <c r="A477" s="11"/>
    </row>
    <row r="478" spans="1:1" ht="14.25" customHeight="1" x14ac:dyDescent="0.3">
      <c r="A478" s="11"/>
    </row>
    <row r="479" spans="1:1" ht="14.25" customHeight="1" x14ac:dyDescent="0.3">
      <c r="A479" s="11"/>
    </row>
    <row r="480" spans="1:1" ht="14.25" customHeight="1" x14ac:dyDescent="0.3">
      <c r="A480" s="11"/>
    </row>
    <row r="481" spans="1:1" ht="14.25" customHeight="1" x14ac:dyDescent="0.3">
      <c r="A481" s="11"/>
    </row>
    <row r="482" spans="1:1" ht="14.25" customHeight="1" x14ac:dyDescent="0.3">
      <c r="A482" s="11"/>
    </row>
    <row r="483" spans="1:1" ht="14.25" customHeight="1" x14ac:dyDescent="0.3">
      <c r="A483" s="11"/>
    </row>
    <row r="484" spans="1:1" ht="14.25" customHeight="1" x14ac:dyDescent="0.3">
      <c r="A484" s="11"/>
    </row>
    <row r="485" spans="1:1" ht="14.25" customHeight="1" x14ac:dyDescent="0.3">
      <c r="A485" s="11"/>
    </row>
    <row r="486" spans="1:1" ht="14.25" customHeight="1" x14ac:dyDescent="0.3">
      <c r="A486" s="11"/>
    </row>
    <row r="487" spans="1:1" ht="14.25" customHeight="1" x14ac:dyDescent="0.3">
      <c r="A487" s="11"/>
    </row>
    <row r="488" spans="1:1" ht="14.25" customHeight="1" x14ac:dyDescent="0.3">
      <c r="A488" s="11"/>
    </row>
    <row r="489" spans="1:1" ht="14.25" customHeight="1" x14ac:dyDescent="0.3">
      <c r="A489" s="11"/>
    </row>
    <row r="490" spans="1:1" ht="14.25" customHeight="1" x14ac:dyDescent="0.3">
      <c r="A490" s="11"/>
    </row>
    <row r="491" spans="1:1" ht="14.25" customHeight="1" x14ac:dyDescent="0.3">
      <c r="A491" s="11"/>
    </row>
    <row r="492" spans="1:1" ht="14.25" customHeight="1" x14ac:dyDescent="0.3">
      <c r="A492" s="11"/>
    </row>
    <row r="493" spans="1:1" ht="14.25" customHeight="1" x14ac:dyDescent="0.3">
      <c r="A493" s="11"/>
    </row>
    <row r="494" spans="1:1" ht="14.25" customHeight="1" x14ac:dyDescent="0.3">
      <c r="A494" s="11"/>
    </row>
    <row r="495" spans="1:1" ht="14.25" customHeight="1" x14ac:dyDescent="0.3">
      <c r="A495" s="11"/>
    </row>
    <row r="496" spans="1:1" ht="14.25" customHeight="1" x14ac:dyDescent="0.3">
      <c r="A496" s="11"/>
    </row>
    <row r="497" spans="1:1" ht="14.25" customHeight="1" x14ac:dyDescent="0.3">
      <c r="A497" s="11"/>
    </row>
    <row r="498" spans="1:1" ht="14.25" customHeight="1" x14ac:dyDescent="0.3">
      <c r="A498" s="11"/>
    </row>
    <row r="499" spans="1:1" ht="14.25" customHeight="1" x14ac:dyDescent="0.3">
      <c r="A499" s="11"/>
    </row>
    <row r="500" spans="1:1" ht="14.25" customHeight="1" x14ac:dyDescent="0.3">
      <c r="A500" s="11"/>
    </row>
    <row r="501" spans="1:1" ht="14.25" customHeight="1" x14ac:dyDescent="0.3">
      <c r="A501" s="11"/>
    </row>
    <row r="502" spans="1:1" ht="14.25" customHeight="1" x14ac:dyDescent="0.3">
      <c r="A502" s="11"/>
    </row>
    <row r="503" spans="1:1" ht="14.25" customHeight="1" x14ac:dyDescent="0.3">
      <c r="A503" s="11"/>
    </row>
    <row r="504" spans="1:1" ht="14.25" customHeight="1" x14ac:dyDescent="0.3">
      <c r="A504" s="11"/>
    </row>
    <row r="505" spans="1:1" ht="14.25" customHeight="1" x14ac:dyDescent="0.3">
      <c r="A505" s="11"/>
    </row>
    <row r="506" spans="1:1" ht="14.25" customHeight="1" x14ac:dyDescent="0.3">
      <c r="A506" s="11"/>
    </row>
    <row r="507" spans="1:1" ht="14.25" customHeight="1" x14ac:dyDescent="0.3">
      <c r="A507" s="11"/>
    </row>
    <row r="508" spans="1:1" ht="14.25" customHeight="1" x14ac:dyDescent="0.3">
      <c r="A508" s="11"/>
    </row>
    <row r="509" spans="1:1" ht="14.25" customHeight="1" x14ac:dyDescent="0.3">
      <c r="A509" s="11"/>
    </row>
    <row r="510" spans="1:1" ht="14.25" customHeight="1" x14ac:dyDescent="0.3">
      <c r="A510" s="11"/>
    </row>
    <row r="511" spans="1:1" ht="14.25" customHeight="1" x14ac:dyDescent="0.3">
      <c r="A511" s="11"/>
    </row>
    <row r="512" spans="1:1" ht="14.25" customHeight="1" x14ac:dyDescent="0.3">
      <c r="A512" s="11"/>
    </row>
    <row r="513" spans="1:1" ht="14.25" customHeight="1" x14ac:dyDescent="0.3">
      <c r="A513" s="11"/>
    </row>
    <row r="514" spans="1:1" ht="14.25" customHeight="1" x14ac:dyDescent="0.3">
      <c r="A514" s="11"/>
    </row>
    <row r="515" spans="1:1" ht="14.25" customHeight="1" x14ac:dyDescent="0.3">
      <c r="A515" s="11"/>
    </row>
    <row r="516" spans="1:1" ht="14.25" customHeight="1" x14ac:dyDescent="0.3">
      <c r="A516" s="11"/>
    </row>
    <row r="517" spans="1:1" ht="14.25" customHeight="1" x14ac:dyDescent="0.3">
      <c r="A517" s="11"/>
    </row>
    <row r="518" spans="1:1" ht="14.25" customHeight="1" x14ac:dyDescent="0.3">
      <c r="A518" s="11"/>
    </row>
    <row r="519" spans="1:1" ht="14.25" customHeight="1" x14ac:dyDescent="0.3">
      <c r="A519" s="11"/>
    </row>
    <row r="520" spans="1:1" ht="14.25" customHeight="1" x14ac:dyDescent="0.3">
      <c r="A520" s="11"/>
    </row>
    <row r="521" spans="1:1" ht="14.25" customHeight="1" x14ac:dyDescent="0.3">
      <c r="A521" s="11"/>
    </row>
    <row r="522" spans="1:1" ht="14.25" customHeight="1" x14ac:dyDescent="0.3">
      <c r="A522" s="11"/>
    </row>
    <row r="523" spans="1:1" ht="14.25" customHeight="1" x14ac:dyDescent="0.3">
      <c r="A523" s="11"/>
    </row>
    <row r="524" spans="1:1" ht="14.25" customHeight="1" x14ac:dyDescent="0.3">
      <c r="A524" s="11"/>
    </row>
    <row r="525" spans="1:1" ht="14.25" customHeight="1" x14ac:dyDescent="0.3">
      <c r="A525" s="11"/>
    </row>
    <row r="526" spans="1:1" ht="14.25" customHeight="1" x14ac:dyDescent="0.3">
      <c r="A526" s="11"/>
    </row>
    <row r="527" spans="1:1" ht="14.25" customHeight="1" x14ac:dyDescent="0.3">
      <c r="A527" s="11"/>
    </row>
    <row r="528" spans="1:1" ht="14.25" customHeight="1" x14ac:dyDescent="0.3">
      <c r="A528" s="11"/>
    </row>
    <row r="529" spans="1:1" ht="14.25" customHeight="1" x14ac:dyDescent="0.3">
      <c r="A529" s="11"/>
    </row>
    <row r="530" spans="1:1" ht="14.25" customHeight="1" x14ac:dyDescent="0.3">
      <c r="A530" s="11"/>
    </row>
    <row r="531" spans="1:1" ht="14.25" customHeight="1" x14ac:dyDescent="0.3">
      <c r="A531" s="11"/>
    </row>
    <row r="532" spans="1:1" ht="14.25" customHeight="1" x14ac:dyDescent="0.3">
      <c r="A532" s="11"/>
    </row>
    <row r="533" spans="1:1" ht="14.25" customHeight="1" x14ac:dyDescent="0.3">
      <c r="A533" s="11"/>
    </row>
    <row r="534" spans="1:1" ht="14.25" customHeight="1" x14ac:dyDescent="0.3">
      <c r="A534" s="11"/>
    </row>
    <row r="535" spans="1:1" ht="14.25" customHeight="1" x14ac:dyDescent="0.3">
      <c r="A535" s="11"/>
    </row>
    <row r="536" spans="1:1" ht="14.25" customHeight="1" x14ac:dyDescent="0.3">
      <c r="A536" s="11"/>
    </row>
    <row r="537" spans="1:1" ht="14.25" customHeight="1" x14ac:dyDescent="0.3">
      <c r="A537" s="11"/>
    </row>
    <row r="538" spans="1:1" ht="14.25" customHeight="1" x14ac:dyDescent="0.3">
      <c r="A538" s="11"/>
    </row>
    <row r="539" spans="1:1" ht="14.25" customHeight="1" x14ac:dyDescent="0.3">
      <c r="A539" s="11"/>
    </row>
    <row r="540" spans="1:1" ht="14.25" customHeight="1" x14ac:dyDescent="0.3">
      <c r="A540" s="11"/>
    </row>
    <row r="541" spans="1:1" ht="14.25" customHeight="1" x14ac:dyDescent="0.3">
      <c r="A541" s="11"/>
    </row>
    <row r="542" spans="1:1" ht="14.25" customHeight="1" x14ac:dyDescent="0.3">
      <c r="A542" s="11"/>
    </row>
    <row r="543" spans="1:1" ht="14.25" customHeight="1" x14ac:dyDescent="0.3">
      <c r="A543" s="11"/>
    </row>
    <row r="544" spans="1:1" ht="14.25" customHeight="1" x14ac:dyDescent="0.3">
      <c r="A544" s="11"/>
    </row>
    <row r="545" spans="1:1" ht="14.25" customHeight="1" x14ac:dyDescent="0.3">
      <c r="A545" s="11"/>
    </row>
    <row r="546" spans="1:1" ht="14.25" customHeight="1" x14ac:dyDescent="0.3">
      <c r="A546" s="11"/>
    </row>
    <row r="547" spans="1:1" ht="14.25" customHeight="1" x14ac:dyDescent="0.3">
      <c r="A547" s="11"/>
    </row>
    <row r="548" spans="1:1" ht="14.25" customHeight="1" x14ac:dyDescent="0.3">
      <c r="A548" s="11"/>
    </row>
    <row r="549" spans="1:1" ht="14.25" customHeight="1" x14ac:dyDescent="0.3">
      <c r="A549" s="11"/>
    </row>
    <row r="550" spans="1:1" ht="14.25" customHeight="1" x14ac:dyDescent="0.3">
      <c r="A550" s="11"/>
    </row>
    <row r="551" spans="1:1" ht="14.25" customHeight="1" x14ac:dyDescent="0.3">
      <c r="A551" s="11"/>
    </row>
    <row r="552" spans="1:1" ht="14.25" customHeight="1" x14ac:dyDescent="0.3">
      <c r="A552" s="11"/>
    </row>
    <row r="553" spans="1:1" ht="14.25" customHeight="1" x14ac:dyDescent="0.3">
      <c r="A553" s="11"/>
    </row>
    <row r="554" spans="1:1" ht="14.25" customHeight="1" x14ac:dyDescent="0.3">
      <c r="A554" s="11"/>
    </row>
    <row r="555" spans="1:1" ht="14.25" customHeight="1" x14ac:dyDescent="0.3">
      <c r="A555" s="11"/>
    </row>
    <row r="556" spans="1:1" ht="14.25" customHeight="1" x14ac:dyDescent="0.3">
      <c r="A556" s="11"/>
    </row>
    <row r="557" spans="1:1" ht="14.25" customHeight="1" x14ac:dyDescent="0.3">
      <c r="A557" s="11"/>
    </row>
    <row r="558" spans="1:1" ht="14.25" customHeight="1" x14ac:dyDescent="0.3">
      <c r="A558" s="11"/>
    </row>
    <row r="559" spans="1:1" ht="14.25" customHeight="1" x14ac:dyDescent="0.3">
      <c r="A559" s="11"/>
    </row>
    <row r="560" spans="1:1" ht="14.25" customHeight="1" x14ac:dyDescent="0.3">
      <c r="A560" s="11"/>
    </row>
    <row r="561" spans="1:1" ht="14.25" customHeight="1" x14ac:dyDescent="0.3">
      <c r="A561" s="11"/>
    </row>
    <row r="562" spans="1:1" ht="14.25" customHeight="1" x14ac:dyDescent="0.3">
      <c r="A562" s="11"/>
    </row>
    <row r="563" spans="1:1" ht="14.25" customHeight="1" x14ac:dyDescent="0.3">
      <c r="A563" s="11"/>
    </row>
    <row r="564" spans="1:1" ht="14.25" customHeight="1" x14ac:dyDescent="0.3">
      <c r="A564" s="11"/>
    </row>
    <row r="565" spans="1:1" ht="14.25" customHeight="1" x14ac:dyDescent="0.3">
      <c r="A565" s="11"/>
    </row>
    <row r="566" spans="1:1" ht="14.25" customHeight="1" x14ac:dyDescent="0.3">
      <c r="A566" s="11"/>
    </row>
    <row r="567" spans="1:1" ht="14.25" customHeight="1" x14ac:dyDescent="0.3">
      <c r="A567" s="11"/>
    </row>
    <row r="568" spans="1:1" ht="14.25" customHeight="1" x14ac:dyDescent="0.3">
      <c r="A568" s="11"/>
    </row>
    <row r="569" spans="1:1" ht="14.25" customHeight="1" x14ac:dyDescent="0.3">
      <c r="A569" s="11"/>
    </row>
    <row r="570" spans="1:1" ht="14.25" customHeight="1" x14ac:dyDescent="0.3">
      <c r="A570" s="11"/>
    </row>
    <row r="571" spans="1:1" ht="14.25" customHeight="1" x14ac:dyDescent="0.3">
      <c r="A571" s="11"/>
    </row>
    <row r="572" spans="1:1" ht="14.25" customHeight="1" x14ac:dyDescent="0.3">
      <c r="A572" s="11"/>
    </row>
    <row r="573" spans="1:1" ht="14.25" customHeight="1" x14ac:dyDescent="0.3">
      <c r="A573" s="11"/>
    </row>
    <row r="574" spans="1:1" ht="14.25" customHeight="1" x14ac:dyDescent="0.3">
      <c r="A574" s="11"/>
    </row>
    <row r="575" spans="1:1" ht="14.25" customHeight="1" x14ac:dyDescent="0.3">
      <c r="A575" s="11"/>
    </row>
    <row r="576" spans="1:1" ht="14.25" customHeight="1" x14ac:dyDescent="0.3">
      <c r="A576" s="11"/>
    </row>
    <row r="577" spans="1:1" ht="14.25" customHeight="1" x14ac:dyDescent="0.3">
      <c r="A577" s="11"/>
    </row>
    <row r="578" spans="1:1" ht="14.25" customHeight="1" x14ac:dyDescent="0.3">
      <c r="A578" s="11"/>
    </row>
    <row r="579" spans="1:1" ht="14.25" customHeight="1" x14ac:dyDescent="0.3">
      <c r="A579" s="11"/>
    </row>
    <row r="580" spans="1:1" ht="14.25" customHeight="1" x14ac:dyDescent="0.3">
      <c r="A580" s="11"/>
    </row>
    <row r="581" spans="1:1" ht="14.25" customHeight="1" x14ac:dyDescent="0.3">
      <c r="A581" s="11"/>
    </row>
    <row r="582" spans="1:1" ht="14.25" customHeight="1" x14ac:dyDescent="0.3">
      <c r="A582" s="11"/>
    </row>
    <row r="583" spans="1:1" ht="14.25" customHeight="1" x14ac:dyDescent="0.3">
      <c r="A583" s="11"/>
    </row>
    <row r="584" spans="1:1" ht="14.25" customHeight="1" x14ac:dyDescent="0.3">
      <c r="A584" s="11"/>
    </row>
    <row r="585" spans="1:1" ht="14.25" customHeight="1" x14ac:dyDescent="0.3">
      <c r="A585" s="11"/>
    </row>
    <row r="586" spans="1:1" ht="14.25" customHeight="1" x14ac:dyDescent="0.3">
      <c r="A586" s="11"/>
    </row>
    <row r="587" spans="1:1" ht="14.25" customHeight="1" x14ac:dyDescent="0.3">
      <c r="A587" s="11"/>
    </row>
    <row r="588" spans="1:1" ht="14.25" customHeight="1" x14ac:dyDescent="0.3">
      <c r="A588" s="11"/>
    </row>
    <row r="589" spans="1:1" ht="14.25" customHeight="1" x14ac:dyDescent="0.3">
      <c r="A589" s="11"/>
    </row>
    <row r="590" spans="1:1" ht="14.25" customHeight="1" x14ac:dyDescent="0.3">
      <c r="A590" s="11"/>
    </row>
    <row r="591" spans="1:1" ht="14.25" customHeight="1" x14ac:dyDescent="0.3">
      <c r="A591" s="11"/>
    </row>
    <row r="592" spans="1:1" ht="14.25" customHeight="1" x14ac:dyDescent="0.3">
      <c r="A592" s="11"/>
    </row>
    <row r="593" spans="1:1" ht="14.25" customHeight="1" x14ac:dyDescent="0.3">
      <c r="A593" s="11"/>
    </row>
    <row r="594" spans="1:1" ht="14.25" customHeight="1" x14ac:dyDescent="0.3">
      <c r="A594" s="11"/>
    </row>
    <row r="595" spans="1:1" ht="14.25" customHeight="1" x14ac:dyDescent="0.3">
      <c r="A595" s="11"/>
    </row>
    <row r="596" spans="1:1" ht="14.25" customHeight="1" x14ac:dyDescent="0.3">
      <c r="A596" s="11"/>
    </row>
    <row r="597" spans="1:1" ht="14.25" customHeight="1" x14ac:dyDescent="0.3">
      <c r="A597" s="11"/>
    </row>
    <row r="598" spans="1:1" ht="14.25" customHeight="1" x14ac:dyDescent="0.3">
      <c r="A598" s="11"/>
    </row>
    <row r="599" spans="1:1" ht="14.25" customHeight="1" x14ac:dyDescent="0.3">
      <c r="A599" s="11"/>
    </row>
    <row r="600" spans="1:1" ht="14.25" customHeight="1" x14ac:dyDescent="0.3">
      <c r="A600" s="11"/>
    </row>
    <row r="601" spans="1:1" ht="14.25" customHeight="1" x14ac:dyDescent="0.3">
      <c r="A601" s="11"/>
    </row>
    <row r="602" spans="1:1" ht="14.25" customHeight="1" x14ac:dyDescent="0.3">
      <c r="A602" s="11"/>
    </row>
    <row r="603" spans="1:1" ht="14.25" customHeight="1" x14ac:dyDescent="0.3">
      <c r="A603" s="11"/>
    </row>
    <row r="604" spans="1:1" ht="14.25" customHeight="1" x14ac:dyDescent="0.3">
      <c r="A604" s="11"/>
    </row>
    <row r="605" spans="1:1" ht="14.25" customHeight="1" x14ac:dyDescent="0.3">
      <c r="A605" s="11"/>
    </row>
    <row r="606" spans="1:1" ht="14.25" customHeight="1" x14ac:dyDescent="0.3">
      <c r="A606" s="11"/>
    </row>
    <row r="607" spans="1:1" ht="14.25" customHeight="1" x14ac:dyDescent="0.3">
      <c r="A607" s="11"/>
    </row>
    <row r="608" spans="1:1" ht="14.25" customHeight="1" x14ac:dyDescent="0.3">
      <c r="A608" s="11"/>
    </row>
    <row r="609" spans="1:1" ht="14.25" customHeight="1" x14ac:dyDescent="0.3">
      <c r="A609" s="11"/>
    </row>
    <row r="610" spans="1:1" ht="14.25" customHeight="1" x14ac:dyDescent="0.3">
      <c r="A610" s="11"/>
    </row>
    <row r="611" spans="1:1" ht="14.25" customHeight="1" x14ac:dyDescent="0.3">
      <c r="A611" s="11"/>
    </row>
    <row r="612" spans="1:1" ht="14.25" customHeight="1" x14ac:dyDescent="0.3">
      <c r="A612" s="11"/>
    </row>
    <row r="613" spans="1:1" ht="14.25" customHeight="1" x14ac:dyDescent="0.3">
      <c r="A613" s="11"/>
    </row>
    <row r="614" spans="1:1" ht="14.25" customHeight="1" x14ac:dyDescent="0.3">
      <c r="A614" s="11"/>
    </row>
    <row r="615" spans="1:1" ht="14.25" customHeight="1" x14ac:dyDescent="0.3">
      <c r="A615" s="11"/>
    </row>
    <row r="616" spans="1:1" ht="14.25" customHeight="1" x14ac:dyDescent="0.3">
      <c r="A616" s="11"/>
    </row>
    <row r="617" spans="1:1" ht="14.25" customHeight="1" x14ac:dyDescent="0.3">
      <c r="A617" s="11"/>
    </row>
    <row r="618" spans="1:1" ht="14.25" customHeight="1" x14ac:dyDescent="0.3"/>
    <row r="619" spans="1:1" ht="14.25" customHeight="1" x14ac:dyDescent="0.3"/>
    <row r="620" spans="1:1" ht="14.25" customHeight="1" x14ac:dyDescent="0.3"/>
    <row r="621" spans="1:1" ht="14.25" customHeight="1" x14ac:dyDescent="0.3"/>
    <row r="622" spans="1:1" ht="14.25" customHeight="1" x14ac:dyDescent="0.3"/>
    <row r="623" spans="1:1" ht="14.25" customHeight="1" x14ac:dyDescent="0.3"/>
    <row r="624" spans="1:1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</sheetData>
  <mergeCells count="1">
    <mergeCell ref="C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NIFTY MEMBS</vt:lpstr>
      <vt:lpstr>NIFTY_100</vt:lpstr>
      <vt:lpstr>EQ_25</vt:lpstr>
      <vt:lpstr>NIFTY_100 vs EQ_25 STATS</vt:lpstr>
      <vt:lpstr>Stock of Choice_ BAJAJFIN</vt:lpstr>
      <vt:lpstr>EQ_25vsBAJAJFIN</vt:lpstr>
      <vt:lpstr>EQ_25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Lab03 Office User</dc:creator>
  <cp:lastModifiedBy>Gargee Kate</cp:lastModifiedBy>
  <dcterms:created xsi:type="dcterms:W3CDTF">2025-09-09T06:08:37Z</dcterms:created>
  <dcterms:modified xsi:type="dcterms:W3CDTF">2025-11-09T06:13:24Z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eyIwIjoiSGlzdG9yeSIsIjEiOjAsIjIiOjEsIjMiOjEsIjQiOjEsIjUiOjEsIjYiOjEsIjciOjEsIjgiOjAsIjkiOjEsIjEwIjoxLCIxMSI6MSwiMTIiOjB9</vt:lpwstr>
  </property>
</Properties>
</file>